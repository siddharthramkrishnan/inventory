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Master Item List" sheetId="1" r:id="rId5"/>
    <sheet state="visible" name="Employees" sheetId="2" r:id="rId6"/>
    <sheet state="visible" name="7. ARN Pending" sheetId="3" r:id="rId7"/>
    <sheet state="visible" name="6. Material Requests" sheetId="4" r:id="rId8"/>
    <sheet state="visible" name="3. Live Stock Summary" sheetId="5" r:id="rId9"/>
    <sheet state="visible" name="2. Adjustment Log" sheetId="6" r:id="rId10"/>
    <sheet state="visible" name="4. Config" sheetId="7" r:id="rId11"/>
    <sheet state="visible" name="5. Dashboard" sheetId="8" r:id="rId12"/>
  </sheets>
  <definedNames/>
  <calcPr/>
</workbook>
</file>

<file path=xl/sharedStrings.xml><?xml version="1.0" encoding="utf-8"?>
<sst xmlns="http://schemas.openxmlformats.org/spreadsheetml/2006/main" count="35796" uniqueCount="9953">
  <si>
    <t>Request ID</t>
  </si>
  <si>
    <t>ID</t>
  </si>
  <si>
    <t>Date</t>
  </si>
  <si>
    <t>Time</t>
  </si>
  <si>
    <t>Timestamp</t>
  </si>
  <si>
    <t>Material</t>
  </si>
  <si>
    <t>ARN</t>
  </si>
  <si>
    <t>Brand</t>
  </si>
  <si>
    <t>Item Name</t>
  </si>
  <si>
    <t>Qty</t>
  </si>
  <si>
    <t>Dept</t>
  </si>
  <si>
    <t>GRN No.</t>
  </si>
  <si>
    <t>Unit</t>
  </si>
  <si>
    <t>Warehouse</t>
  </si>
  <si>
    <t>Qty Requested</t>
  </si>
  <si>
    <t>Subcat</t>
  </si>
  <si>
    <t>Purpose</t>
  </si>
  <si>
    <t>Requested By</t>
  </si>
  <si>
    <t>Priority</t>
  </si>
  <si>
    <t>Notes</t>
  </si>
  <si>
    <t>Required By</t>
  </si>
  <si>
    <t>Status</t>
  </si>
  <si>
    <t>Requester Name</t>
  </si>
  <si>
    <t>Requester Dept</t>
  </si>
  <si>
    <t>Corrected Dept</t>
  </si>
  <si>
    <t>Corrected Subcat</t>
  </si>
  <si>
    <t>Issued On</t>
  </si>
  <si>
    <t>Employee Name</t>
  </si>
  <si>
    <t>Adj ID</t>
  </si>
  <si>
    <t>Rejection Reason</t>
  </si>
  <si>
    <t>Final ARN</t>
  </si>
  <si>
    <t>GRN Status</t>
  </si>
  <si>
    <t>MR-0003</t>
  </si>
  <si>
    <t>Vendor</t>
  </si>
  <si>
    <t>Dhananjaya Dendukuri</t>
  </si>
  <si>
    <t>PO No.</t>
  </si>
  <si>
    <t>Duplicate Acknowledged</t>
  </si>
  <si>
    <t>Amount Paid</t>
  </si>
  <si>
    <t>Bill / Invoice No.</t>
  </si>
  <si>
    <t>Paid By</t>
  </si>
  <si>
    <t>Reimbursement Status</t>
  </si>
  <si>
    <t>Procurement Request No.</t>
  </si>
  <si>
    <t>Location</t>
  </si>
  <si>
    <t>HARSHINI J A</t>
  </si>
  <si>
    <t>DIVYA PRIYA A</t>
  </si>
  <si>
    <t>601c7cb3-c060-4d83-b6ba-77ac3f21eb4f</t>
  </si>
  <si>
    <t>KAVI VARSHINI M</t>
  </si>
  <si>
    <t>Deepika N</t>
  </si>
  <si>
    <t>SAGAR Chichalappa DEVAKATE</t>
  </si>
  <si>
    <t>ACH-GN-IT-0003</t>
  </si>
  <si>
    <t>Neha M Manashetty</t>
  </si>
  <si>
    <t>N4074-Universal Corrugated Box- 5 Ply- Custom Board- 60x40x30 cm-OD Plain Brown- PCID-12280</t>
  </si>
  <si>
    <t>Raghavendra Annacharya Katti</t>
  </si>
  <si>
    <t>Raspberry Pi 4 8GB RAM i All new Raspberry Pi Desktop Computer</t>
  </si>
  <si>
    <t>GR/DD/1040_2</t>
  </si>
  <si>
    <t>Riddhiman Ganguly</t>
  </si>
  <si>
    <t>MF</t>
  </si>
  <si>
    <t>GN</t>
  </si>
  <si>
    <t>pcs</t>
  </si>
  <si>
    <t>PM</t>
  </si>
  <si>
    <t>Soumya Bhattacharya</t>
  </si>
  <si>
    <t>Saurabh Yadav</t>
  </si>
  <si>
    <t>Approved</t>
  </si>
  <si>
    <t>Inchara Venugopal</t>
  </si>
  <si>
    <t>Christy Rosaline</t>
  </si>
  <si>
    <t>5f4e1f9e-17a5-49eb-8e08-b76c9384e02d</t>
  </si>
  <si>
    <t>sdssd</t>
  </si>
  <si>
    <t>KAVIPRIYA VENKATESAN</t>
  </si>
  <si>
    <t>Normal</t>
  </si>
  <si>
    <t>N4074-Universal Corrugated Box- 5 Ply</t>
  </si>
  <si>
    <t>Eslavath Mahesh</t>
  </si>
  <si>
    <t>Ayushi Kaushal</t>
  </si>
  <si>
    <t>Quality &amp; Regulatory</t>
  </si>
  <si>
    <t>GR/DD/1040</t>
  </si>
  <si>
    <t>Shiva Raj</t>
  </si>
  <si>
    <t>Pending</t>
  </si>
  <si>
    <t>JAYASHREE G</t>
  </si>
  <si>
    <t>Nikhil Mane</t>
  </si>
  <si>
    <t>Nitin C M</t>
  </si>
  <si>
    <t>2026-07-09T12:27:59.858Z</t>
  </si>
  <si>
    <t>Obaid Jayakumar</t>
  </si>
  <si>
    <t>3310a2fe-d165-4d25-ba3c-670ba120aeeb</t>
  </si>
  <si>
    <t>Bhoomika S</t>
  </si>
  <si>
    <t>D(+)-TREHALOSE DIHYDRATE, FOR MICRO</t>
  </si>
  <si>
    <t>MR-0005</t>
  </si>
  <si>
    <t>GR/DD/1038</t>
  </si>
  <si>
    <t>Vinayaka Aaydha</t>
  </si>
  <si>
    <t>RD</t>
  </si>
  <si>
    <t>CH</t>
  </si>
  <si>
    <t>Yashas Nagaraj Udupa</t>
  </si>
  <si>
    <t>14/07/2026</t>
  </si>
  <si>
    <t>KOMAL NAVIN BHANUSHALI</t>
  </si>
  <si>
    <t>Rahul Gangwar</t>
  </si>
  <si>
    <t>Faisal Ahmed Moinuddin</t>
  </si>
  <si>
    <t>d48c6ec7-7070-4be8-92d2-a63c876e1087</t>
  </si>
  <si>
    <t>PRASAD SATISH MALVADKAR</t>
  </si>
  <si>
    <t>ACH-MF-RM-0008</t>
  </si>
  <si>
    <t>Cap with EPDOM O Ring Sterile</t>
  </si>
  <si>
    <t>Kavyashree C</t>
  </si>
  <si>
    <t>GR/DD/1035</t>
  </si>
  <si>
    <t>Anagha C</t>
  </si>
  <si>
    <t>Micro Cover Glass Square No:1 22x22mm (pkt of 10 GMS)</t>
  </si>
  <si>
    <t>CM</t>
  </si>
  <si>
    <t>No</t>
  </si>
  <si>
    <t>Radhika S</t>
  </si>
  <si>
    <t>SEERSHA S</t>
  </si>
  <si>
    <t>f6bcc771-3f82-4b0e-b2ef-e933788b8562</t>
  </si>
  <si>
    <t>SHYAM KUMAR SAHU</t>
  </si>
  <si>
    <t>for testing</t>
  </si>
  <si>
    <t>STICKER-ACHIRA-RPT-COLETN-BFR-BOX STKR-PAPER</t>
  </si>
  <si>
    <t>DASARI RAJALAXMI</t>
  </si>
  <si>
    <t>Elegant Labels</t>
  </si>
  <si>
    <t>GR/DD/1043_4</t>
  </si>
  <si>
    <t>SANDHYA TB</t>
  </si>
  <si>
    <t>Manufacturing</t>
  </si>
  <si>
    <t>Arka Roy Choudhury</t>
  </si>
  <si>
    <t>Sudarshan Hegde</t>
  </si>
  <si>
    <t>Sharmila Joseph F R</t>
  </si>
  <si>
    <t>ACH-MF-PM-0032</t>
  </si>
  <si>
    <t>2026-07-14T02:38:53.548Z</t>
  </si>
  <si>
    <t>Immanuel Jufel Dalmaida</t>
  </si>
  <si>
    <t>Confirmed</t>
  </si>
  <si>
    <t>ACHIRA/26-27/53</t>
  </si>
  <si>
    <t>MFG-358</t>
  </si>
  <si>
    <t>Chetan V Kurthukoti</t>
  </si>
  <si>
    <t>6acf1bdf-95d6-41fb-bc92-f29131a3c953</t>
  </si>
  <si>
    <t>Pratap Walankar</t>
  </si>
  <si>
    <t>STICKER-ACHIRA-RPT-ASSY-POUCH STKR-PAPER</t>
  </si>
  <si>
    <t>Abhinav P P</t>
  </si>
  <si>
    <t>GR/DD/1043_3</t>
  </si>
  <si>
    <t>Prajkta Lokare</t>
  </si>
  <si>
    <t>ACH-MF-PM-0033</t>
  </si>
  <si>
    <t>Balaji M</t>
  </si>
  <si>
    <t>SIDDHARTH R</t>
  </si>
  <si>
    <t>MFG-356</t>
  </si>
  <si>
    <t>Varun Preetham</t>
  </si>
  <si>
    <t>a284c46e-5e12-45a6-8085-2d2899eb3e4a</t>
  </si>
  <si>
    <t>Priyanka M Shirali</t>
  </si>
  <si>
    <t>STICKER-ACHIRA-RPT-ASSY BFR BTL-TP STKR</t>
  </si>
  <si>
    <t>SOUPARNIKA AP</t>
  </si>
  <si>
    <t>Elegant label</t>
  </si>
  <si>
    <t>GR/DD/1043_2</t>
  </si>
  <si>
    <t>LB</t>
  </si>
  <si>
    <t>Lavanya S M</t>
  </si>
  <si>
    <t>Kamatham Uditha</t>
  </si>
  <si>
    <t>ACH-MF-LB-0013</t>
  </si>
  <si>
    <t>Dharshini B</t>
  </si>
  <si>
    <t>MFG-385</t>
  </si>
  <si>
    <t>a9d98bc5-ac0f-4317-880d-41c698f0987b</t>
  </si>
  <si>
    <t>Bhavna Goyal</t>
  </si>
  <si>
    <t>VASA scientific</t>
  </si>
  <si>
    <t>Jatin Dhar</t>
  </si>
  <si>
    <t>GR/DD/1042</t>
  </si>
  <si>
    <t>Krishna Jitendra Vekariya</t>
  </si>
  <si>
    <t>RM</t>
  </si>
  <si>
    <t>Vasa Sciebtific Co.,</t>
  </si>
  <si>
    <t>ACHIRA/26-27/54</t>
  </si>
  <si>
    <t>MFG-384</t>
  </si>
  <si>
    <t>ACHIRA LABS — LIVE STOCK SUMMARY  (Auto-Calculated · Do Not Edit)</t>
  </si>
  <si>
    <t>🔄  All values here are calculated from '2. Adjustment Log'. Current Stock = Opening Stock (Zoho) + Total Inward − Total Deducted. Stock Status: 🟢 OK  |  🟡 Low (≤ Reorder Level)  |  🔴 Critical (≤ 50% of Reorder)</t>
  </si>
  <si>
    <t>Opening Stock
(Zoho)</t>
  </si>
  <si>
    <t>Total Inward</t>
  </si>
  <si>
    <t>Total Deducted</t>
  </si>
  <si>
    <t>Current Stock</t>
  </si>
  <si>
    <t>Reorder Level</t>
  </si>
  <si>
    <t>Stock Status</t>
  </si>
  <si>
    <t>Last Adj Date</t>
  </si>
  <si>
    <t>ACH-RD-AB-0002</t>
  </si>
  <si>
    <t>ACH-RD-KT-0001</t>
  </si>
  <si>
    <t>ACH-EN-EQ-0001</t>
  </si>
  <si>
    <t>ACH-RD-CH-0001</t>
  </si>
  <si>
    <t>ACHIRA LABS — INVENTORY ADJUSTMENT LOG</t>
  </si>
  <si>
    <t>📋  HOW TO USE:  (1) Enter Adj ID manually or use formula.  (2) Select ARN from dropdown — Item Name &amp; Unit auto-fill.  (3) Select Adjustment Type and enter Quantity.  (4) Fill Reason and your name.  (5) Leave Tally Sync Status as 'Not Synced'.</t>
  </si>
  <si>
    <t>ACH-RD-CH-0002</t>
  </si>
  <si>
    <t>Item Name
(auto-fill)</t>
  </si>
  <si>
    <t>Unit
(auto-fill)</t>
  </si>
  <si>
    <t>Adj Type</t>
  </si>
  <si>
    <t>Quantity</t>
  </si>
  <si>
    <t>Effect</t>
  </si>
  <si>
    <t>Reason / Notes</t>
  </si>
  <si>
    <t>Issued To</t>
  </si>
  <si>
    <t>Project</t>
  </si>
  <si>
    <t xml:space="preserve">Stores Manager </t>
  </si>
  <si>
    <t>Approved By</t>
  </si>
  <si>
    <t>Tally Sync</t>
  </si>
  <si>
    <t>Remarks</t>
  </si>
  <si>
    <t>ADJ-0001</t>
  </si>
  <si>
    <t>2026-07-08</t>
  </si>
  <si>
    <t>09:30</t>
  </si>
  <si>
    <t>ACHIRA LABS — CONFIGURATION &amp; DROPDOWN LISTS  (Admin Use Only)</t>
  </si>
  <si>
    <t>ACH-RD-CH-0003</t>
  </si>
  <si>
    <t>ADJUSTMENT TYPES</t>
  </si>
  <si>
    <t>EFFECT</t>
  </si>
  <si>
    <t>STATUS</t>
  </si>
  <si>
    <t>TALLY SYNC</t>
  </si>
  <si>
    <t>WAREHOUSE / LOCATION</t>
  </si>
  <si>
    <t>STORE MANAGERS</t>
  </si>
  <si>
    <t>Inward</t>
  </si>
  <si>
    <t>+Add</t>
  </si>
  <si>
    <t>Not Synced</t>
  </si>
  <si>
    <t>2-8 Fridge R_D Section</t>
  </si>
  <si>
    <t>Store Manager 1</t>
  </si>
  <si>
    <t>Damage</t>
  </si>
  <si>
    <t>-Deduct</t>
  </si>
  <si>
    <t>Synced</t>
  </si>
  <si>
    <t>MFG Store</t>
  </si>
  <si>
    <t>Store Manager 2</t>
  </si>
  <si>
    <t>Return</t>
  </si>
  <si>
    <t>Rejected</t>
  </si>
  <si>
    <t>Sync Error</t>
  </si>
  <si>
    <t>Engineering Store</t>
  </si>
  <si>
    <t>Store Manager 3</t>
  </si>
  <si>
    <t>Recount</t>
  </si>
  <si>
    <t>General Store</t>
  </si>
  <si>
    <t>(Add names here)</t>
  </si>
  <si>
    <t>Transfer In</t>
  </si>
  <si>
    <t>Cold Room</t>
  </si>
  <si>
    <t>Transfer Out</t>
  </si>
  <si>
    <t>Ambient Store</t>
  </si>
  <si>
    <t>Write-Off</t>
  </si>
  <si>
    <t>QC Store</t>
  </si>
  <si>
    <t>Quarantine Area</t>
  </si>
  <si>
    <t>ARN DEPARTMENT &amp; SUB-CATEGORY REFERENCE</t>
  </si>
  <si>
    <t>ACH-RD-CH-0004</t>
  </si>
  <si>
    <t>Sub-Cat</t>
  </si>
  <si>
    <t>Full Code</t>
  </si>
  <si>
    <t>Description</t>
  </si>
  <si>
    <t>1000</t>
  </si>
  <si>
    <t>AB</t>
  </si>
  <si>
    <t>ACH-RD-AB</t>
  </si>
  <si>
    <t>Antibodies &amp; Antigens</t>
  </si>
  <si>
    <t>ACH-RD-CH</t>
  </si>
  <si>
    <t>Chemicals &amp; Reagents</t>
  </si>
  <si>
    <t>FL</t>
  </si>
  <si>
    <t>ACH-RD-FL</t>
  </si>
  <si>
    <t>Fluorophores &amp; Bioconjugates</t>
  </si>
  <si>
    <t>BG</t>
  </si>
  <si>
    <t>ACH-RD-BG</t>
  </si>
  <si>
    <t>Biologics &amp; Standards</t>
  </si>
  <si>
    <t>ACH-RD-CM</t>
  </si>
  <si>
    <t>R&amp;D Consumables</t>
  </si>
  <si>
    <t>KT</t>
  </si>
  <si>
    <t>ACH-RD-KT</t>
  </si>
  <si>
    <t>Kits &amp; Controls</t>
  </si>
  <si>
    <t>ACH-MF-RM</t>
  </si>
  <si>
    <t>Raw Materials</t>
  </si>
  <si>
    <t>BATCH-001</t>
  </si>
  <si>
    <t>Stock received from vendor</t>
  </si>
  <si>
    <t>CT</t>
  </si>
  <si>
    <t>ACH-MF-CT</t>
  </si>
  <si>
    <t>Cartridge Parts</t>
  </si>
  <si>
    <t>Store Manager</t>
  </si>
  <si>
    <t>ACH-MF-PM</t>
  </si>
  <si>
    <t>Packaging Materials</t>
  </si>
  <si>
    <t>ACH-MF-LB</t>
  </si>
  <si>
    <t>Lab Head</t>
  </si>
  <si>
    <t>Labels &amp; Stickers</t>
  </si>
  <si>
    <t>ACH-MF-CM</t>
  </si>
  <si>
    <t>MFG Consumables</t>
  </si>
  <si>
    <t>JG</t>
  </si>
  <si>
    <t>ACH-MF-JG</t>
  </si>
  <si>
    <t>Jigs &amp; Fixtures</t>
  </si>
  <si>
    <t>EN</t>
  </si>
  <si>
    <t>EQ</t>
  </si>
  <si>
    <t>ACH-EN-EQ</t>
  </si>
  <si>
    <t>Equipment &amp; Instruments</t>
  </si>
  <si>
    <t>ADJ-0002</t>
  </si>
  <si>
    <t>EL</t>
  </si>
  <si>
    <t>ACH-EN-EL</t>
  </si>
  <si>
    <t>Electronics &amp; PCBs</t>
  </si>
  <si>
    <t>ME</t>
  </si>
  <si>
    <t>ACH-EN-ME</t>
  </si>
  <si>
    <t>10:15</t>
  </si>
  <si>
    <t>Mechanical Parts</t>
  </si>
  <si>
    <t>ACH-MF-CT-0005</t>
  </si>
  <si>
    <t>OP</t>
  </si>
  <si>
    <t>ACH-EN-OP</t>
  </si>
  <si>
    <t>Optical Components</t>
  </si>
  <si>
    <t>SP</t>
  </si>
  <si>
    <t>ACH-EN-SP</t>
  </si>
  <si>
    <t>Software &amp; Services</t>
  </si>
  <si>
    <t>HK</t>
  </si>
  <si>
    <t>ACH-GN-HK</t>
  </si>
  <si>
    <t>Housekeeping &amp; Canteen</t>
  </si>
  <si>
    <t>OF</t>
  </si>
  <si>
    <t>ACH-GN-OF</t>
  </si>
  <si>
    <t>Office Supplies</t>
  </si>
  <si>
    <t>IT</t>
  </si>
  <si>
    <t>ACH-GN-IT</t>
  </si>
  <si>
    <t>IT &amp; Peripherals</t>
  </si>
  <si>
    <t>FA</t>
  </si>
  <si>
    <t>ACH-GN-FA</t>
  </si>
  <si>
    <t>Facilities</t>
  </si>
  <si>
    <t>SF</t>
  </si>
  <si>
    <t>ACH-GN-SF</t>
  </si>
  <si>
    <t>Safety</t>
  </si>
  <si>
    <t>ACH-RD-AB-0003</t>
  </si>
  <si>
    <t>50</t>
  </si>
  <si>
    <t>Damaged during assembly</t>
  </si>
  <si>
    <t>Awaiting approval</t>
  </si>
  <si>
    <t>ADJ-0003</t>
  </si>
  <si>
    <t>ADJ-0013</t>
  </si>
  <si>
    <t>💡  To add more items to this summary: copy any formula row above and paste below, then update the ARN in column A.</t>
  </si>
  <si>
    <t>SM01-0050-Assay Diluent - Protein Free</t>
  </si>
  <si>
    <t>Issue</t>
  </si>
  <si>
    <t>Testing</t>
  </si>
  <si>
    <t>Siddharth R</t>
  </si>
  <si>
    <t>2026-07-08T12:16:40.138Z</t>
  </si>
  <si>
    <t>ADJ-0019</t>
  </si>
  <si>
    <t>TEST</t>
  </si>
  <si>
    <t>Sid</t>
  </si>
  <si>
    <t>TEst</t>
  </si>
  <si>
    <t>2026-07-08T14:40:03.829Z</t>
  </si>
  <si>
    <t>ADJ-0021</t>
  </si>
  <si>
    <t>131050- Antibody Stabilizer</t>
  </si>
  <si>
    <t>ul</t>
  </si>
  <si>
    <t>Testing done</t>
  </si>
  <si>
    <t>TFT (Software test)</t>
  </si>
  <si>
    <t>2026-07-08T18:08:28.281Z</t>
  </si>
  <si>
    <t>ADJ-0023</t>
  </si>
  <si>
    <t>ACH-EN-EL-0005</t>
  </si>
  <si>
    <t>Feather nRF52 Bluefruit LE nRF52832 ARM Cortex M4F</t>
  </si>
  <si>
    <t>testing</t>
  </si>
  <si>
    <t>2026-07-09T04:52:13.815Z</t>
  </si>
  <si>
    <t>ADJ-0040</t>
  </si>
  <si>
    <t>ACH-RD-CH-0008</t>
  </si>
  <si>
    <t>A3059-Albumin from Bovine Serum</t>
  </si>
  <si>
    <t>mg</t>
  </si>
  <si>
    <t>dfgh</t>
  </si>
  <si>
    <t>ghfds</t>
  </si>
  <si>
    <t>dfghjk</t>
  </si>
  <si>
    <t>Raghavendra Katti</t>
  </si>
  <si>
    <t>2026-07-09T07:16:26.470Z</t>
  </si>
  <si>
    <t>CONFIRM-001</t>
  </si>
  <si>
    <t>Test Item</t>
  </si>
  <si>
    <t>GR/DD/001</t>
  </si>
  <si>
    <t>Confirmation test</t>
  </si>
  <si>
    <t>2026-07-09T07:17:39.078Z</t>
  </si>
  <si>
    <t>ADJ-0042</t>
  </si>
  <si>
    <t>2FSH2 F2 Anti FSH Beta Chain</t>
  </si>
  <si>
    <t>ug</t>
  </si>
  <si>
    <t>Dummy entry</t>
  </si>
  <si>
    <t>2026-07-10T05:31:09.671Z</t>
  </si>
  <si>
    <t>ADJ-0044</t>
  </si>
  <si>
    <t>13/07/2026</t>
  </si>
  <si>
    <t>ACH-EN-ME-0304</t>
  </si>
  <si>
    <t>FIAI-OH-G-001 - Filter retainer</t>
  </si>
  <si>
    <t>New parts arrived</t>
  </si>
  <si>
    <t>ACHIRA LABS — MASTER ITEM LIST  (Source: Zoho + ARN Assignment)</t>
  </si>
  <si>
    <t>2026-07-13T06:34:08.645Z</t>
  </si>
  <si>
    <t>ADJ-0045</t>
  </si>
  <si>
    <t>Restock</t>
  </si>
  <si>
    <t>Zoho Item ID</t>
  </si>
  <si>
    <t>2026-07-13T06:57:39.655Z</t>
  </si>
  <si>
    <t>ADJ-0048</t>
  </si>
  <si>
    <t>Sub-Category</t>
  </si>
  <si>
    <t>Zoho Category</t>
  </si>
  <si>
    <t>SKU</t>
  </si>
  <si>
    <t>Purchase Price</t>
  </si>
  <si>
    <t>Stock On Hand</t>
  </si>
  <si>
    <t>Warehouse / Location</t>
  </si>
  <si>
    <t>Preferred Vendor</t>
  </si>
  <si>
    <t>Product Type</t>
  </si>
  <si>
    <t>New stock</t>
  </si>
  <si>
    <t>Last Updated</t>
  </si>
  <si>
    <t>Nitin CM</t>
  </si>
  <si>
    <t>2026-07-13T10:12:08.691Z</t>
  </si>
  <si>
    <t>ADJ-0049</t>
  </si>
  <si>
    <t>A1653-ALBUMIN FROM HUMAN SERUM</t>
  </si>
  <si>
    <t>Sigma</t>
  </si>
  <si>
    <t>INR 0.014</t>
  </si>
  <si>
    <t>Inactive</t>
  </si>
  <si>
    <t>goods</t>
  </si>
  <si>
    <t>Assay Development</t>
  </si>
  <si>
    <t>Hytest</t>
  </si>
  <si>
    <t>INR 9.435</t>
  </si>
  <si>
    <t>Opening stock — new item approved via ARN Assignment</t>
  </si>
  <si>
    <t>Active</t>
  </si>
  <si>
    <t>2026-07-13T16:12:09.679Z</t>
  </si>
  <si>
    <t>LF Assay</t>
  </si>
  <si>
    <t>ADJ-0050</t>
  </si>
  <si>
    <t>Surmodics</t>
  </si>
  <si>
    <t>INR 0.16758</t>
  </si>
  <si>
    <t>Biogenuix Medsystems Pvt. Ltd.</t>
  </si>
  <si>
    <t>ACH-EN-EL-0001</t>
  </si>
  <si>
    <t>Candoor</t>
  </si>
  <si>
    <t>INR 0.50</t>
  </si>
  <si>
    <t>BioAzure Technologies Pvt. Ltd.</t>
  </si>
  <si>
    <t>A3699-Acrylamide/bis-Acrylamide</t>
  </si>
  <si>
    <t>INR 0.06405</t>
  </si>
  <si>
    <t>Sigma Aldrich Chemicals Pvt Ltd</t>
  </si>
  <si>
    <t>2026-07-13T16:16:15.432Z</t>
  </si>
  <si>
    <t>ACH-RD-CH-0005</t>
  </si>
  <si>
    <t>A2281-Amikacan Sulfate</t>
  </si>
  <si>
    <t>ADJ-0051</t>
  </si>
  <si>
    <t>TCI</t>
  </si>
  <si>
    <t>INR 0.074</t>
  </si>
  <si>
    <t>ACH-RD-CH-0006</t>
  </si>
  <si>
    <t>A2092-Anmpicillin Tridydrate</t>
  </si>
  <si>
    <t>ACHIRA LABS — INVENTORY DASHBOARD</t>
  </si>
  <si>
    <t>INR 0.74</t>
  </si>
  <si>
    <t>Scientific &amp; Allied Products</t>
  </si>
  <si>
    <t>ACH-RD-CH-0007</t>
  </si>
  <si>
    <t>29281-8 - Acrylsaure(2-Hydroxy Ethyl Ester)</t>
  </si>
  <si>
    <t>2026-07-13T16:47:47.687Z</t>
  </si>
  <si>
    <t>INR 0.01</t>
  </si>
  <si>
    <t>ACH-RD-AB-0001</t>
  </si>
  <si>
    <t>100066 -Anti-h Alpha Subunit - 6601-SPR5</t>
  </si>
  <si>
    <t>Medix</t>
  </si>
  <si>
    <t>INR 6.60</t>
  </si>
  <si>
    <t>Last refreshed from Zoho: July 2026  |  Total items: 3,414  |  Active: 3,412  |  Inactive: 2</t>
  </si>
  <si>
    <t>For the cartridge well cover</t>
  </si>
  <si>
    <t>ACH-GN-IT-0001</t>
  </si>
  <si>
    <t>Sudarshan</t>
  </si>
  <si>
    <t>NVIDIA RTX A4000 - 16GB CARD</t>
  </si>
  <si>
    <t>Capex</t>
  </si>
  <si>
    <t>NVIDIA</t>
  </si>
  <si>
    <t>INR 70400.00</t>
  </si>
  <si>
    <t>2026-07-13T17:15:27.185Z</t>
  </si>
  <si>
    <t>No Expiry</t>
  </si>
  <si>
    <t>ADJ-0052</t>
  </si>
  <si>
    <t>ACH-MF-CM-0063</t>
  </si>
  <si>
    <t>Nitrogen - UHP</t>
  </si>
  <si>
    <t>Total Items</t>
  </si>
  <si>
    <t>INR 0.53736</t>
  </si>
  <si>
    <t>ACH-RD-CH-0009</t>
  </si>
  <si>
    <t>338818 - Ammonium Hydroxide Solution</t>
  </si>
  <si>
    <t>Nitrogen cylinders for MFG</t>
  </si>
  <si>
    <t>Active Items</t>
  </si>
  <si>
    <t>Nikihil</t>
  </si>
  <si>
    <t>INR 0.068153</t>
  </si>
  <si>
    <t>ACH-RD-CH-0010</t>
  </si>
  <si>
    <t>Inactive Items</t>
  </si>
  <si>
    <t>A7906-Bovine Serum Albumin</t>
  </si>
  <si>
    <t>2026-07-14T06:36:47.114Z</t>
  </si>
  <si>
    <t>ADJ-0054</t>
  </si>
  <si>
    <t>INR 0.83326</t>
  </si>
  <si>
    <t>ACH-MF-CT-0090</t>
  </si>
  <si>
    <t>ACH-RD-FL-0001</t>
  </si>
  <si>
    <t>RD Items</t>
  </si>
  <si>
    <t>BFR10D6012X300X - Blood Separation Membrane Type: FR-1(0.6), Size: 12x300mm</t>
  </si>
  <si>
    <t>B4501-Biotin 99% (HPLC) Liophilized Powder</t>
  </si>
  <si>
    <t>INR 0.0208</t>
  </si>
  <si>
    <t>MFG Items</t>
  </si>
  <si>
    <t>Blood Separation Membrane (LFA)</t>
  </si>
  <si>
    <t>ACH-RD-CH-0011</t>
  </si>
  <si>
    <t>621650500501730-BSA (Bovine Serum Albumin)</t>
  </si>
  <si>
    <t>ENG Items</t>
  </si>
  <si>
    <t>2026-07-14T07:00:48.411Z</t>
  </si>
  <si>
    <t>INR 1.00</t>
  </si>
  <si>
    <t>ADJ-0056</t>
  </si>
  <si>
    <t>24/07/2026</t>
  </si>
  <si>
    <t>ACH-RD-CH-0012</t>
  </si>
  <si>
    <t>ACH-RD-CM-0094</t>
  </si>
  <si>
    <t>A2153 - Bovine Serum Albumin</t>
  </si>
  <si>
    <t>Liquid Nitrogen</t>
  </si>
  <si>
    <t>3414</t>
  </si>
  <si>
    <t>Ltr</t>
  </si>
  <si>
    <t>INR 0.57792</t>
  </si>
  <si>
    <t>Liquid nitrogen</t>
  </si>
  <si>
    <t>ACH-RD-CH-0013</t>
  </si>
  <si>
    <t>411744- 1,4-Butanediol Diacrylate</t>
  </si>
  <si>
    <t>3412</t>
  </si>
  <si>
    <t>Logged</t>
  </si>
  <si>
    <t>INR 0.03994</t>
  </si>
  <si>
    <t>2026-07-24T06:41:58.198Z</t>
  </si>
  <si>
    <t>ACH-RD-CH-0014</t>
  </si>
  <si>
    <t>MB083-Bovin Serum Albumin</t>
  </si>
  <si>
    <t>2</t>
  </si>
  <si>
    <t>27/07/2026</t>
  </si>
  <si>
    <t>ACH-MF-CM-0002</t>
  </si>
  <si>
    <t>Himedia</t>
  </si>
  <si>
    <t>Gloves Medium</t>
  </si>
  <si>
    <t>INR 0.07448</t>
  </si>
  <si>
    <t>Vasa Scientific Company</t>
  </si>
  <si>
    <t>1727</t>
  </si>
  <si>
    <t>ACH-RD-CH-0015</t>
  </si>
  <si>
    <t>B6916-Bradford Reagent</t>
  </si>
  <si>
    <t>INR 0.015</t>
  </si>
  <si>
    <t>For Manufacturing</t>
  </si>
  <si>
    <t>331</t>
  </si>
  <si>
    <t>SIDDHARTH</t>
  </si>
  <si>
    <t>RPT</t>
  </si>
  <si>
    <t>ACH-RD-CH-0016</t>
  </si>
  <si>
    <t>B684970 - 2-Bromo 17 beta estradiol</t>
  </si>
  <si>
    <t>2026-07-27T10:24:49.338Z</t>
  </si>
  <si>
    <t>1130</t>
  </si>
  <si>
    <t>TRC</t>
  </si>
  <si>
    <t>INR 0.15</t>
  </si>
  <si>
    <t>Toronto Research Chemicals, Inc.</t>
  </si>
  <si>
    <t>ACH-RD-CH-0017</t>
  </si>
  <si>
    <t>C1063 - Chorionic Gonadotropin, Human</t>
  </si>
  <si>
    <t>INR 0.674399</t>
  </si>
  <si>
    <t>Chikungunya IGM ELISA - MicroLisa</t>
  </si>
  <si>
    <t>J Mitra</t>
  </si>
  <si>
    <t>Test</t>
  </si>
  <si>
    <t>INR 140.625</t>
  </si>
  <si>
    <t>Aspire Diagnoline Pvt. Ltd</t>
  </si>
  <si>
    <t>ACH-RD-FL-0002</t>
  </si>
  <si>
    <t>CdTe Quantum Dots</t>
  </si>
  <si>
    <t>Plasmachem</t>
  </si>
  <si>
    <t>INR 0.741</t>
  </si>
  <si>
    <t>Plasmachem GmbH</t>
  </si>
  <si>
    <t>ACH-RD-KT-0002</t>
  </si>
  <si>
    <t>Dengue IGM ELISA - MicroLisa</t>
  </si>
  <si>
    <t>INR 84.895</t>
  </si>
  <si>
    <t>ACH-RD-KT-0003</t>
  </si>
  <si>
    <t>Dengue IGG ELISA-MicroLisa</t>
  </si>
  <si>
    <t>ITEMS BY DEPARTMENT &amp; SUB-CATEGORY</t>
  </si>
  <si>
    <t>ACH-RD-CH-0018</t>
  </si>
  <si>
    <t>522953-Dodecylbenzenesulfonic Acid 70 wt% Solution in 2-proponal</t>
  </si>
  <si>
    <t>Code</t>
  </si>
  <si>
    <t>Total</t>
  </si>
  <si>
    <t>INR 0.012</t>
  </si>
  <si>
    <t>ACH-RD-CH-0019</t>
  </si>
  <si>
    <t>D0632-DL-Dithiothreitol</t>
  </si>
  <si>
    <t>INR 1.82</t>
  </si>
  <si>
    <t>375.1% -Carboxylate -1.5 Mmol/g</t>
  </si>
  <si>
    <t>Betulium</t>
  </si>
  <si>
    <t>INR 0.0069</t>
  </si>
  <si>
    <t>ACH-RD-FL-0003</t>
  </si>
  <si>
    <t>CMS095 - D-Biotin</t>
  </si>
  <si>
    <t>INR 2.65</t>
  </si>
  <si>
    <t>ACH-RD-FL-0004</t>
  </si>
  <si>
    <t>DY-647P4-NHS-Easter</t>
  </si>
  <si>
    <t>Dyomics</t>
  </si>
  <si>
    <t>INR 11.76</t>
  </si>
  <si>
    <t>Dyomics GmbH</t>
  </si>
  <si>
    <t>ACH-RD-FL-0005</t>
  </si>
  <si>
    <t>-20 Fridge R_D Section</t>
  </si>
  <si>
    <t>ACH-RD-FL-0006</t>
  </si>
  <si>
    <t>DY-634-NHS-Easter</t>
  </si>
  <si>
    <t>INR 8.925</t>
  </si>
  <si>
    <t>ACH-RD-FL-0007</t>
  </si>
  <si>
    <t>DY-649-NHS-Easter</t>
  </si>
  <si>
    <t>Consumables</t>
  </si>
  <si>
    <t>ACH-RD-FL-0008</t>
  </si>
  <si>
    <t>DY-649P1-NHS-Easter</t>
  </si>
  <si>
    <t>ACH-RD-FL-0009</t>
  </si>
  <si>
    <t>DY-651-Amin</t>
  </si>
  <si>
    <t>ACH-RD-FL-0010</t>
  </si>
  <si>
    <t>DY-654-Amin</t>
  </si>
  <si>
    <t>ACH-RD-FL-0011</t>
  </si>
  <si>
    <t>DY-634-Amin</t>
  </si>
  <si>
    <t>ACH-RD-FL-0012</t>
  </si>
  <si>
    <t>DY-654-NHS-Easter</t>
  </si>
  <si>
    <t>ACH-RD-FL-0013</t>
  </si>
  <si>
    <t>DY-634-Maleimide</t>
  </si>
  <si>
    <t>ACH-RD-CH-0020</t>
  </si>
  <si>
    <t>E5630-B-Estradiol - 6()-Carboxmethtl) oxime-BSA</t>
  </si>
  <si>
    <t>INR 3.75</t>
  </si>
  <si>
    <t>ACH-RD-FL-0014</t>
  </si>
  <si>
    <t>FD250S-Fluorescein isothiocyanate dextran</t>
  </si>
  <si>
    <t>INR 0.038</t>
  </si>
  <si>
    <t>ACH-RD-FL-0015</t>
  </si>
  <si>
    <t>FD2000S - Fluorescein isothiocyanate dextran</t>
  </si>
  <si>
    <t>ACH-RD-FL-0016</t>
  </si>
  <si>
    <t>FD500S -Fluorescein isothiocyanate dextran</t>
  </si>
  <si>
    <t>ACH-RD-FL-0017</t>
  </si>
  <si>
    <t>19773-Fluoresbrite BB Carboxylate Microspheres 0.05um</t>
  </si>
  <si>
    <t>Polyscience</t>
  </si>
  <si>
    <t>INR 4.8048</t>
  </si>
  <si>
    <t>Genomid Life Science</t>
  </si>
  <si>
    <t>ACH-RD-FL-0018</t>
  </si>
  <si>
    <t>16661-Fluoresbrite YG Carboxylate Microspheres 0.05um</t>
  </si>
  <si>
    <t>INR 4.7938</t>
  </si>
  <si>
    <t>100022-Anti-H LH-5304-SP-5</t>
  </si>
  <si>
    <t>INR 5.192</t>
  </si>
  <si>
    <t>ACH-RD-CH-0021</t>
  </si>
  <si>
    <t>22586-DSP Dithiobis (succinimidylpropionate)</t>
  </si>
  <si>
    <t>Thermo</t>
  </si>
  <si>
    <t>INR 0.3025</t>
  </si>
  <si>
    <t>ACH-RD-CH-0022</t>
  </si>
  <si>
    <t>ML014 - 0.5 M EDTA pH 8.0 Used in various Molecular Biology Applications</t>
  </si>
  <si>
    <t>ACH-RD-CH-0023</t>
  </si>
  <si>
    <t>Room Temperature R_D Section</t>
  </si>
  <si>
    <t>ACH-RD-CH-0024</t>
  </si>
  <si>
    <t>F1141 - Fibronectin 0.1% Solution from Bovine Plasa</t>
  </si>
  <si>
    <t>INR 12.61</t>
  </si>
  <si>
    <t>ACH-RD-CH-0025</t>
  </si>
  <si>
    <t>Fluoro-Max - Carboxylate-Modified Died Macroparticles</t>
  </si>
  <si>
    <t>ACH-RD-AB-0004</t>
  </si>
  <si>
    <t>Fibrinogen Reagent- Thrombine</t>
  </si>
  <si>
    <t>Technoclone</t>
  </si>
  <si>
    <t>ACH-RD-FL-0019</t>
  </si>
  <si>
    <t>GSXR150 - Bioready Gold Nanoshells</t>
  </si>
  <si>
    <t>Nano Composix</t>
  </si>
  <si>
    <t>INR 4.20</t>
  </si>
  <si>
    <t>Amplicon Biotech</t>
  </si>
  <si>
    <t>ACH-RD-CH-0026</t>
  </si>
  <si>
    <t>H7379 Hemoglobin Human</t>
  </si>
  <si>
    <t>INR 5.68</t>
  </si>
  <si>
    <t>ACH-RD-CH-0027</t>
  </si>
  <si>
    <t>467804-Hydroxylamine Solution</t>
  </si>
  <si>
    <t>INR 0.5328</t>
  </si>
  <si>
    <t>ACH-RD-AB-0005</t>
  </si>
  <si>
    <t>MBS173396 Human Serum Albumin - Protease Free</t>
  </si>
  <si>
    <t>MyBiosource</t>
  </si>
  <si>
    <t>INR 11.20</t>
  </si>
  <si>
    <t>ACH-RD-CH-0028</t>
  </si>
  <si>
    <t>477028 - Hydroxyenthel methacrylate</t>
  </si>
  <si>
    <t>INR 0.17</t>
  </si>
  <si>
    <t>ACH-RD-CH-0029</t>
  </si>
  <si>
    <t>G0383- Gentamicin Sulphate</t>
  </si>
  <si>
    <t>INR 5.10</t>
  </si>
  <si>
    <t>ACH-RD-CH-0030</t>
  </si>
  <si>
    <t>254169 - Gold (III) Chloride Hydrate</t>
  </si>
  <si>
    <t>INR 1.76</t>
  </si>
  <si>
    <t>ACH-RD-AB-0006</t>
  </si>
  <si>
    <t>100011 - Anti-HCG - 5014 - SPTN-5</t>
  </si>
  <si>
    <t>INR 2.25</t>
  </si>
  <si>
    <t>ACH-RD-AB-0007</t>
  </si>
  <si>
    <t>P01-29342 -Anti Hemoglobin Polyclonal Antibody</t>
  </si>
  <si>
    <t>INR 34.48</t>
  </si>
  <si>
    <t>ACH-RD-AB-0008</t>
  </si>
  <si>
    <t>Anti-HCG 2H8 Mab F1</t>
  </si>
  <si>
    <t>INR 3.50</t>
  </si>
  <si>
    <t>HyTest Ltd</t>
  </si>
  <si>
    <t>ACH-RD-CH-0031</t>
  </si>
  <si>
    <t>H3375-HEPES</t>
  </si>
  <si>
    <t>INR 0.175</t>
  </si>
  <si>
    <t>ACH-RD-CH-0032</t>
  </si>
  <si>
    <t>107689 - Hexadimethrine bromide</t>
  </si>
  <si>
    <t>INR 0.60</t>
  </si>
  <si>
    <t>ACH-RD-CH-0033</t>
  </si>
  <si>
    <t>477028-2-Hydroxyethyl methacrylate 99%</t>
  </si>
  <si>
    <t>ACH-RD-CH-0034</t>
  </si>
  <si>
    <t>308633 - 2-Hydroxyethyl Cellulose</t>
  </si>
  <si>
    <t>INR 0.16</t>
  </si>
  <si>
    <t>ACH-RD-CH-0035</t>
  </si>
  <si>
    <t>475807 - Glycerol 1,3-diglycerolate diacrylate</t>
  </si>
  <si>
    <t>INR 0.03</t>
  </si>
  <si>
    <t>ACH-RD-CH-0036</t>
  </si>
  <si>
    <t>I6256-2-Iminothiolane hydrochloride</t>
  </si>
  <si>
    <t>INR 0.05</t>
  </si>
  <si>
    <t>ACH-RD-CH-0037</t>
  </si>
  <si>
    <t>I6758 - Isopropyl B-D-1thiogalactopyranoside</t>
  </si>
  <si>
    <t>INR 6.49</t>
  </si>
  <si>
    <t>ACH-RD-CH-0038</t>
  </si>
  <si>
    <t>33015 - ImmunoPure AMCA - Hydrazide</t>
  </si>
  <si>
    <t>INR 0.21</t>
  </si>
  <si>
    <t>ACH-RD-AB-0009</t>
  </si>
  <si>
    <t>I5381 - IGG from Mouse Serum</t>
  </si>
  <si>
    <t>INR 3.90</t>
  </si>
  <si>
    <t>ACH-EN-EL-0002</t>
  </si>
  <si>
    <t>160050 - Liquid Plate Sealer</t>
  </si>
  <si>
    <t>INR 0.25</t>
  </si>
  <si>
    <t>ACH-EN-EL-0003</t>
  </si>
  <si>
    <t>ACH-RD-CH-0039</t>
  </si>
  <si>
    <t>MB098-Lysozyme</t>
  </si>
  <si>
    <t>INR 5.23</t>
  </si>
  <si>
    <t>ACH-RD-CH-0040</t>
  </si>
  <si>
    <t>ACH-RD-CH-0041</t>
  </si>
  <si>
    <t>900889-Lithium Phenyl -2, 4,6 - Trimethylbenzene - Yl phosphonate</t>
  </si>
  <si>
    <t>INR 17.11</t>
  </si>
  <si>
    <t>ACH-RD-AB-0010</t>
  </si>
  <si>
    <t>100019 - Anti-H LH 5303 SPRN-1</t>
  </si>
  <si>
    <t>ACH-RD-KT-0004</t>
  </si>
  <si>
    <t>Lepto IGM Microlisa</t>
  </si>
  <si>
    <t>INR 119.79</t>
  </si>
  <si>
    <t>ACH-RD-CH-0042</t>
  </si>
  <si>
    <t>L9017- Lectin from Fahseolusvulgaris</t>
  </si>
  <si>
    <t>INR 7.71</t>
  </si>
  <si>
    <t>ACH-RD-AB-0011</t>
  </si>
  <si>
    <t>HCGCD- Monoclonal Antibodt HCG</t>
  </si>
  <si>
    <t>Fapon Biotech</t>
  </si>
  <si>
    <t>INR 0.346</t>
  </si>
  <si>
    <t>ACH-RD-CH-0043</t>
  </si>
  <si>
    <t>MIDARDI Cartridge</t>
  </si>
  <si>
    <t>BiFlow</t>
  </si>
  <si>
    <t>ACH-RD-CH-0044</t>
  </si>
  <si>
    <t>C1063 - Chorionic gonadotropin Human</t>
  </si>
  <si>
    <t>INR 6.74</t>
  </si>
  <si>
    <t>ACH-RD-CH-0045</t>
  </si>
  <si>
    <t>M6500-Cysteamine Hydrochloride</t>
  </si>
  <si>
    <t>INR 0.126</t>
  </si>
  <si>
    <t>ACH-RD-CH-0046</t>
  </si>
  <si>
    <t>2-Bromo 17B-Estradial</t>
  </si>
  <si>
    <t>INR 0.11</t>
  </si>
  <si>
    <t>ACH-RD-FL-0020</t>
  </si>
  <si>
    <t>Fluidmag-CT</t>
  </si>
  <si>
    <t>Chemicell</t>
  </si>
  <si>
    <t>INR 0.32</t>
  </si>
  <si>
    <t>ACH-RD-CH-0047</t>
  </si>
  <si>
    <t>P8375 - Peroxidase from horseradish</t>
  </si>
  <si>
    <t>INR 67.15</t>
  </si>
  <si>
    <t>ACH-RD-CH-0048</t>
  </si>
  <si>
    <t>77332- Peroxidase from horseradish</t>
  </si>
  <si>
    <t>Fluka</t>
  </si>
  <si>
    <t>INR 0.10</t>
  </si>
  <si>
    <t>ACH-RD-AB-0012</t>
  </si>
  <si>
    <t>P0012-02 - Rabitt Anti Goat IGG Absorbed</t>
  </si>
  <si>
    <t>Abexome</t>
  </si>
  <si>
    <t>ACH-RD-AB-0013</t>
  </si>
  <si>
    <t>100038 - Anti-H PRL 5601 - SP-1</t>
  </si>
  <si>
    <t>INR 3.58</t>
  </si>
  <si>
    <t>ACH-RD-CH-0049</t>
  </si>
  <si>
    <t>P3277 - Progesterone</t>
  </si>
  <si>
    <t>INR 0.268</t>
  </si>
  <si>
    <t>ACH-RD-AB-0014</t>
  </si>
  <si>
    <t>NO1275H - Hama Serum</t>
  </si>
  <si>
    <t>Meridian</t>
  </si>
  <si>
    <t>INR 7.125</t>
  </si>
  <si>
    <t>Meridian Life Science Inc</t>
  </si>
  <si>
    <t>ACH-RD-AB-0015</t>
  </si>
  <si>
    <t>A01270H - Rheumatoid Factor CTRL Plasma</t>
  </si>
  <si>
    <t>INR 15.15</t>
  </si>
  <si>
    <t>ACH-RD-CH-0050</t>
  </si>
  <si>
    <t>122-49 - Carbon Coinductive Link</t>
  </si>
  <si>
    <t>Creative Materials</t>
  </si>
  <si>
    <t>INR 0.052</t>
  </si>
  <si>
    <t>ACH-RD-CH-0051</t>
  </si>
  <si>
    <t>113-12 - Thinner Solvent</t>
  </si>
  <si>
    <t>INR 0.0286</t>
  </si>
  <si>
    <t>ACH-RD-KT-0005</t>
  </si>
  <si>
    <t>Ni-NTA Agarose</t>
  </si>
  <si>
    <t>Qiagen</t>
  </si>
  <si>
    <t>INR 1.10</t>
  </si>
  <si>
    <t>ACH-RD-CH-0052</t>
  </si>
  <si>
    <t>655201 -Poly (3,4-ethylendioxythiophene) - Poly (styrene sulfonate) Formulations for high conductivity coatings</t>
  </si>
  <si>
    <t>ACH-RD-CH-0053</t>
  </si>
  <si>
    <t>455008 - Poly (ethylene glycol) diacrylate</t>
  </si>
  <si>
    <t>INR 0.039</t>
  </si>
  <si>
    <t>ACH-RD-CH-0054</t>
  </si>
  <si>
    <t>ACH-RD-CH-0055</t>
  </si>
  <si>
    <t>447943 - Poly (ethylene glycol) methyl ethier methacrylate</t>
  </si>
  <si>
    <t>INR 0.046</t>
  </si>
  <si>
    <t>ACH-RD-CH-0056</t>
  </si>
  <si>
    <t>469815 - Poly (propylene glycol) acrylate</t>
  </si>
  <si>
    <t>ACH-RD-CH-0057</t>
  </si>
  <si>
    <t>475629 - Poly (ethylene glycol) diacrylate</t>
  </si>
  <si>
    <t>ACH-RD-CH-0058</t>
  </si>
  <si>
    <t>409510 - Poly (ethylene glycol) methacrylate</t>
  </si>
  <si>
    <t>INR 0.027</t>
  </si>
  <si>
    <t>ACH-RD-CH-0059</t>
  </si>
  <si>
    <t>437468 - Poly (ethylene glycol) methacrylate Mn 750</t>
  </si>
  <si>
    <t>INR 0.034</t>
  </si>
  <si>
    <t>ACH-RD-AB-0016</t>
  </si>
  <si>
    <t>392 - Phospate</t>
  </si>
  <si>
    <t>ACH-RD-CH-0060</t>
  </si>
  <si>
    <t>158127 - Paraformaldehyde</t>
  </si>
  <si>
    <t>INR 0.065</t>
  </si>
  <si>
    <t>ACH-RD-AB-0017</t>
  </si>
  <si>
    <t>100360 - Anti-H PRL 5602 - SP-1</t>
  </si>
  <si>
    <t>INR 10.92</t>
  </si>
  <si>
    <t>ACH-RD-AB-0018</t>
  </si>
  <si>
    <t>10XRBC Lysis Buffer</t>
  </si>
  <si>
    <t>EBioscience</t>
  </si>
  <si>
    <t>INR 1.069</t>
  </si>
  <si>
    <t>ACH-RD-AB-0019</t>
  </si>
  <si>
    <t>P6031 - Protein A from staphylococcus aureus</t>
  </si>
  <si>
    <t>INR 8.235</t>
  </si>
  <si>
    <t>ACH-RD-CH-0061</t>
  </si>
  <si>
    <t>822A - Quantum CY 5 MESF</t>
  </si>
  <si>
    <t>Quantum</t>
  </si>
  <si>
    <t>ACH-RD-AB-0020</t>
  </si>
  <si>
    <t>IC050 - RF Absorbant - IGG Stripper</t>
  </si>
  <si>
    <t>The Binding Sight Group</t>
  </si>
  <si>
    <t>INR 1.4999</t>
  </si>
  <si>
    <t>ACH-RD-AB-0021</t>
  </si>
  <si>
    <t>393 - Phosphate</t>
  </si>
  <si>
    <t>ACH-RD-CH-0062</t>
  </si>
  <si>
    <t>K-1377 - Kanamycin Sulfate from Streptomyces kanamyceticus</t>
  </si>
  <si>
    <t>INR 5.3058</t>
  </si>
  <si>
    <t>ACH-RD-AB-0022</t>
  </si>
  <si>
    <t>700017 - Anti Vitamin 25OH D2/D3</t>
  </si>
  <si>
    <t>INR 13.494</t>
  </si>
  <si>
    <t>ACH-RD-CH-0063</t>
  </si>
  <si>
    <t>T9285 - Tris- EDTA Buffer Solution</t>
  </si>
  <si>
    <t>INR 0.028</t>
  </si>
  <si>
    <t>ACH-RD-AB-0023</t>
  </si>
  <si>
    <t>S0677 - Streptavidin from Streptomyces</t>
  </si>
  <si>
    <t>INR 2.357</t>
  </si>
  <si>
    <t>ACH-RD-AB-0024</t>
  </si>
  <si>
    <t>100254 - Anti-h TSH 5407 SPTN-5</t>
  </si>
  <si>
    <t>INR 11.778</t>
  </si>
  <si>
    <t>ACH-RD-AB-0025</t>
  </si>
  <si>
    <t>100034 - Anti-h TSH 5409 SPTN-5</t>
  </si>
  <si>
    <t>INR 6.123</t>
  </si>
  <si>
    <t>ACH-RD-AB-0026</t>
  </si>
  <si>
    <t>65001 - Streptavidin C1</t>
  </si>
  <si>
    <t>INR 24.42</t>
  </si>
  <si>
    <t>ACH-RD-CH-0064</t>
  </si>
  <si>
    <t>H0345 - Trans - 2- Hexenal</t>
  </si>
  <si>
    <t>INR 0.088</t>
  </si>
  <si>
    <t>ACH-RD-CH-0065</t>
  </si>
  <si>
    <t>75259 - Tris (2-carboxy ethyle) phosphine hydro chloride</t>
  </si>
  <si>
    <t>INR 11.42</t>
  </si>
  <si>
    <t>ACH-RD-CH-0066</t>
  </si>
  <si>
    <t>T6399 - Trichloroacetic Acid</t>
  </si>
  <si>
    <t>INR 0.072</t>
  </si>
  <si>
    <t>ACH-RD-CH-0067</t>
  </si>
  <si>
    <t>T9281 - NNNN Tetramethylethylenediamine</t>
  </si>
  <si>
    <t>INR 0.0486</t>
  </si>
  <si>
    <t>ACH-RD-CH-0068</t>
  </si>
  <si>
    <t>2T61H1 - Anti Thyroxine</t>
  </si>
  <si>
    <t>INR 9.681</t>
  </si>
  <si>
    <t>ACH-RD-CH-0069</t>
  </si>
  <si>
    <t>2T7 3A6 - Anti Triiodo Thyronine</t>
  </si>
  <si>
    <t>INR 9.672</t>
  </si>
  <si>
    <t>ACH-RD-CH-0070</t>
  </si>
  <si>
    <t>C4706 - Tris (2-Carboxy Ethyl), Phosphine Hydrochloride</t>
  </si>
  <si>
    <t>INR 8.01</t>
  </si>
  <si>
    <t>ACH-RD-KT-0006</t>
  </si>
  <si>
    <t>Ichroma T3 Solution A,B</t>
  </si>
  <si>
    <t>Ichroma</t>
  </si>
  <si>
    <t>INR 80.00</t>
  </si>
  <si>
    <t>ACH-RD-KT-0007</t>
  </si>
  <si>
    <t>Ichroma T3 Quantative Tests</t>
  </si>
  <si>
    <t>ACH-RD-CH-0071</t>
  </si>
  <si>
    <t>Ichroma T4 Quantative Tests</t>
  </si>
  <si>
    <t>INR 70.12</t>
  </si>
  <si>
    <t>ACH-RD-KT-0008</t>
  </si>
  <si>
    <t>Ichroma T4 Solution A,B</t>
  </si>
  <si>
    <t>ACH-RD-KT-0009</t>
  </si>
  <si>
    <t>Ichroma Testosterone Detection Buffer</t>
  </si>
  <si>
    <t>INR 90.00</t>
  </si>
  <si>
    <t>ACH-RD-KT-0010</t>
  </si>
  <si>
    <t>Ichroma Testosterone Quantative Tests</t>
  </si>
  <si>
    <t>ACH-RD-KT-0011</t>
  </si>
  <si>
    <t>Ichroma TSH Plus Buffer</t>
  </si>
  <si>
    <t>INR 54.42</t>
  </si>
  <si>
    <t>ACH-RD-KT-0012</t>
  </si>
  <si>
    <t>Ichroma Vitamin D Quantative Tests</t>
  </si>
  <si>
    <t>INR 380.00</t>
  </si>
  <si>
    <t>ACH-RD-FL-0021</t>
  </si>
  <si>
    <t>Bioready Passive Conjugation Kit</t>
  </si>
  <si>
    <t>INR 82582.30</t>
  </si>
  <si>
    <t>Ultrananotech</t>
  </si>
  <si>
    <t>ACH-RD-CH-0072</t>
  </si>
  <si>
    <t>89891 - Giba Spin Desalting Columns 7KMWCO 5mL</t>
  </si>
  <si>
    <t>INR 1226.25</t>
  </si>
  <si>
    <t>ACH-RD-FL-0022</t>
  </si>
  <si>
    <t>B-1012-010 - Chromalink Biotin Malemide</t>
  </si>
  <si>
    <t>Solulink</t>
  </si>
  <si>
    <t>ACH-RD-AB-0027</t>
  </si>
  <si>
    <t>Anti - Thyroxine T3</t>
  </si>
  <si>
    <t>EastCoast</t>
  </si>
  <si>
    <t>Eastcoast</t>
  </si>
  <si>
    <t>ACH-RD-AB-0028</t>
  </si>
  <si>
    <t>Anti - Thyroxine T4</t>
  </si>
  <si>
    <t>ACH-RD-AB-0029</t>
  </si>
  <si>
    <t>A23010067P - T3 Mab Pure</t>
  </si>
  <si>
    <t>BioSpecific</t>
  </si>
  <si>
    <t>INR 15.46</t>
  </si>
  <si>
    <t>ACH-RD-AB-0030</t>
  </si>
  <si>
    <t>2TS11 - TSH Antibody</t>
  </si>
  <si>
    <t>ACH-RD-AB-0031</t>
  </si>
  <si>
    <t>2T2 XM209</t>
  </si>
  <si>
    <t>ACH-RD-FL-0023</t>
  </si>
  <si>
    <t>ORB24435 - Testosterone</t>
  </si>
  <si>
    <t>Bioorbit</t>
  </si>
  <si>
    <t>INR 56.86</t>
  </si>
  <si>
    <t>ACH-RD-FL-0024</t>
  </si>
  <si>
    <t>MD01001 - Maxi STA 1.0</t>
  </si>
  <si>
    <t>Magna Medica</t>
  </si>
  <si>
    <t>ACH-RD-CH-0073</t>
  </si>
  <si>
    <t>M0960000 - European Pharmacopoeia - Reference Standard</t>
  </si>
  <si>
    <t>INR 0.105</t>
  </si>
  <si>
    <t>ACH-RD-CH-0074</t>
  </si>
  <si>
    <t>P-XYGLN-Xyloglucan (Tamarind)</t>
  </si>
  <si>
    <t>Uselect</t>
  </si>
  <si>
    <t>Megazyme</t>
  </si>
  <si>
    <t>INR 1.032</t>
  </si>
  <si>
    <t>ACH-RD-KT-0013</t>
  </si>
  <si>
    <t>Ichroma TSH</t>
  </si>
  <si>
    <t>ACH-RD-AB-0032</t>
  </si>
  <si>
    <t>Anti Vitamin D3</t>
  </si>
  <si>
    <t>Bioventix</t>
  </si>
  <si>
    <t>INR 41.25</t>
  </si>
  <si>
    <t>ACH-RD-AB-0033</t>
  </si>
  <si>
    <t>Calibrators T4</t>
  </si>
  <si>
    <t>Accubind</t>
  </si>
  <si>
    <t>INR 162.50</t>
  </si>
  <si>
    <t>ACH-RD-AB-0034</t>
  </si>
  <si>
    <t>Calibrators - Testosterone</t>
  </si>
  <si>
    <t>Calbiotech</t>
  </si>
  <si>
    <t>INR 103.90</t>
  </si>
  <si>
    <t>ACH-RD-AB-0035</t>
  </si>
  <si>
    <t>8CY5 Recombinant human Cystatin C</t>
  </si>
  <si>
    <t>INR 144.00</t>
  </si>
  <si>
    <t>-80 Fridge R_D Section</t>
  </si>
  <si>
    <t>ACH-RD-AB-0036</t>
  </si>
  <si>
    <t>MBS609092 - Mycobacterium Tuberculosis</t>
  </si>
  <si>
    <t>ACH-RD-CH-0075</t>
  </si>
  <si>
    <t>F-H130 - Bilirubin Conjugate</t>
  </si>
  <si>
    <t>Echelon Bioscience</t>
  </si>
  <si>
    <t>INR 0.084</t>
  </si>
  <si>
    <t>ACH-RD-CH-0076</t>
  </si>
  <si>
    <t>DENVX4-NS1-100 - Dengue Virus NS1 Protrien Serotype Pack (4)</t>
  </si>
  <si>
    <t>Duallife</t>
  </si>
  <si>
    <t>ACH-RD-CM-0001</t>
  </si>
  <si>
    <t>655906 - 96 Well Microplate, ÂµClearÂ®, PS, F-Bottom (Chimney Well), Black, Non-Binding</t>
  </si>
  <si>
    <t>Greiner Bio-One</t>
  </si>
  <si>
    <t>INR 720.00</t>
  </si>
  <si>
    <t>Jain Biologicals Pvt. Ltd</t>
  </si>
  <si>
    <t>ACH-RD-CH-0077</t>
  </si>
  <si>
    <t>C8667 - Cholesterol</t>
  </si>
  <si>
    <t>INR 1.09</t>
  </si>
  <si>
    <t>ACH-RD-CH-0078</t>
  </si>
  <si>
    <t>704369 - Poly (ethyl glycol) Dithiol</t>
  </si>
  <si>
    <t>INR 24.198</t>
  </si>
  <si>
    <t>ACH-RD-CH-0079</t>
  </si>
  <si>
    <t>C-8868 - Cholesterol Oxidase from Brevi Bactrium SP</t>
  </si>
  <si>
    <t>INR 191.34</t>
  </si>
  <si>
    <t>ACH-RD-AB-0037</t>
  </si>
  <si>
    <t>Q0329 - Polyclonal Rabbit Anti Human C Reactive Protein</t>
  </si>
  <si>
    <t>Dako</t>
  </si>
  <si>
    <t>ACH-RD-AB-0038</t>
  </si>
  <si>
    <t>LCO-301 - Lactate Oxidase</t>
  </si>
  <si>
    <t>Toyoko</t>
  </si>
  <si>
    <t>INR 230.87</t>
  </si>
  <si>
    <t>ACH-RD-CH-0080</t>
  </si>
  <si>
    <t>15529-01 - Ultra pure IPTG (ISO Propylthio Beta - D Galactoside)</t>
  </si>
  <si>
    <t>INR 7.17</t>
  </si>
  <si>
    <t>ACH-RD-CH-0081</t>
  </si>
  <si>
    <t>15520-034 - Ultra pure X-Gal (5-Gromo-4-Cholo-3 Indolyl B-Galacloside</t>
  </si>
  <si>
    <t>INR 0.0277</t>
  </si>
  <si>
    <t>ACH-RD-AB-0039</t>
  </si>
  <si>
    <t>21121 - Pierce Avidin</t>
  </si>
  <si>
    <t>INR 1.6018</t>
  </si>
  <si>
    <t>ACH-RD-FL-0025</t>
  </si>
  <si>
    <t>HA-6011 - Hyaluronate Biotin</t>
  </si>
  <si>
    <t>Creative Pegworks</t>
  </si>
  <si>
    <t>INR 1.005</t>
  </si>
  <si>
    <t>Creative PEGWorks</t>
  </si>
  <si>
    <t>ACH-RD-CH-0082</t>
  </si>
  <si>
    <t>C7025 - Carbonic Anhydrase from bovine erythrocytes</t>
  </si>
  <si>
    <t>INR 11033.40</t>
  </si>
  <si>
    <t>ACH-RD-CH-0083</t>
  </si>
  <si>
    <t>49180 - Glucose Oxidase from Aspergillus niger</t>
  </si>
  <si>
    <t>INR 0.006</t>
  </si>
  <si>
    <t>ACH-RD-CH-0084</t>
  </si>
  <si>
    <t>H5388 - Hyaluronic Acid Sodium Sault</t>
  </si>
  <si>
    <t>INR 0.001</t>
  </si>
  <si>
    <t>ACH-RD-AB-0040</t>
  </si>
  <si>
    <t>108-036-003 - Peroxidase Conjugated Affinipure (AB)2-Fragmant Goat Anti Horse IgG</t>
  </si>
  <si>
    <t>Jakson</t>
  </si>
  <si>
    <t>INR 10.83</t>
  </si>
  <si>
    <t>ACH-RD-CH-0085</t>
  </si>
  <si>
    <t>53747 -Hyaluronic acid sodium salt from Streptococcus equi</t>
  </si>
  <si>
    <t>INR 5.01</t>
  </si>
  <si>
    <t>ACH-RD-CH-0086</t>
  </si>
  <si>
    <t>O1008 - Oleic Acid</t>
  </si>
  <si>
    <t>INR 1.01</t>
  </si>
  <si>
    <t>ACH-RD-FL-0026</t>
  </si>
  <si>
    <t>PHB-1986 - AC-Peg - NH2</t>
  </si>
  <si>
    <t>INR 0.2625</t>
  </si>
  <si>
    <t>ACH-RD-CH-0087</t>
  </si>
  <si>
    <t>12575-015 - AcTEV Protease</t>
  </si>
  <si>
    <t>INR 33.479</t>
  </si>
  <si>
    <t>ACH-RD-AB-0041</t>
  </si>
  <si>
    <t>P6031 - Protein A from staphylococcus Aureus Soluble</t>
  </si>
  <si>
    <t>INR 5.868</t>
  </si>
  <si>
    <t>ACH-RD-CH-0088</t>
  </si>
  <si>
    <t>43720 - NN - Disuccinimidyl Carbonate</t>
  </si>
  <si>
    <t>INR 1.1063</t>
  </si>
  <si>
    <t>ACH-RD-FL-0027</t>
  </si>
  <si>
    <t>568864 - Fluorescein O-methacrylate</t>
  </si>
  <si>
    <t>INR 0.022</t>
  </si>
  <si>
    <t>ACH-RD-CH-0089</t>
  </si>
  <si>
    <t>PHB-960- AC-PEG-SCM</t>
  </si>
  <si>
    <t>INR 0.91</t>
  </si>
  <si>
    <t>ACH-RD-CH-0090</t>
  </si>
  <si>
    <t>M3671 - MES, low moisture content</t>
  </si>
  <si>
    <t>INR 0.13</t>
  </si>
  <si>
    <t>ACH-RD-CH-0091</t>
  </si>
  <si>
    <t>PHR1237 - Cholecalciferol Vitamin D3</t>
  </si>
  <si>
    <t>INR 0.026</t>
  </si>
  <si>
    <t>ACH-RD-CH-0092</t>
  </si>
  <si>
    <t>T7513 - Thrombin from bovine plasma</t>
  </si>
  <si>
    <t>INR 256.85</t>
  </si>
  <si>
    <t>ACH-RD-AB-0042</t>
  </si>
  <si>
    <t>710070 - Vitamin D Antigen NH2</t>
  </si>
  <si>
    <t>INR 32.585</t>
  </si>
  <si>
    <t>ACH-RD-CH-0093</t>
  </si>
  <si>
    <t>L1376 - Linoleic Acid</t>
  </si>
  <si>
    <t>INR 0.3108</t>
  </si>
  <si>
    <t>ACH-RD-AB-0043</t>
  </si>
  <si>
    <t>HOR-249 - FSH Human</t>
  </si>
  <si>
    <t>Prospec</t>
  </si>
  <si>
    <t>INR 0.67</t>
  </si>
  <si>
    <t>ACH-RD-CH-0094</t>
  </si>
  <si>
    <t>E7750 - N-3-Dimethyle Amino Propyl N-Ethyl Carbo Diamide Hydrochloride</t>
  </si>
  <si>
    <t>INR 1.135</t>
  </si>
  <si>
    <t>ACH-RD-AB-0044</t>
  </si>
  <si>
    <t>M8642 - Anti-Mouse IgG (whole molecule) antibody produced in goat</t>
  </si>
  <si>
    <t>INR 14.67</t>
  </si>
  <si>
    <t>ACH-RD-CH-0095</t>
  </si>
  <si>
    <t>BA00849978-001</t>
  </si>
  <si>
    <t>ACH-RD-AB-0045</t>
  </si>
  <si>
    <t>710048 - Vitamin D Antigen BSA Conjugate</t>
  </si>
  <si>
    <t>INR 20.10</t>
  </si>
  <si>
    <t>ACH-RD-CH-0096</t>
  </si>
  <si>
    <t>C125700 - Calcifediol</t>
  </si>
  <si>
    <t>INR 3.1125</t>
  </si>
  <si>
    <t>ACH-RD-CH-0097</t>
  </si>
  <si>
    <t>BA00849979-001</t>
  </si>
  <si>
    <t>ACH-RD-CH-0098</t>
  </si>
  <si>
    <t>94285 - Urease From Canavalia Ensiformis</t>
  </si>
  <si>
    <t>INR 0.004</t>
  </si>
  <si>
    <t>ACH-RD-CH-0099</t>
  </si>
  <si>
    <t>P6282 - Poly-L-Lysine Hydro Bromide</t>
  </si>
  <si>
    <t>INR 5.675</t>
  </si>
  <si>
    <t>ACH-RD-FL-0028</t>
  </si>
  <si>
    <t>1854200 -Sulfo NHS Biotin</t>
  </si>
  <si>
    <t>INR 0.59</t>
  </si>
  <si>
    <t>ACH-RD-FL-0029</t>
  </si>
  <si>
    <t>Fluorescein - PEG-NHS</t>
  </si>
  <si>
    <t>INR 0.3135</t>
  </si>
  <si>
    <t>ACH-RD-CH-0100</t>
  </si>
  <si>
    <t>H995835 - 25 Hydroxy Vitamin D3 3.3 Amino Prophyl Ether</t>
  </si>
  <si>
    <t>INR 12.25</t>
  </si>
  <si>
    <t>ACH-RD-BG-0001</t>
  </si>
  <si>
    <t>88/638 - Thyroxine-binding globulin. WHO, International Standard</t>
  </si>
  <si>
    <t>NIBSC</t>
  </si>
  <si>
    <t>INR 9900.00</t>
  </si>
  <si>
    <t>ACH-RD-FL-0030</t>
  </si>
  <si>
    <t>PJK-1971 -Biotin Peg AC</t>
  </si>
  <si>
    <t>INR 56.00</t>
  </si>
  <si>
    <t>ACH-RD-CH-0101</t>
  </si>
  <si>
    <t>A2883 - L-Agrine Ethyl Easter Dihydro Chloride</t>
  </si>
  <si>
    <t>INR 0.573</t>
  </si>
  <si>
    <t>ACH-RD-CH-0102</t>
  </si>
  <si>
    <t>H3884 - Hyaluronidase from Bovine Tests</t>
  </si>
  <si>
    <t>ACH-RD-CH-0103</t>
  </si>
  <si>
    <t>G7141 - Glucose Oxidase from Asper Gillus Niger</t>
  </si>
  <si>
    <t>INR 125.25</t>
  </si>
  <si>
    <t>ACH-RD-CH-0104</t>
  </si>
  <si>
    <t>729094 - Poly(ethylene glycol) diacrylate 10000</t>
  </si>
  <si>
    <t>INR 10.3563</t>
  </si>
  <si>
    <t>ACH-RD-CH-0105</t>
  </si>
  <si>
    <t>701963 - Poly (ethylene glycol) diacrylate 6000</t>
  </si>
  <si>
    <t>INR 12.7317</t>
  </si>
  <si>
    <t>ACH-RD-CH-0106</t>
  </si>
  <si>
    <t>A3913 - L-Argininamide dihydrochloride</t>
  </si>
  <si>
    <t>INR 5.34</t>
  </si>
  <si>
    <t>ACH-RD-FL-0031</t>
  </si>
  <si>
    <t>21325 - EZ-Link NHS Chromogenic Biotin</t>
  </si>
  <si>
    <t>INR 0.4627</t>
  </si>
  <si>
    <t>ACH-RD-AB-0046</t>
  </si>
  <si>
    <t>10-T25C - TSH Beta Antibody</t>
  </si>
  <si>
    <t>Fitzgerald</t>
  </si>
  <si>
    <t>INR 6.65</t>
  </si>
  <si>
    <t>Fitzgerald Industries International</t>
  </si>
  <si>
    <t>ACH-RD-CH-0107</t>
  </si>
  <si>
    <t>T2501 - L Thyroxine Sodium Sault Penta Hydrate</t>
  </si>
  <si>
    <t>INR 13.70</t>
  </si>
  <si>
    <t>ACH-RD-CH-0108</t>
  </si>
  <si>
    <t>HE003023 - SH-PEG-SC</t>
  </si>
  <si>
    <t>BioChem Peg</t>
  </si>
  <si>
    <t>INR 21.00</t>
  </si>
  <si>
    <t>ACH-RD-CH-0109</t>
  </si>
  <si>
    <t>ACH-RD-CH-0110</t>
  </si>
  <si>
    <t>T2752 - 3,3,5 - Triiodo L Thyronine Sodium Salt</t>
  </si>
  <si>
    <t>INR 43.84</t>
  </si>
  <si>
    <t>ACH-RD-CH-0111</t>
  </si>
  <si>
    <t>ICP1322 - Triidio Thyronine - BSA Conjugate</t>
  </si>
  <si>
    <t>Immunochem</t>
  </si>
  <si>
    <t>INR 9.9275</t>
  </si>
  <si>
    <t>ACH-RD-CH-0112</t>
  </si>
  <si>
    <t>T6397 - 3,3,5 Trridio Lthyronine Sodium Salt</t>
  </si>
  <si>
    <t>INR 0.08</t>
  </si>
  <si>
    <t>ACH-RD-CH-0113</t>
  </si>
  <si>
    <t>DENVX4-NS1-100 - Dengue Virus NS1 Protein Serotype Pack</t>
  </si>
  <si>
    <t>INR 174090.00</t>
  </si>
  <si>
    <t>ACH-RD-CH-0114</t>
  </si>
  <si>
    <t>R01538 - Leptospira Interrogans Recomb</t>
  </si>
  <si>
    <t>INR 87.57</t>
  </si>
  <si>
    <t>ACH-RD-AB-0047</t>
  </si>
  <si>
    <t>10-3419 - Human IGM Antibody</t>
  </si>
  <si>
    <t>INR 12.00</t>
  </si>
  <si>
    <t>ACH-RD-AB-0048</t>
  </si>
  <si>
    <t>10-3150 - Human IGG Antibody</t>
  </si>
  <si>
    <t>ACH-RD-AB-0049</t>
  </si>
  <si>
    <t>10-2697 - Malaria Pan PLDH Antibody</t>
  </si>
  <si>
    <t>INR 7.50</t>
  </si>
  <si>
    <t>ACH-RD-AB-0050</t>
  </si>
  <si>
    <t>10-2694 - Malaria Pan PLDH Antibody</t>
  </si>
  <si>
    <t>INR 7.60</t>
  </si>
  <si>
    <t>ACH-RD-BG-0002</t>
  </si>
  <si>
    <t>84/500 - Prolactin, Human. WHO International Standard</t>
  </si>
  <si>
    <t>INR 9500.00</t>
  </si>
  <si>
    <t>ACH-RD-AB-0051</t>
  </si>
  <si>
    <t>LA512-CO524 Respiratory Syncytial Virus (RSV-fusion) Antigen</t>
  </si>
  <si>
    <t>INR 100.60</t>
  </si>
  <si>
    <t>ACH-RD-AB-0052</t>
  </si>
  <si>
    <t>Ab201795 - Biotin Conjuction Kit</t>
  </si>
  <si>
    <t>Abcam</t>
  </si>
  <si>
    <t>INR 22.968</t>
  </si>
  <si>
    <t>ACH-RD-AB-0053</t>
  </si>
  <si>
    <t>Ab269889 - Europium Conjuction Kit</t>
  </si>
  <si>
    <t>INR 746.55</t>
  </si>
  <si>
    <t>ACH-RD-AB-0054</t>
  </si>
  <si>
    <t>40592 - Recombinant SARS Covi II - Spike RBD MFC Recomb Protien</t>
  </si>
  <si>
    <t>Seno Biological</t>
  </si>
  <si>
    <t>INR 339.33</t>
  </si>
  <si>
    <t>ACH-RD-CH-0115</t>
  </si>
  <si>
    <t>31390 - Dextran from Leuconostoc spp. - Mr-70,000</t>
  </si>
  <si>
    <t>INR 0.23772</t>
  </si>
  <si>
    <t>ACH-RD-CH-0116</t>
  </si>
  <si>
    <t>9892G - DNA ZAP - Solution Two - Completelydegrades allDNA and RNA contamination from glass and plastic surfaces</t>
  </si>
  <si>
    <t>Ambion</t>
  </si>
  <si>
    <t>INR 0.04045</t>
  </si>
  <si>
    <t>ACH-RD-CH-0117</t>
  </si>
  <si>
    <t>9892G - DNA ZAP - Solution One - Completelydegrades allDNA and RNA contamination from glass and plastic surfaces</t>
  </si>
  <si>
    <t>ACH-RD-CH-0118</t>
  </si>
  <si>
    <t>31388 - Dextran from Leuconostoc spp Mr - 6,000</t>
  </si>
  <si>
    <t>INR 0.3476</t>
  </si>
  <si>
    <t>ACH-RD-CH-0119</t>
  </si>
  <si>
    <t>09184 - F - Dextran from Leuconostoc spp Mr-100,000</t>
  </si>
  <si>
    <t>INR 0.1798</t>
  </si>
  <si>
    <t>ACH-RD-CH-0120</t>
  </si>
  <si>
    <t>D2004- 4-(Dimethylamino)benzaldehyde</t>
  </si>
  <si>
    <t>INR 0.1156</t>
  </si>
  <si>
    <t>ACH-RD-CH-0121</t>
  </si>
  <si>
    <t>359025 - Didodecyldimethylammonium bromide</t>
  </si>
  <si>
    <t>INR 0.68</t>
  </si>
  <si>
    <t>ACH-RD-CH-0122</t>
  </si>
  <si>
    <t>D8130 - 5.5 Dithiobis (2-nitrobenzoic acid)</t>
  </si>
  <si>
    <t>INR 0.003</t>
  </si>
  <si>
    <t>ACH-RD-CH-0123</t>
  </si>
  <si>
    <t>646563 -DL-Dithiothreitol solution</t>
  </si>
  <si>
    <t>ml</t>
  </si>
  <si>
    <t>INR 2071.26</t>
  </si>
  <si>
    <t>ACH-RD-CH-0124</t>
  </si>
  <si>
    <t>7612.1 - Dextransulfat 40 Natriumsalz for dieBiochemie</t>
  </si>
  <si>
    <t>Roth</t>
  </si>
  <si>
    <t>INR 1.45</t>
  </si>
  <si>
    <t>ACH-RD-CH-0125</t>
  </si>
  <si>
    <t>E5134 - Ethylenediaminetetraacetic acid disodium salt dithydrate 99%</t>
  </si>
  <si>
    <t>ACH-RD-CH-0126</t>
  </si>
  <si>
    <t>D21, 820-0 5.5 Dithiobis (2 nitrobenzoic acid) 99%</t>
  </si>
  <si>
    <t>INR 2.35</t>
  </si>
  <si>
    <t>ACH-RD-CM-0002</t>
  </si>
  <si>
    <t>23585 - Ferric Chloride</t>
  </si>
  <si>
    <t>Fischer</t>
  </si>
  <si>
    <t>INR 0.005</t>
  </si>
  <si>
    <t>ACH-RD-CH-0127</t>
  </si>
  <si>
    <t>455547 - Faerroceneboronic acid</t>
  </si>
  <si>
    <t>INR 0.06</t>
  </si>
  <si>
    <t>ACH-RD-CH-0128</t>
  </si>
  <si>
    <t>F4381 - Furosemide</t>
  </si>
  <si>
    <t>INR 4.42</t>
  </si>
  <si>
    <t>ACH-RD-CH-0129</t>
  </si>
  <si>
    <t>E4009 - Eosin Y</t>
  </si>
  <si>
    <t>INR 0.87</t>
  </si>
  <si>
    <t>ACH-RD-CH-0130</t>
  </si>
  <si>
    <t>E8875 - B-Estradiol</t>
  </si>
  <si>
    <t>INR 14.97</t>
  </si>
  <si>
    <t>ACH-RD-CH-0131</t>
  </si>
  <si>
    <t>17220 (054817) (1239-45-8) - Ethidium Bromide</t>
  </si>
  <si>
    <t>SRL</t>
  </si>
  <si>
    <t>INR 3.24</t>
  </si>
  <si>
    <t>ACH-RD-CH-0132</t>
  </si>
  <si>
    <t>F4375 - Ficoll PM 400</t>
  </si>
  <si>
    <t>INR 0.62</t>
  </si>
  <si>
    <t>ACH-RD-CH-0133</t>
  </si>
  <si>
    <t>50046 - Glycine</t>
  </si>
  <si>
    <t>INR 0.02</t>
  </si>
  <si>
    <t>ACH-RD-CH-0134</t>
  </si>
  <si>
    <t>D7528 - D-(+)-Glucose</t>
  </si>
  <si>
    <t>INR 0.008</t>
  </si>
  <si>
    <t>ACH-RD-CH-0135</t>
  </si>
  <si>
    <t>G5400 - D-(+)-Glucose</t>
  </si>
  <si>
    <t>ACH-RD-CH-0136</t>
  </si>
  <si>
    <t>G7041 - Gelatin from Coldwater fish skin</t>
  </si>
  <si>
    <t>INR 0.002</t>
  </si>
  <si>
    <t>ACH-RD-CH-0137</t>
  </si>
  <si>
    <t>410225 - Glycine ACS reagent 98%</t>
  </si>
  <si>
    <t>ACH-RD-CH-0138</t>
  </si>
  <si>
    <t>D0750 - D-(+)-Galactose</t>
  </si>
  <si>
    <t>ACH-RD-CH-0139</t>
  </si>
  <si>
    <t>G3272 - Guanidine hydrochloride</t>
  </si>
  <si>
    <t>ACH-RD-FL-0032</t>
  </si>
  <si>
    <t>636347 - Gold Nanopowder</t>
  </si>
  <si>
    <t>INR 42.17</t>
  </si>
  <si>
    <t>ACH-RD-CH-0140</t>
  </si>
  <si>
    <t>254169 - Gold (iii) Chloride Hydrate</t>
  </si>
  <si>
    <t>ACH-RD-CH-0141</t>
  </si>
  <si>
    <t>H7006 - HEPES Sodium Salt = 00.5% (titration)</t>
  </si>
  <si>
    <t>INR 0.174</t>
  </si>
  <si>
    <t>ACH-RD-CH-0142</t>
  </si>
  <si>
    <t>H3784 - HEPES Sodium Sodium Salt</t>
  </si>
  <si>
    <t>INR 0.24</t>
  </si>
  <si>
    <t>ACH-RD-CH-0143</t>
  </si>
  <si>
    <t>H11696 - Hexamethylenediamine</t>
  </si>
  <si>
    <t>INR 0.07</t>
  </si>
  <si>
    <t>ACH-RD-CH-0144</t>
  </si>
  <si>
    <t>40,561-2 Hydroxycyclohexyl - phenyl ketone</t>
  </si>
  <si>
    <t>ACH-RD-CH-0145</t>
  </si>
  <si>
    <t>410896 - 2- Hydroxyl - 4 (2 hydroxy ethoxy) 2-(methyl propiophenone</t>
  </si>
  <si>
    <t>INR 0.49</t>
  </si>
  <si>
    <t>ACH-RD-CH-0146</t>
  </si>
  <si>
    <t>H5126 - 2 - (4-Hydroxyphenylazo) benzonic acid</t>
  </si>
  <si>
    <t>INR 1.63</t>
  </si>
  <si>
    <t>ACH-RD-CH-0147</t>
  </si>
  <si>
    <t>I2399 - Imidazole ACS reagent = 99% (titration)</t>
  </si>
  <si>
    <t>INR 0.04</t>
  </si>
  <si>
    <t>ACH-RD-CH-0148</t>
  </si>
  <si>
    <t>207772 - Iodine ACS reagent = 99.8% solid</t>
  </si>
  <si>
    <t>INR 0.125</t>
  </si>
  <si>
    <t>ACH-RD-CH-0149</t>
  </si>
  <si>
    <t>IO300 - Iron (II, III)Oxide APS 20nm nanopowder</t>
  </si>
  <si>
    <t>Otto</t>
  </si>
  <si>
    <t>INR 0.12</t>
  </si>
  <si>
    <t>Otto Chemie Pvt. Ltd.</t>
  </si>
  <si>
    <t>ACH-RD-CH-0150</t>
  </si>
  <si>
    <t>157740 - Iron (III) Chloride reagent grade 97%</t>
  </si>
  <si>
    <t>INR 0.036</t>
  </si>
  <si>
    <t>ACH-RD-CH-0151</t>
  </si>
  <si>
    <t>62476 - F - Lithium Chloride BioUltra for Molecular Biology</t>
  </si>
  <si>
    <t>INR 0.066</t>
  </si>
  <si>
    <t>ACH-RD-CH-0152</t>
  </si>
  <si>
    <t>123072 - Luminol</t>
  </si>
  <si>
    <t>INR 0.89</t>
  </si>
  <si>
    <t>ACH-RD-CH-0153</t>
  </si>
  <si>
    <t>M9625 - L - Methionine</t>
  </si>
  <si>
    <t>INR 0.29</t>
  </si>
  <si>
    <t>ACH-RD-CH-0154</t>
  </si>
  <si>
    <t>L4280 - Latex beads, carboxylate modified polystyrene fluorescent blue</t>
  </si>
  <si>
    <t>INR 4.94</t>
  </si>
  <si>
    <t>ACH-RD-CH-0155</t>
  </si>
  <si>
    <t>L4655 - Latex beads carboxylate modified polystyrene fluorescent</t>
  </si>
  <si>
    <t>INR 4.95</t>
  </si>
  <si>
    <t>ACH-RD-CH-0156</t>
  </si>
  <si>
    <t>61840900251730 - Leishman Stain</t>
  </si>
  <si>
    <t>ACH-RD-CH-0157</t>
  </si>
  <si>
    <t>M3148 - 2- Mercaptoethanol</t>
  </si>
  <si>
    <t>ACH-RD-CH-0158</t>
  </si>
  <si>
    <t>M3671 - MES -Low Moisture Content</t>
  </si>
  <si>
    <t>INR 0.28</t>
  </si>
  <si>
    <t>ACH-RD-CH-0159</t>
  </si>
  <si>
    <t>H14A_/214_2702_13 - Mannitol - M4125 - Mannitol</t>
  </si>
  <si>
    <t>SDFCL</t>
  </si>
  <si>
    <t>INR 0.006393</t>
  </si>
  <si>
    <t>ACH-RD-CH-0160</t>
  </si>
  <si>
    <t>221279 - Manganese (ii, Chloride Tetra Hydrate)</t>
  </si>
  <si>
    <t>ACH-RD-CH-0161</t>
  </si>
  <si>
    <t>60583305001730 - Magnesium Chloride Hexahydrate GR</t>
  </si>
  <si>
    <t>INR 0.017</t>
  </si>
  <si>
    <t>ACH-RD-CH-0162</t>
  </si>
  <si>
    <t>M0512 - Methyl Cellulose</t>
  </si>
  <si>
    <t>ACH-RD-CM-0003</t>
  </si>
  <si>
    <t>25135 - Magnesium Acetate Tetra Hydrate</t>
  </si>
  <si>
    <t>INR 0.016</t>
  </si>
  <si>
    <t>ACH-RD-CH-0163</t>
  </si>
  <si>
    <t>M1254 - MOPS</t>
  </si>
  <si>
    <t>INR 0.041</t>
  </si>
  <si>
    <t>ACH-RD-CH-0164</t>
  </si>
  <si>
    <t>M0040 - Magnesium Sulfate Hepta Hydrate</t>
  </si>
  <si>
    <t>Rankem</t>
  </si>
  <si>
    <t>ACH-RD-CH-0165</t>
  </si>
  <si>
    <t>M7279 - N,Nâ€²-Methylenebisacrylamide</t>
  </si>
  <si>
    <t>ACH-RD-CH-0166</t>
  </si>
  <si>
    <t>56485 - N-Hydroxy Sulfosuccinimide sodium salt</t>
  </si>
  <si>
    <t>INR 28.29</t>
  </si>
  <si>
    <t>ACH-RD-CH-0167</t>
  </si>
  <si>
    <t>194801 - Mineral Oil</t>
  </si>
  <si>
    <t>MP Biomedicals</t>
  </si>
  <si>
    <t>ACH-RD-CH-0168</t>
  </si>
  <si>
    <t>467901 - Nickel (ii sulfate hexa hydrate)</t>
  </si>
  <si>
    <t>ACH-RD-CH-0169</t>
  </si>
  <si>
    <t>228036 - Oxone Mono Persulfate compound</t>
  </si>
  <si>
    <t>INR 0.26</t>
  </si>
  <si>
    <t>ACH-RD-CH-0170</t>
  </si>
  <si>
    <t>O0133 - 1- Octane sulfonic acid Sodium Salt</t>
  </si>
  <si>
    <t>ACH-RD-CH-0171</t>
  </si>
  <si>
    <t>M7409 - Nonfat - Dried Milk Bovine</t>
  </si>
  <si>
    <t>INR 0.1284</t>
  </si>
  <si>
    <t>ACH-RD-CH-0172</t>
  </si>
  <si>
    <t>542342 - Poly (ethylene glycol) - Block Poly (Propylene Glycol) - Block Poly (Polyethylene glycol)</t>
  </si>
  <si>
    <t>ACH-RD-CH-0173</t>
  </si>
  <si>
    <t>K10313 - Poly ethylene glycol 20000</t>
  </si>
  <si>
    <t>Kamphasol</t>
  </si>
  <si>
    <t>INR 0.168</t>
  </si>
  <si>
    <t>ACH-RD-CH-0174</t>
  </si>
  <si>
    <t>207799 - Potassum Thyocyanate</t>
  </si>
  <si>
    <t>INR 0.007</t>
  </si>
  <si>
    <t>ACH-RD-CH-0175</t>
  </si>
  <si>
    <t>PVP40 - Poly Vinyl Pyrrolidone</t>
  </si>
  <si>
    <t>ACH-RD-CH-0176</t>
  </si>
  <si>
    <t>P8136 - Poly (Vinyl Alcohol)</t>
  </si>
  <si>
    <t>ACH-RD-CH-0177</t>
  </si>
  <si>
    <t>95172 - Poly (ethylene glycol) 20000</t>
  </si>
  <si>
    <t>ACH-RD-KT-0014</t>
  </si>
  <si>
    <t>MLN357 - Diluent - 2 liss</t>
  </si>
  <si>
    <t>Tulip</t>
  </si>
  <si>
    <t>ACH-RD-CH-0178</t>
  </si>
  <si>
    <t>373001 - Poly (ethyleneglycol) Mn 4600</t>
  </si>
  <si>
    <t>ACH-RD-CH-0179</t>
  </si>
  <si>
    <t>363138 - Poly Vinyl Alcohol</t>
  </si>
  <si>
    <t>ACH-RD-CH-0180</t>
  </si>
  <si>
    <t>171468 - Perfluorooctanoic Acid</t>
  </si>
  <si>
    <t>ACH-RD-CH-0181</t>
  </si>
  <si>
    <t>243051 - Poly (Sodium 4-Styrene Sulfonate)</t>
  </si>
  <si>
    <t>INR 0.79</t>
  </si>
  <si>
    <t>ACH-RD-CH-0182</t>
  </si>
  <si>
    <t>702587 - Potassium Ferricyanide (iii)</t>
  </si>
  <si>
    <t>ACH-RD-CH-0183</t>
  </si>
  <si>
    <t>P3504 - Ponceau S</t>
  </si>
  <si>
    <t>INR 1.36</t>
  </si>
  <si>
    <t>ACH-RD-CH-0184</t>
  </si>
  <si>
    <t>808474 -4-arm Poly(ethylene glycol) norbornene terminated</t>
  </si>
  <si>
    <t>INR 20.59</t>
  </si>
  <si>
    <t>ACH-RD-CH-0185</t>
  </si>
  <si>
    <t>20, 244-4 - Poly Ethyl Englykol (3400 Poly ethylene glycol)</t>
  </si>
  <si>
    <t>ACH-RD-CH-0186</t>
  </si>
  <si>
    <t>78181 - Phenyl Boronic Acid</t>
  </si>
  <si>
    <t>ACH-RD-CH-0187</t>
  </si>
  <si>
    <t>262250 - 3-Phenyl Phenol</t>
  </si>
  <si>
    <t>INR 2.46</t>
  </si>
  <si>
    <t>ACH-RD-CH-0188</t>
  </si>
  <si>
    <t>60492005001730 - Potassium Carbonate</t>
  </si>
  <si>
    <t>INR 0.013</t>
  </si>
  <si>
    <t>ACH-RD-CH-0189</t>
  </si>
  <si>
    <t>1.936980521- Potassium Hydrogen Carbonate</t>
  </si>
  <si>
    <t>ACH-RD-CH-0190</t>
  </si>
  <si>
    <t>637726 - Poly Ethylene Glycol Mn 14000</t>
  </si>
  <si>
    <t>ACH-RD-CH-0191</t>
  </si>
  <si>
    <t>1.931030521 - Potassium Hydroxide Pellets</t>
  </si>
  <si>
    <t>ACH-RD-CH-0192</t>
  </si>
  <si>
    <t>81388 - Poly (Vinyl Chloride)</t>
  </si>
  <si>
    <t>ACH-RD-CH-0193</t>
  </si>
  <si>
    <t>1.936670521 - Potassium Hexa Cyanoferrate (iii)</t>
  </si>
  <si>
    <t>ACH-RD-CH-0194</t>
  </si>
  <si>
    <t>1.932100521 - Potassium Permanganate</t>
  </si>
  <si>
    <t>ACH-RD-CH-0195</t>
  </si>
  <si>
    <t>P0380 - L- Proline</t>
  </si>
  <si>
    <t>ACH-RD-CH-0196</t>
  </si>
  <si>
    <t>70171 - Peptone from Casein Acid Digest</t>
  </si>
  <si>
    <t>ACH-RD-CH-0197</t>
  </si>
  <si>
    <t>32661 - Phenol red</t>
  </si>
  <si>
    <t>INR 1.69</t>
  </si>
  <si>
    <t>ACH-RD-CH-0198</t>
  </si>
  <si>
    <t>370533 - 1H, 1H, 2H, 2H - Perfluoro - 1 - Octanol</t>
  </si>
  <si>
    <t>INR 0.09</t>
  </si>
  <si>
    <t>ACH-RD-CH-0199</t>
  </si>
  <si>
    <t>704539 - Poly (Ethylene Glycol) Dithiol Mn 3400</t>
  </si>
  <si>
    <t>INR 24.19</t>
  </si>
  <si>
    <t>ACH-RD-CH-0200</t>
  </si>
  <si>
    <t>V800327 - Potassium Iodide</t>
  </si>
  <si>
    <t>Vetec</t>
  </si>
  <si>
    <t>INR 0.071</t>
  </si>
  <si>
    <t>ACH-RD-CM-0004</t>
  </si>
  <si>
    <t>17-0010-01 - Sephadex G- 10</t>
  </si>
  <si>
    <t>GE Healthcare</t>
  </si>
  <si>
    <t>ACH-RD-CH-0201</t>
  </si>
  <si>
    <t>182702 - Poly (Vinyl Idene Floride)</t>
  </si>
  <si>
    <t>INR 0.14</t>
  </si>
  <si>
    <t>ACH-RD-CH-0202</t>
  </si>
  <si>
    <t>P9333 - Potassium Chloride</t>
  </si>
  <si>
    <t>ACH-RD-CH-0203</t>
  </si>
  <si>
    <t>PHR1051 - Propylene glycol</t>
  </si>
  <si>
    <t>INR 6.24</t>
  </si>
  <si>
    <t>ACH-RD-CM-0005</t>
  </si>
  <si>
    <t>19525 - Potassium Ferrocyanide</t>
  </si>
  <si>
    <t>ACH-RD-CH-0204</t>
  </si>
  <si>
    <t>202444 _ Poly (Ethylene Glycol) Mn 3350</t>
  </si>
  <si>
    <t>ACH-RD-CH-0205</t>
  </si>
  <si>
    <t>81268 - Poly (Ethylene Glycol) 8000</t>
  </si>
  <si>
    <t>ACH-RD-CH-0206</t>
  </si>
  <si>
    <t>81189 - Poly (Ethylene Glycol) 1000</t>
  </si>
  <si>
    <t>ACH-RD-CH-0207</t>
  </si>
  <si>
    <t>8.04518.0025 - N Hydroxy - succinimide for synthesis N-Hydroxysuccinimide</t>
  </si>
  <si>
    <t>ACH-RD-CH-0208</t>
  </si>
  <si>
    <t>61752005001730 - Sodium Hydrogen Carbonate Purified</t>
  </si>
  <si>
    <t>ACH-RD-CH-0209</t>
  </si>
  <si>
    <t>S7795 - Sodium Carbonate</t>
  </si>
  <si>
    <t>ACH-RD-CH-0210</t>
  </si>
  <si>
    <t>61790905001730 - di-Sodium Hydrogen Phosphate Dihydrate GR</t>
  </si>
  <si>
    <t>ACH-RD-CH-0211</t>
  </si>
  <si>
    <t>L3771 - Sodium Dodecyl Sulfate</t>
  </si>
  <si>
    <t>ACH-RD-CH-0212</t>
  </si>
  <si>
    <t>47036 - Saponin</t>
  </si>
  <si>
    <t>ACH-RD-CH-0213</t>
  </si>
  <si>
    <t>61839805001730 - Sucrose</t>
  </si>
  <si>
    <t>ACH-RD-CH-0214</t>
  </si>
  <si>
    <t>S0290 - Sodium Hydroxide Pellets</t>
  </si>
  <si>
    <t>INR 0.0009</t>
  </si>
  <si>
    <t>ACH-RD-CH-0215</t>
  </si>
  <si>
    <t>1064040500 -- Sodium Chloride</t>
  </si>
  <si>
    <t>ACH-RD-CH-0216</t>
  </si>
  <si>
    <t>S8045 - Sodium Hydroxide</t>
  </si>
  <si>
    <t>ACH-RD-CH-0217</t>
  </si>
  <si>
    <t>S1804 - Sodium Citrate</t>
  </si>
  <si>
    <t>ACH-RD-CH-0218</t>
  </si>
  <si>
    <t>71945 - Sodium Salicylate</t>
  </si>
  <si>
    <t>ACH-RD-CH-0219</t>
  </si>
  <si>
    <t>130672 - N Hydroxy Succinimide</t>
  </si>
  <si>
    <t>ACH-RD-CH-0220</t>
  </si>
  <si>
    <t>72328 Piperazine Anhydrous</t>
  </si>
  <si>
    <t>ACH-RD-CH-0221</t>
  </si>
  <si>
    <t>30970 - Sodium Deoxycholate</t>
  </si>
  <si>
    <t>INR 0.142</t>
  </si>
  <si>
    <t>ACH-RD-CH-0222</t>
  </si>
  <si>
    <t>84797 - Poly (ethylene glycol) 2000</t>
  </si>
  <si>
    <t>INR 0.018</t>
  </si>
  <si>
    <t>ACH-RD-CH-0223</t>
  </si>
  <si>
    <t>C15A/0515/0202/62 - D-Sorbitol Extrpure</t>
  </si>
  <si>
    <t>INR 0.0016</t>
  </si>
  <si>
    <t>ACH-RD-CH-0224</t>
  </si>
  <si>
    <t>F14A/0914/1505/31 - Sodium Carbonate Anhydrous</t>
  </si>
  <si>
    <t>INR 0.0008</t>
  </si>
  <si>
    <t>ACH-RD-CH-0225</t>
  </si>
  <si>
    <t>247006 - 5-Sulfo Salicyic Acid Dihydrate</t>
  </si>
  <si>
    <t>ACH-RD-CH-0226</t>
  </si>
  <si>
    <t>85548 - Span 80</t>
  </si>
  <si>
    <t>ACH-RD-CH-0227</t>
  </si>
  <si>
    <t>ORION810007 - Reference Electrode Filling Solution</t>
  </si>
  <si>
    <t>ACH-RD-CH-0228</t>
  </si>
  <si>
    <t>PHR1949 - Sodium Lauryl Sulfate</t>
  </si>
  <si>
    <t>INR 0.94</t>
  </si>
  <si>
    <t>ACH-RD-CH-0229</t>
  </si>
  <si>
    <t>S2002 Sodium Azide</t>
  </si>
  <si>
    <t>INR 0.146</t>
  </si>
  <si>
    <t>ACH-RD-CM-0006</t>
  </si>
  <si>
    <t>15925 - Sucrose</t>
  </si>
  <si>
    <t>ACH-RD-KT-0015</t>
  </si>
  <si>
    <t>Quali Tech - Sodium Metabi Sulphite</t>
  </si>
  <si>
    <t>Quali</t>
  </si>
  <si>
    <t>ACH-RD-CH-0230</t>
  </si>
  <si>
    <t>10213 - 79 - 3 - Sodium Silicate (meta) Pentahydrate</t>
  </si>
  <si>
    <t>Finar</t>
  </si>
  <si>
    <t>ACH-RD-CH-0231</t>
  </si>
  <si>
    <t>432784 - Sodium Poly Acrylate</t>
  </si>
  <si>
    <t>ACH-RD-CM-0007</t>
  </si>
  <si>
    <t>17-0572-02 -- Sephadex G-25 Super Fine DNA Grade</t>
  </si>
  <si>
    <t>ACH-RD-CH-0232</t>
  </si>
  <si>
    <t>S2889 - Sodium Acetate</t>
  </si>
  <si>
    <t>ACH-RD-CH-0233</t>
  </si>
  <si>
    <t>567446 - Sodium Citrate, 2H2O, MB Grade</t>
  </si>
  <si>
    <t>ACH-RD-CH-0234</t>
  </si>
  <si>
    <t>KA14A_0214_2910_31 - Sodium Nitrate AR</t>
  </si>
  <si>
    <t>ACH-RD-CH-0235</t>
  </si>
  <si>
    <t>S1876 - D Sorbitol</t>
  </si>
  <si>
    <t>ACH-RD-CH-0236</t>
  </si>
  <si>
    <t>011961 - Sodium Azide Puriss</t>
  </si>
  <si>
    <t>Spectrochem</t>
  </si>
  <si>
    <t>ACH-RD-CH-0237</t>
  </si>
  <si>
    <t>93363 - Trizma Hydrochloride</t>
  </si>
  <si>
    <t>ACH-RD-CH-0238</t>
  </si>
  <si>
    <t>93362 - Trizma Base</t>
  </si>
  <si>
    <t>ACH-RD-CH-0239</t>
  </si>
  <si>
    <t>T9410 - Tryptone</t>
  </si>
  <si>
    <t>ACH-RD-CH-0240</t>
  </si>
  <si>
    <t>T9531 - D (+) - Trehalose Dihydrate</t>
  </si>
  <si>
    <t>INR 0.36</t>
  </si>
  <si>
    <t>ACH-RD-CH-0241</t>
  </si>
  <si>
    <t>T0377 - Tricine</t>
  </si>
  <si>
    <t>ACH-RD-CH-0242</t>
  </si>
  <si>
    <t>S9640 - Sodium Tetraborte Deca Hydrate</t>
  </si>
  <si>
    <t>ACH-RD-CH-0243</t>
  </si>
  <si>
    <t>13767 - Silica Gel Orange</t>
  </si>
  <si>
    <t>ACH-RD-CH-0244</t>
  </si>
  <si>
    <t>T5941 - Trizma Hydrochloride</t>
  </si>
  <si>
    <t>ACH-RD-CH-0245</t>
  </si>
  <si>
    <t>2044123 - Tris (Hydroxy Methyl) Amino Methane Hydrochloride</t>
  </si>
  <si>
    <t>ACH-RD-CH-0246</t>
  </si>
  <si>
    <t>ML090 - 1M Tris CL Ph 70</t>
  </si>
  <si>
    <t>ACH-RD-CH-0247</t>
  </si>
  <si>
    <t>Xyloglucan from Tamarind Seed</t>
  </si>
  <si>
    <t>ACH-RD-CH-0248</t>
  </si>
  <si>
    <t>637254 - Titanium (iv) Oxide Anatise</t>
  </si>
  <si>
    <t>INR 0.27</t>
  </si>
  <si>
    <t>ACH-RD-AB-0055</t>
  </si>
  <si>
    <t>Ab143720 - L-Thyroxine Sodium Salt Penta Hydrate (Sodium livo thyroxine) thyroid pro hormone T4</t>
  </si>
  <si>
    <t>INR 19.34</t>
  </si>
  <si>
    <t>ACH-RD-CH-0249</t>
  </si>
  <si>
    <t>90210 - D- (+) - Trehalose Dihydrate</t>
  </si>
  <si>
    <t>ACH-RD-CH-0250</t>
  </si>
  <si>
    <t>U214321 - Urea</t>
  </si>
  <si>
    <t>ACH-RD-CH-0251</t>
  </si>
  <si>
    <t>70161 - Yeast Extract</t>
  </si>
  <si>
    <t>ACH-RD-CH-0252</t>
  </si>
  <si>
    <t>U2625 - Uric Acid</t>
  </si>
  <si>
    <t>INR 0.1022</t>
  </si>
  <si>
    <t>ACH-RD-CH-0253</t>
  </si>
  <si>
    <t>B800441 - Urea</t>
  </si>
  <si>
    <t>ACH-RD-CH-0254</t>
  </si>
  <si>
    <t>V3409 - 1- Vinyl 2 Pyrrolidinone</t>
  </si>
  <si>
    <t>ACH-RD-CH-0255</t>
  </si>
  <si>
    <t>29226 - Undecafluorohexanoic acid</t>
  </si>
  <si>
    <t>INR 3.08</t>
  </si>
  <si>
    <t>ACH-RD-CH-0256</t>
  </si>
  <si>
    <t>183180 - Tetrathiafulvalene</t>
  </si>
  <si>
    <t>ACH-RD-CH-0257</t>
  </si>
  <si>
    <t>T4038 - Tris Acetate EDTA Buffer</t>
  </si>
  <si>
    <t>INR 5.06</t>
  </si>
  <si>
    <t>ACH-RD-CH-0258</t>
  </si>
  <si>
    <t>C9157 - Activated Charcoal</t>
  </si>
  <si>
    <t>ACH-RD-CH-0259</t>
  </si>
  <si>
    <t>G6761 - Glycine Sodium Salt Hydrate</t>
  </si>
  <si>
    <t>ACH-RD-CH-0260</t>
  </si>
  <si>
    <t>PVP10 - Polyvinylpyrrolivone</t>
  </si>
  <si>
    <t>ACH-RD-CH-0261</t>
  </si>
  <si>
    <t>81300 - Poly (Ethylene Glycol) Mn20000</t>
  </si>
  <si>
    <t>ACH-RD-CH-0262</t>
  </si>
  <si>
    <t>L3022 - LB Broth</t>
  </si>
  <si>
    <t>ACH-RD-CH-0263</t>
  </si>
  <si>
    <t>S3264 - Sodium Phosphate Dibasic</t>
  </si>
  <si>
    <t>ACH-RD-CH-0264</t>
  </si>
  <si>
    <t>GRM1254 - S M Powder</t>
  </si>
  <si>
    <t>ACH-RD-CH-0265</t>
  </si>
  <si>
    <t>P9791 - Potassium Phosphate Monobasic</t>
  </si>
  <si>
    <t>ACH-RD-CH-0266</t>
  </si>
  <si>
    <t>P9541- Potassium Chloride</t>
  </si>
  <si>
    <t>ACH-RD-CH-0267</t>
  </si>
  <si>
    <t>S3139 -Sodium Phosphate Monobasic</t>
  </si>
  <si>
    <t>ACH-RD-CM-0008</t>
  </si>
  <si>
    <t>26735 - Di-Potassium Hydrogen Ophosphate</t>
  </si>
  <si>
    <t>ACH-RD-CH-0268</t>
  </si>
  <si>
    <t>M290 - Soyabean Casein Digest Agar</t>
  </si>
  <si>
    <t>ACH-RD-CH-0269</t>
  </si>
  <si>
    <t>184 - Silicone Elastomer</t>
  </si>
  <si>
    <t>Sylgard</t>
  </si>
  <si>
    <t>ACH-RD-CH-0270</t>
  </si>
  <si>
    <t>Calcium Lactate powder</t>
  </si>
  <si>
    <t>UrbanPlater</t>
  </si>
  <si>
    <t>ACH-RD-CH-0271</t>
  </si>
  <si>
    <t>S1029 - Sodium Alginate</t>
  </si>
  <si>
    <t>ISO Chem</t>
  </si>
  <si>
    <t>ACH-RD-CH-0272</t>
  </si>
  <si>
    <t>221988- Ammonium Thiocyanate</t>
  </si>
  <si>
    <t>ACH-RD-CH-0273</t>
  </si>
  <si>
    <t>A4418 - Ammonium Sulfate</t>
  </si>
  <si>
    <t>ACH-RD-CH-0274</t>
  </si>
  <si>
    <t>A3678 - Ammonium Persulfate</t>
  </si>
  <si>
    <t>ACH-RD-CH-0275</t>
  </si>
  <si>
    <t>A0151 - Adenine Sulfate Dihydrate</t>
  </si>
  <si>
    <t>INR 1.12</t>
  </si>
  <si>
    <t>ACH-RD-AB-0056</t>
  </si>
  <si>
    <t>3BMB - Agrose</t>
  </si>
  <si>
    <t>Biotools B &amp; M labs</t>
  </si>
  <si>
    <t>INR 0.70</t>
  </si>
  <si>
    <t>ACH-RD-CH-0276</t>
  </si>
  <si>
    <t>146064 - B Alanine</t>
  </si>
  <si>
    <t>INR 0.30</t>
  </si>
  <si>
    <t>ACH-RD-CH-0277</t>
  </si>
  <si>
    <t>10416 - 8-Anilino - 1 - Naphthalene Sulfonic Acid Ammonium Salt</t>
  </si>
  <si>
    <t>ACH-RD-CH-0278</t>
  </si>
  <si>
    <t>A3553 - Acrylamide</t>
  </si>
  <si>
    <t>ACH-RD-CH-0279</t>
  </si>
  <si>
    <t>A5960 - L - Ascorbic Acid</t>
  </si>
  <si>
    <t>ACH-RD-CH-0280</t>
  </si>
  <si>
    <t>50002 - L E Agrose</t>
  </si>
  <si>
    <t>Lonza</t>
  </si>
  <si>
    <t>ACH-RD-CH-0281</t>
  </si>
  <si>
    <t>A4571 - 3 - (Alpha) Acetone L benzyl 4-Hydroxy Coumarin Sodium Salt</t>
  </si>
  <si>
    <t>INR 0.69</t>
  </si>
  <si>
    <t>ACH-RD-CH-0282</t>
  </si>
  <si>
    <t>A5006 - L - Arginine</t>
  </si>
  <si>
    <t>ACH-RD-CH-0283</t>
  </si>
  <si>
    <t>A0210 - Agar - Agar</t>
  </si>
  <si>
    <t>ACH-RD-CH-0284</t>
  </si>
  <si>
    <t>26757 - Ammonium Bicarbonate</t>
  </si>
  <si>
    <t>ACH-RD-CH-0285</t>
  </si>
  <si>
    <t>0149167 - Ammonium Acetate Extrapure AR</t>
  </si>
  <si>
    <t>Sisco</t>
  </si>
  <si>
    <t>ACH-RD-CH-0286</t>
  </si>
  <si>
    <t>31146 - Boric Acid</t>
  </si>
  <si>
    <t>ACH-RD-CH-0287</t>
  </si>
  <si>
    <t>MB007 - Boric Acid, for molecular biology</t>
  </si>
  <si>
    <t>INR 1.625</t>
  </si>
  <si>
    <t>ACH-RD-CH-0288</t>
  </si>
  <si>
    <t>A5306 - Bacteriological Agar</t>
  </si>
  <si>
    <t>ACH-RD-CH-0289</t>
  </si>
  <si>
    <t>L14A/2514/1308/75 - Bromophenol Blue Solution</t>
  </si>
  <si>
    <t>INR 0.0123</t>
  </si>
  <si>
    <t>ACH-RD-CH-0290</t>
  </si>
  <si>
    <t>14879 - Bis - TRIS</t>
  </si>
  <si>
    <t>ACH-RD-CH-0291</t>
  </si>
  <si>
    <t>B0240 - Borax</t>
  </si>
  <si>
    <t>ACH-RD-CH-0292</t>
  </si>
  <si>
    <t>14370 - Bilirubin</t>
  </si>
  <si>
    <t>ACH-RD-CH-0293</t>
  </si>
  <si>
    <t>114359 - Bromocresol Green</t>
  </si>
  <si>
    <t>INR 0.80</t>
  </si>
  <si>
    <t>ACH-RD-CH-0294</t>
  </si>
  <si>
    <t>449644 - Barium Chloride</t>
  </si>
  <si>
    <t>INR 0.63</t>
  </si>
  <si>
    <t>ACH-RD-CH-0295</t>
  </si>
  <si>
    <t>168149 - L Cysteine</t>
  </si>
  <si>
    <t>ACH-RD-CH-0296</t>
  </si>
  <si>
    <t>C5132 - Carbazole</t>
  </si>
  <si>
    <t>ACH-RD-CH-0297</t>
  </si>
  <si>
    <t>B104 - Capstone ST 200</t>
  </si>
  <si>
    <t>Rishichem</t>
  </si>
  <si>
    <t>ACH-RD-CH-0298</t>
  </si>
  <si>
    <t>180955 - Cellulose Acetate</t>
  </si>
  <si>
    <t>ACH-RD-CH-0299</t>
  </si>
  <si>
    <t>150561 - Carboxymethyl Cellulose Sodium Salt High Viscosity</t>
  </si>
  <si>
    <t>ACH-RD-CH-0300</t>
  </si>
  <si>
    <t>398101 - Calcium Carbonate</t>
  </si>
  <si>
    <t>INR 0.37</t>
  </si>
  <si>
    <t>ACH-EN-ME-0001</t>
  </si>
  <si>
    <t>0114 - Direct Graphite Conductive Paste</t>
  </si>
  <si>
    <t>Sugandh</t>
  </si>
  <si>
    <t>INR 15.80</t>
  </si>
  <si>
    <t>ACH-EN-ME-0002</t>
  </si>
  <si>
    <t>0114 - Direct Copper Conductive Paste</t>
  </si>
  <si>
    <t>ACH-EN-ME-0003</t>
  </si>
  <si>
    <t>0114 - Direct Brass Conductive Paste</t>
  </si>
  <si>
    <t>ACH-RD-CH-0301</t>
  </si>
  <si>
    <t>C6241 - Charcoal</t>
  </si>
  <si>
    <t>INR 0.84</t>
  </si>
  <si>
    <t>ACH-RD-CH-0302</t>
  </si>
  <si>
    <t>C5890 - Casein from Bovine Milk</t>
  </si>
  <si>
    <t>ACH-RD-CH-0303</t>
  </si>
  <si>
    <t>C1129 - Cholic Acid</t>
  </si>
  <si>
    <t>ACH-RD-CH-0304</t>
  </si>
  <si>
    <t>C4255 - Creatinine</t>
  </si>
  <si>
    <t>ACH-RD-CH-0305</t>
  </si>
  <si>
    <t>310034 - Calcium Carbonate</t>
  </si>
  <si>
    <t>ACH-RD-CH-0306</t>
  </si>
  <si>
    <t>1930260521 - Citric Acid Anhydrous</t>
  </si>
  <si>
    <t>ACH-RD-CH-0307</t>
  </si>
  <si>
    <t>C0060 - Calcium Chloride</t>
  </si>
  <si>
    <t>ACH-RD-CH-0308</t>
  </si>
  <si>
    <t>B7920 - Brilliant Blue R</t>
  </si>
  <si>
    <t>INR 0.42</t>
  </si>
  <si>
    <t>ACH-RD-CM-0009</t>
  </si>
  <si>
    <t>39121 - Bromo Phenol Blue</t>
  </si>
  <si>
    <t>ACH-RD-CH-0309</t>
  </si>
  <si>
    <t>C0378 - Chloramphenicol</t>
  </si>
  <si>
    <t>INR 0.40</t>
  </si>
  <si>
    <t>ACH-RD-CH-0310</t>
  </si>
  <si>
    <t>252476 - Lactic Acid Solution</t>
  </si>
  <si>
    <t>ACH-RD-CH-0311</t>
  </si>
  <si>
    <t>324558 _ Ethylene Glycol</t>
  </si>
  <si>
    <t>ACH-RD-CH-0312</t>
  </si>
  <si>
    <t>B4184 - Brij L23 Solution</t>
  </si>
  <si>
    <t>ACH-RD-CH-0313</t>
  </si>
  <si>
    <t>807485- Poly Ethylene Glycol 400</t>
  </si>
  <si>
    <t>ACH-RD-CH-0314</t>
  </si>
  <si>
    <t>A16A/0715/3012/13 - Ethanediol LR</t>
  </si>
  <si>
    <t>ACH-RD-CH-0315</t>
  </si>
  <si>
    <t>484253 - Di (Propylene Glycol) Methyl Ether Mixture of ISO Mers</t>
  </si>
  <si>
    <t>ACH-RD-CH-0316</t>
  </si>
  <si>
    <t>1070480521 - Ethyl Acetate</t>
  </si>
  <si>
    <t>ACH-RD-CH-0317</t>
  </si>
  <si>
    <t>246816 - Hexanediol Diacrylate</t>
  </si>
  <si>
    <t>ACH-RD-CH-0318</t>
  </si>
  <si>
    <t>24,681-6 - Hexandioldiacrylat</t>
  </si>
  <si>
    <t>ACH-RD-CH-0319</t>
  </si>
  <si>
    <t>201109 - Abil EM 90</t>
  </si>
  <si>
    <t>Evonic</t>
  </si>
  <si>
    <t>ACH-RD-CH-0320</t>
  </si>
  <si>
    <t>032063 - Triton - X - 100</t>
  </si>
  <si>
    <t>ACH-RD-CH-0321</t>
  </si>
  <si>
    <t>779342 - Glycydyl Methacrylete</t>
  </si>
  <si>
    <t>ACH-RD-CH-0322</t>
  </si>
  <si>
    <t>296082 - Diethyl Ether</t>
  </si>
  <si>
    <t>ACH-RD-CH-0323</t>
  </si>
  <si>
    <t>370533 - 1 H, 1 H, 2H, 2H, Perfuro Prfluoro - 1 Octanon</t>
  </si>
  <si>
    <t>ACH-RD-CH-0324</t>
  </si>
  <si>
    <t>D8418 - Dimethyl Sulfoxide</t>
  </si>
  <si>
    <t>ACH-RD-CH-0325</t>
  </si>
  <si>
    <t>274704 - Perfluorinated resin solution containing Nafion</t>
  </si>
  <si>
    <t>ACH-RD-CH-0326</t>
  </si>
  <si>
    <t>405655 - 2 Hydroxy - 2 Methyl Propyperone</t>
  </si>
  <si>
    <t>ACH-RD-CH-0327</t>
  </si>
  <si>
    <t>G5516 - Glycerol</t>
  </si>
  <si>
    <t>ACH-RD-CH-0328</t>
  </si>
  <si>
    <t>61784305001730 - Acetic Acid Glacial 100%</t>
  </si>
  <si>
    <t>ACH-RD-CH-0329</t>
  </si>
  <si>
    <t>340855 - Glutaral Dehyd Solution</t>
  </si>
  <si>
    <t>ACH-RD-CH-0330</t>
  </si>
  <si>
    <t>LMS011 - Leishman stain</t>
  </si>
  <si>
    <t>Microcrom</t>
  </si>
  <si>
    <t>ACH-RD-CH-0331</t>
  </si>
  <si>
    <t>822184 - Tween 20</t>
  </si>
  <si>
    <t>ACH-RD-CH-0332</t>
  </si>
  <si>
    <t>63423 - Maltose Solution</t>
  </si>
  <si>
    <t>ACH-RD-CH-0333</t>
  </si>
  <si>
    <t>Eosin Yellow Stain Solution 2%</t>
  </si>
  <si>
    <t>Nice Chemicals</t>
  </si>
  <si>
    <t>ACH-RD-CH-0334</t>
  </si>
  <si>
    <t>H1758 - Hydrochloric Acid</t>
  </si>
  <si>
    <t>ACH-RD-CH-0335</t>
  </si>
  <si>
    <t>18909 - Calcofluor White Stain</t>
  </si>
  <si>
    <t>ACH-RD-CH-0336</t>
  </si>
  <si>
    <t>84716 - Sulfuric Acid</t>
  </si>
  <si>
    <t>ACH-RD-CH-0337</t>
  </si>
  <si>
    <t>227056 - N,N-Dimethyl formamide</t>
  </si>
  <si>
    <t>ACH-RD-CH-0338</t>
  </si>
  <si>
    <t>14,723 - 0 - Hydro Chinonmono Methyl Ether Acrylic Acid</t>
  </si>
  <si>
    <t>ACH-RD-CH-0339</t>
  </si>
  <si>
    <t>H9892 - Hydrochloric Acid Solution</t>
  </si>
  <si>
    <t>ACH-RD-CH-0340</t>
  </si>
  <si>
    <t>271004 - Acetonitrile</t>
  </si>
  <si>
    <t>ACH-RD-CH-0341</t>
  </si>
  <si>
    <t>B0420 - Tert-Butile Alcohol</t>
  </si>
  <si>
    <t>ACH-RD-CH-0342</t>
  </si>
  <si>
    <t>S6760 - Span 80</t>
  </si>
  <si>
    <t>ACH-RD-CM-0010</t>
  </si>
  <si>
    <t>29755 - Nitric Acid</t>
  </si>
  <si>
    <t>ACH-RD-CH-0343</t>
  </si>
  <si>
    <t>D4551 - N,N-Dimethyl pharmamide</t>
  </si>
  <si>
    <t>INR 0.0136</t>
  </si>
  <si>
    <t>ACH-RD-CH-0344</t>
  </si>
  <si>
    <t>T0886 - Tri Ethyl amine</t>
  </si>
  <si>
    <t>ACH-RD-CH-0345</t>
  </si>
  <si>
    <t>M3148 - 2-Meracptoethynol</t>
  </si>
  <si>
    <t>ACH-RD-CH-0346</t>
  </si>
  <si>
    <t>X0090 - Xylene</t>
  </si>
  <si>
    <t>ACH-RD-CH-0347</t>
  </si>
  <si>
    <t>437441 - Poly (ethylene glycol) Diacrelete</t>
  </si>
  <si>
    <t>ACH-RD-CH-0348</t>
  </si>
  <si>
    <t>N20471 - Nigrosine Stain Solution</t>
  </si>
  <si>
    <t>INR 0.10785</t>
  </si>
  <si>
    <t>ACH-RD-CH-0349</t>
  </si>
  <si>
    <t>77264 - Octadecafluro decahyrdonaphalene</t>
  </si>
  <si>
    <t>INR 0.1736</t>
  </si>
  <si>
    <t>ACH-RD-CH-0350</t>
  </si>
  <si>
    <t>P5188 - Tween 80</t>
  </si>
  <si>
    <t>ACH-RD-CH-0351</t>
  </si>
  <si>
    <t>003289 - Perfluro Perhydro Flurene</t>
  </si>
  <si>
    <t>Oakwood</t>
  </si>
  <si>
    <t>INR 0.0238</t>
  </si>
  <si>
    <t>ACH-RD-CH-0352</t>
  </si>
  <si>
    <t>33,077-9 - Mineral Oil, light</t>
  </si>
  <si>
    <t>ACH-RD-CH-0353</t>
  </si>
  <si>
    <t>409537 - Poly (Ethylene Glycol) Methacrylate</t>
  </si>
  <si>
    <t>ACH-RD-CH-0354</t>
  </si>
  <si>
    <t>D14A/1614/2903/13 - Tweeen 20 LR</t>
  </si>
  <si>
    <t>INR 0.009</t>
  </si>
  <si>
    <t>ACH-RD-CM-0011</t>
  </si>
  <si>
    <t>1441079 - Raspberry Pi Camera Module 3</t>
  </si>
  <si>
    <t>Robu</t>
  </si>
  <si>
    <t>INR 2372.035</t>
  </si>
  <si>
    <t>ACH-RD-CM-0012</t>
  </si>
  <si>
    <t>825360 - Official USB type-C 15.3W Power Supply For Raspberry Pi 4-Black</t>
  </si>
  <si>
    <t>INR 634.745</t>
  </si>
  <si>
    <t>ACH-RD-CM-0013</t>
  </si>
  <si>
    <t>528229 - 2 Pin 2.54mm Pitch Pluggable Screw Terminal Block (Pack of 3)</t>
  </si>
  <si>
    <t>INR 50.848</t>
  </si>
  <si>
    <t>CORSAIR DDR5 5200 MHZ 16GB DDR5</t>
  </si>
  <si>
    <t>INR 5950.00</t>
  </si>
  <si>
    <t>Glasgow Computers</t>
  </si>
  <si>
    <t>ACH-RD-CH-0355</t>
  </si>
  <si>
    <t>Plastic Organizer Box with Dividers 15/24/36 Grid</t>
  </si>
  <si>
    <t>box</t>
  </si>
  <si>
    <t>INR 140.96</t>
  </si>
  <si>
    <t>ACH-RD-CH-0356</t>
  </si>
  <si>
    <t>Plastic Organizer Box with Dividers 4/6/12 Grid</t>
  </si>
  <si>
    <t>INR 112.71</t>
  </si>
  <si>
    <t>ACH-EN-ME-0004</t>
  </si>
  <si>
    <t>PETG Filament WOL 3D Black 1.75mm</t>
  </si>
  <si>
    <t>Platform Inventory</t>
  </si>
  <si>
    <t>INR 1690.68</t>
  </si>
  <si>
    <t>ACH-EN-OP-0001</t>
  </si>
  <si>
    <t>Norland Optical Adhesive NOA 61, 1 oz. Application Bottle (#37-322)</t>
  </si>
  <si>
    <t>Edmund</t>
  </si>
  <si>
    <t>INR 3018.00</t>
  </si>
  <si>
    <t>ACH-RD-CM-0014</t>
  </si>
  <si>
    <t>Raspberry Pi 6 mm Wide Angle Lens for Pi High Quality Camera</t>
  </si>
  <si>
    <t>INR 2449.00</t>
  </si>
  <si>
    <t>ACH-RD-AB-0057</t>
  </si>
  <si>
    <t>10-3149 - Human IgM antibody</t>
  </si>
  <si>
    <t>INR 9.24</t>
  </si>
  <si>
    <t>ACH-MF-CM-0001</t>
  </si>
  <si>
    <t>Gloves Large</t>
  </si>
  <si>
    <t>MFG_Common Inventory</t>
  </si>
  <si>
    <t>Micro Touch</t>
  </si>
  <si>
    <t>INR 6.30</t>
  </si>
  <si>
    <t>Iscience</t>
  </si>
  <si>
    <t>ACH-MF-CM-0003</t>
  </si>
  <si>
    <t>Gloves Small</t>
  </si>
  <si>
    <t>ACH-RD-CH-0357</t>
  </si>
  <si>
    <t>Multi Combination Rack</t>
  </si>
  <si>
    <t>INR 236.55</t>
  </si>
  <si>
    <t>Amazon</t>
  </si>
  <si>
    <t>ACH-RD-CM-0015</t>
  </si>
  <si>
    <t>Micro Centrifuge Tubes Storage 0.5, 1.5 &amp; 2.0 ml</t>
  </si>
  <si>
    <t>INR 389.00</t>
  </si>
  <si>
    <t>ACH-RD-CH-0358</t>
  </si>
  <si>
    <t>Water Pump - Mini Champ Plus</t>
  </si>
  <si>
    <t>Crompton</t>
  </si>
  <si>
    <t>INR 3968.00</t>
  </si>
  <si>
    <t>ACH-MF-CM-0004</t>
  </si>
  <si>
    <t>BS-510 - Micro Slides 75mmx25mmx 1mm thickness</t>
  </si>
  <si>
    <t>INR 1.92</t>
  </si>
  <si>
    <t>ACH-RD-CH-0359</t>
  </si>
  <si>
    <t>Borosilicate Glass - 75*50*0.5mm With double side protective film</t>
  </si>
  <si>
    <t>INR 562.80</t>
  </si>
  <si>
    <t>ACH-EN-ME-0005</t>
  </si>
  <si>
    <t>EC-1283 - 10mm x 5mm x 2mm (10x5x2 mm) Neodymium Block Magnet</t>
  </si>
  <si>
    <t>INR 31.00</t>
  </si>
  <si>
    <t>Constflick Technologies Limited</t>
  </si>
  <si>
    <t>ACH-EN-ME-0006</t>
  </si>
  <si>
    <t>EC-3932 - 18mm x 6mm (18x6 mm) Neodymium Disc Strong Magnet</t>
  </si>
  <si>
    <t>INR 115.00</t>
  </si>
  <si>
    <t>ACH-RD-CH-0360</t>
  </si>
  <si>
    <t>FBSS203 - Fortex Microtrak Photoresist FR4 Single Sided</t>
  </si>
  <si>
    <t>INR 1261.38</t>
  </si>
  <si>
    <t>Tantios</t>
  </si>
  <si>
    <t>ACH-GN-HK-0001</t>
  </si>
  <si>
    <t>Whirlpool 1.5 Ton 3 Star, Flexicool Inverter Split AC (Copper, Convertible 4-in-1 Cooling Mode, HD Filter 2023 Model, S3K1PPO, White)</t>
  </si>
  <si>
    <t>Whirlpool</t>
  </si>
  <si>
    <t>INR 24992.19</t>
  </si>
  <si>
    <t>ACH-RD-CH-0361</t>
  </si>
  <si>
    <t>56741 - IGEPAL CA-630</t>
  </si>
  <si>
    <t>INR 0.181374</t>
  </si>
  <si>
    <t>ACH-EN-ME-0007</t>
  </si>
  <si>
    <t>Supply of 3D Printing Parts - SLA GUIDE CARTRIDGE TFT _23-03-2023</t>
  </si>
  <si>
    <t>3D Tech Proto</t>
  </si>
  <si>
    <t>INR 2145.00</t>
  </si>
  <si>
    <t>3DE Technology</t>
  </si>
  <si>
    <t>ACH-EN-ME-0008</t>
  </si>
  <si>
    <t>Supply of 3D Printing Parts - SLA MOTOR MOUNTING BRACKET_1 23- 03-2023</t>
  </si>
  <si>
    <t>INR 880.00</t>
  </si>
  <si>
    <t>ACH-EN-ME-0009</t>
  </si>
  <si>
    <t>Supply of 3D Printing Parts - SLA TRAY MOUNT_2MOTOR MUNT</t>
  </si>
  <si>
    <t>INR 3685.00</t>
  </si>
  <si>
    <t>ACH-RD-CM-0016</t>
  </si>
  <si>
    <t>EasyMech Set of M2.5 X 8MM Socket Head Cap (Allen) Bolt and Nut</t>
  </si>
  <si>
    <t>INR 16.58</t>
  </si>
  <si>
    <t>ACH-EN-EL-0004</t>
  </si>
  <si>
    <t>12V 35 captive or non-captive linear pm stepper motor</t>
  </si>
  <si>
    <t>Robotdigg</t>
  </si>
  <si>
    <t>INR 1008.00</t>
  </si>
  <si>
    <t>RobotDigg</t>
  </si>
  <si>
    <t>Evelta</t>
  </si>
  <si>
    <t>INR 2355.00</t>
  </si>
  <si>
    <t>ACH-RD-CH-0362</t>
  </si>
  <si>
    <t>17810 - 1AMP-S-Triglyceride Mix</t>
  </si>
  <si>
    <t>ACH-RD-CH-0363</t>
  </si>
  <si>
    <t>P4417 - Phosphate buffered saline</t>
  </si>
  <si>
    <t>INR 141.192</t>
  </si>
  <si>
    <t>ACH-RD-AB-0058</t>
  </si>
  <si>
    <t>100145 - Anti-h CRP - 6402 SPTN-5</t>
  </si>
  <si>
    <t>INR 15.252</t>
  </si>
  <si>
    <t>ACH-RD-CH-0364</t>
  </si>
  <si>
    <t>OD03XXXXXXXXXXX - Plastic Cassettes - Device 3</t>
  </si>
  <si>
    <t>Mdi</t>
  </si>
  <si>
    <t>INR 10.00</t>
  </si>
  <si>
    <t>Advanced Microdevices</t>
  </si>
  <si>
    <t>ACH-RD-CH-0365</t>
  </si>
  <si>
    <t>LP25XXX058X300X - mdi Plastic Backing Type - L-P25 Size 58x300mm</t>
  </si>
  <si>
    <t>INR 19.50</t>
  </si>
  <si>
    <t>ACH-RD-CH-0366</t>
  </si>
  <si>
    <t>SM02-0050 - MatrixGuard Diluent</t>
  </si>
  <si>
    <t>INR 0.133</t>
  </si>
  <si>
    <t>Krishgen Biosystems Private Limited</t>
  </si>
  <si>
    <t>ACH-RD-AB-0059</t>
  </si>
  <si>
    <t>3CV4 C706 Anti-SC-NP</t>
  </si>
  <si>
    <t>INR 4.386</t>
  </si>
  <si>
    <t>ACH-RD-AB-0060</t>
  </si>
  <si>
    <t>3CV4 C524 Anti-SC-NP</t>
  </si>
  <si>
    <t>ACH-RD-AB-0061</t>
  </si>
  <si>
    <t>3CV4 C518 Anti-SC-NP</t>
  </si>
  <si>
    <t>ACH-RD-AB-0062</t>
  </si>
  <si>
    <t>3CV4 C715 Anti-SC-NP</t>
  </si>
  <si>
    <t>INR 4.396</t>
  </si>
  <si>
    <t>ACH-RD-AB-0063</t>
  </si>
  <si>
    <t>3CV4 C527 Anti-SC-NP</t>
  </si>
  <si>
    <t>ACH-RD-AB-0064</t>
  </si>
  <si>
    <t>8RSV79 RSV</t>
  </si>
  <si>
    <t>INR 208.25</t>
  </si>
  <si>
    <t>ACH-RD-AB-0065</t>
  </si>
  <si>
    <t>8IN75-3 Infl. B/Victoria/504/00</t>
  </si>
  <si>
    <t>INR 175.95</t>
  </si>
  <si>
    <t>ACH-RD-AB-0066</t>
  </si>
  <si>
    <t>HM250 - Malaria (pan-pLDH) Antibody</t>
  </si>
  <si>
    <t>INR 24.77325</t>
  </si>
  <si>
    <t>ACH-RD-FL-0033</t>
  </si>
  <si>
    <t>AUCR40 - BioReady Gold Nanospheres â€“ Bare (Citrate)</t>
  </si>
  <si>
    <t>Bioready</t>
  </si>
  <si>
    <t>INR 1.5558</t>
  </si>
  <si>
    <t>ACH-RD-CH-0367</t>
  </si>
  <si>
    <t>RXKR - Reaction Buffer</t>
  </si>
  <si>
    <t>ACH-RD-FL-0034</t>
  </si>
  <si>
    <t>RXPR - Reaction Buffer</t>
  </si>
  <si>
    <t>ACH-RD-CH-0368</t>
  </si>
  <si>
    <t>DSKR - Desalting Buffer</t>
  </si>
  <si>
    <t>ACH-RD-CM-0017</t>
  </si>
  <si>
    <t>T370080 - Kimwipes 11.17X21.3Cm (Packet of 280 Nos)</t>
  </si>
  <si>
    <t>Tarsons</t>
  </si>
  <si>
    <t>INR 261.80</t>
  </si>
  <si>
    <t>ACH-RD-CM-0018</t>
  </si>
  <si>
    <t>T521000 - Micro Tips PP Upto 0.2-10UL (Pkt of 1000)</t>
  </si>
  <si>
    <t>INR 501.50</t>
  </si>
  <si>
    <t>Room Temperature MFG Section</t>
  </si>
  <si>
    <t>ACH-RD-CM-0019</t>
  </si>
  <si>
    <t>T521010 - Micro Tips PP UpTo 2-200UL (White) (Packet of 1000)</t>
  </si>
  <si>
    <t>INR 0.47</t>
  </si>
  <si>
    <t>ACH-MF-PM-0001</t>
  </si>
  <si>
    <t>COC-110 - Aluminium Foil Roll - L 9mtr X W- 30Cms, Thickness : 10.5 Microns, Fresh Wrap/Superwrap</t>
  </si>
  <si>
    <t>ACH-RD-CM-0020</t>
  </si>
  <si>
    <t>T521020X - Micro Tips PP UpTo 200-1000UL (White) (Packet of 500 Nos)</t>
  </si>
  <si>
    <t>INR 301.75</t>
  </si>
  <si>
    <t>ACH-RD-CM-0021</t>
  </si>
  <si>
    <t>T524053 - Universal Micro Tip Box UpTo 2-200UL PP - 96 Tubes</t>
  </si>
  <si>
    <t>INR 144.92</t>
  </si>
  <si>
    <t>ACH-RD-CM-0022</t>
  </si>
  <si>
    <t>T524052 - Universal Micro Tip Box UpTo 0.2-10UL PP - 96 Tubes</t>
  </si>
  <si>
    <t>ACH-RD-CM-0023</t>
  </si>
  <si>
    <t>T524059 - Universal Micro Tip Box UpTo 200 - 1000 UL PP - 96 Tubes</t>
  </si>
  <si>
    <t>INR 186.06</t>
  </si>
  <si>
    <t>ACH-MF-CM-0005</t>
  </si>
  <si>
    <t>SG-2612 - Syringe Disposable Without Needle (Pack Of 25 Needles)</t>
  </si>
  <si>
    <t>Dispovan</t>
  </si>
  <si>
    <t>INR 35.20</t>
  </si>
  <si>
    <t>ACH-RD-CH-0369</t>
  </si>
  <si>
    <t>HPIRC beads - Freezer Dryer Cycle 1 - 1 bead / 1,5ml Tube - EVIK</t>
  </si>
  <si>
    <t>Evik</t>
  </si>
  <si>
    <t>INR 2186.23</t>
  </si>
  <si>
    <t>ACH-RD-CH-0370</t>
  </si>
  <si>
    <t>C7901 - Chelex 100 Sodium Form</t>
  </si>
  <si>
    <t>INR 0.2412</t>
  </si>
  <si>
    <t>ACH-RD-CM-0024</t>
  </si>
  <si>
    <t>24415 - D - Glucose</t>
  </si>
  <si>
    <t>ACH-RD-CM-0025</t>
  </si>
  <si>
    <t>27785 - Di Sodium Hydrogen Orthophosphate Dihydrate</t>
  </si>
  <si>
    <t>ACH-RD-CM-0026</t>
  </si>
  <si>
    <t>27805 - Sodium Hydroxide Flakes</t>
  </si>
  <si>
    <t>ACH-RD-CM-0027</t>
  </si>
  <si>
    <t>27605 - Sodium Chloride</t>
  </si>
  <si>
    <t>ACH-RD-CH-0371</t>
  </si>
  <si>
    <t>85919 - Sodium Citrate Tribasic Dihydrate</t>
  </si>
  <si>
    <t>ACH-RD-CH-0372</t>
  </si>
  <si>
    <t>MB011- EDTA Disodium Salt Dihydrate</t>
  </si>
  <si>
    <t>g</t>
  </si>
  <si>
    <t>INR 2.37888</t>
  </si>
  <si>
    <t>ACH-RD-CH-0373</t>
  </si>
  <si>
    <t>MB030 - Tris Hydrochloride</t>
  </si>
  <si>
    <t>INR 7.42</t>
  </si>
  <si>
    <t>ACH-RD-CM-0028</t>
  </si>
  <si>
    <t>19255 - Potassium Chloride</t>
  </si>
  <si>
    <t>ACH-RD-KT-0016</t>
  </si>
  <si>
    <t>Q13405 - Potassium Dihydrogen Orthophosphate</t>
  </si>
  <si>
    <t>ACH-RD-CH-0374</t>
  </si>
  <si>
    <t>59443 - Sodium Phosphate Monobasic Anhydrous</t>
  </si>
  <si>
    <t>ACH-RD-CM-0029</t>
  </si>
  <si>
    <t>26664 - Potassium Ferricyanide</t>
  </si>
  <si>
    <t>ACH-RD-CH-0375</t>
  </si>
  <si>
    <t>C1389 - Carbenicillin Disodium Salt</t>
  </si>
  <si>
    <t>INR 18.01</t>
  </si>
  <si>
    <t>ACH-RD-CH-0376</t>
  </si>
  <si>
    <t>A0166 - Ampicillin Sodium Salt</t>
  </si>
  <si>
    <t>INR 2.424</t>
  </si>
  <si>
    <t>ACH-RD-CH-0377</t>
  </si>
  <si>
    <t>P0657 - Phthaldialdehyde</t>
  </si>
  <si>
    <t>ACH-RD-CH-0378</t>
  </si>
  <si>
    <t>131709 - Pyrrole</t>
  </si>
  <si>
    <t>ACH-RD-FL-0035</t>
  </si>
  <si>
    <t>F7250 - Fluorescein Isothiocyanate Ismar 1</t>
  </si>
  <si>
    <t>ACH-MF-CM-0006</t>
  </si>
  <si>
    <t>Hairnet - Pack of 100</t>
  </si>
  <si>
    <t>ACH-MF-CM-0007</t>
  </si>
  <si>
    <t>Masks - Pack of 100</t>
  </si>
  <si>
    <t>INR 196.00</t>
  </si>
  <si>
    <t>ACH-MF-CM-0008</t>
  </si>
  <si>
    <t>Gloves L - 100 per box</t>
  </si>
  <si>
    <t>INR 1850.00</t>
  </si>
  <si>
    <t>ACH-RD-CM-0030</t>
  </si>
  <si>
    <t>T521016 - Micro Tips 1000 ul - Pack of 500 pcs</t>
  </si>
  <si>
    <t>INR 284.75</t>
  </si>
  <si>
    <t>ACH-MF-CM-0009</t>
  </si>
  <si>
    <t>COC672 - Ethanol - 99.9% - 500 ml bottle</t>
  </si>
  <si>
    <t>INR 225.00</t>
  </si>
  <si>
    <t>ACH-RD-CM-0031</t>
  </si>
  <si>
    <t>T380020 - Para Film - M 4 x 125</t>
  </si>
  <si>
    <t>INR 2433.55</t>
  </si>
  <si>
    <t>ACH-RD-CM-0032</t>
  </si>
  <si>
    <t>T500000 - Micro Centrifuge Tubes 0.5mL - Pack of 1000 Pcs</t>
  </si>
  <si>
    <t>INR 663.00</t>
  </si>
  <si>
    <t>ACH-RD-CM-0033</t>
  </si>
  <si>
    <t>P10202 - Micro Centrifuge Tubes 1.5 mL - Pack of 500 pcs</t>
  </si>
  <si>
    <t>ABDOS</t>
  </si>
  <si>
    <t>INR 460.19</t>
  </si>
  <si>
    <t>ACH-RD-CM-0034</t>
  </si>
  <si>
    <t>T500014 - Micro Centrifuge Tubes 2.0 mL - Dark Amber - Pack of 500 Pcs</t>
  </si>
  <si>
    <t>INR 526.15</t>
  </si>
  <si>
    <t>ACH-RD-CM-0035</t>
  </si>
  <si>
    <t>62105 - Cartridge Slide Box - 50 Slides Box</t>
  </si>
  <si>
    <t>Polylab</t>
  </si>
  <si>
    <t>INR 150.00</t>
  </si>
  <si>
    <t>ACH-RD-CM-0036</t>
  </si>
  <si>
    <t>62106 - Cartridge Slide Box - 100 Slides Box</t>
  </si>
  <si>
    <t>ACH-MF-CM-0010</t>
  </si>
  <si>
    <t>SG2603 - 5mL Syringe Single Use</t>
  </si>
  <si>
    <t>INR 4.50</t>
  </si>
  <si>
    <t>ACH-MF-CM-0011</t>
  </si>
  <si>
    <t>SG2612 - 50mL Syringe Single Use</t>
  </si>
  <si>
    <t>ACH-MF-CM-0012</t>
  </si>
  <si>
    <t>20mL Syringe Single Use</t>
  </si>
  <si>
    <t>INR 15.92</t>
  </si>
  <si>
    <t>ACH-MF-CM-0013</t>
  </si>
  <si>
    <t>SG2604 - 10mL Syringe Single Use</t>
  </si>
  <si>
    <t>INR 7.00</t>
  </si>
  <si>
    <t>ACH-MF-CM-0014</t>
  </si>
  <si>
    <t>SG2602 - 2.5mL Syringe Single Use</t>
  </si>
  <si>
    <t>INR 2.00</t>
  </si>
  <si>
    <t>ACH-MF-CM-0015</t>
  </si>
  <si>
    <t>Nylon Flocculated Oropharyngeal Swab - Throat</t>
  </si>
  <si>
    <t>ACH-RD-CM-0037</t>
  </si>
  <si>
    <t>T546051 - Centrifuge Tube 15mL Amber - Pack of 500 pcs</t>
  </si>
  <si>
    <t>ACH-RD-CM-0038</t>
  </si>
  <si>
    <t>T920061 Soft Loop - 10 uL Pouch -Pack of 100 Pcs</t>
  </si>
  <si>
    <t>INR 284.00</t>
  </si>
  <si>
    <t>ACH-RD-CM-0039</t>
  </si>
  <si>
    <t>T960051 - Cell Scraper 220mm - Pack of 100 Pcs</t>
  </si>
  <si>
    <t>INR 78.761</t>
  </si>
  <si>
    <t>ACH-MF-CM-0016</t>
  </si>
  <si>
    <t>442404 - F 96 Maxisorp Nunc-Immuno Plate</t>
  </si>
  <si>
    <t>INR 5021.30</t>
  </si>
  <si>
    <t>ACH-MF-CM-0017</t>
  </si>
  <si>
    <t>96293039 - Benzalkonium Chloride 20% + Disodium Edetate 1.5% Solution - Saniquad 40 P - 5 Ltr per Bottle</t>
  </si>
  <si>
    <t>Btl</t>
  </si>
  <si>
    <t>INR 1800.00</t>
  </si>
  <si>
    <t>ACH-RD-CM-0040</t>
  </si>
  <si>
    <t>T944196 - Micro Test Plate 96 Wells Flat Bottom</t>
  </si>
  <si>
    <t>INR 37.40</t>
  </si>
  <si>
    <t>ACH-MF-CM-0018</t>
  </si>
  <si>
    <t>1mL Syringe Insulin U-40 - Pack of 10 Pcs</t>
  </si>
  <si>
    <t>INR 446.00</t>
  </si>
  <si>
    <t>ACH-MF-CM-0019</t>
  </si>
  <si>
    <t>Safety Lancet</t>
  </si>
  <si>
    <t>Saehan Med Corp</t>
  </si>
  <si>
    <t>ACH-RD-CM-0041</t>
  </si>
  <si>
    <t>Alcohol Swab</t>
  </si>
  <si>
    <t>Labtech</t>
  </si>
  <si>
    <t>INR 1.25</t>
  </si>
  <si>
    <t>ACH-MF-CM-0020</t>
  </si>
  <si>
    <t>BS510 - Micro Slides Special Super Deluxe Size. 75mm x 25mm x 1mm - Pack of 50 Pcs</t>
  </si>
  <si>
    <t>Bluestar</t>
  </si>
  <si>
    <t>ACH-MF-CM-0021</t>
  </si>
  <si>
    <t>Micro Cover Glass -Rectangular 22mmx 60 mm - 20 Pkts each Pack</t>
  </si>
  <si>
    <t>INR 20.00</t>
  </si>
  <si>
    <t>ACH-MF-CM-0022</t>
  </si>
  <si>
    <t>BS420 - Micro Cover Glass Square No. 1 18x18mm- 20 pkt per pack</t>
  </si>
  <si>
    <t>ACH-MF-CM-0023</t>
  </si>
  <si>
    <t>Micro Cover Glass -Square 22mm - 20 Pkts each Pack</t>
  </si>
  <si>
    <t>ACH-MF-CM-0024</t>
  </si>
  <si>
    <t>REA103 RNA Extraction Kit - Box of 100 Reactions</t>
  </si>
  <si>
    <t>CPC</t>
  </si>
  <si>
    <t>INR 7000.00</t>
  </si>
  <si>
    <t>ACH-RD-CM-0042</t>
  </si>
  <si>
    <t>T920081 - L Shaped Spreader - 100 Pcs per Pack</t>
  </si>
  <si>
    <t>INR 100.00</t>
  </si>
  <si>
    <t>ACH-MF-CM-0025</t>
  </si>
  <si>
    <t>AB1182 - 0.2mL Thin Walled and Tube &amp; Flat Cap Strips - 250 Strips per Pack</t>
  </si>
  <si>
    <t>INR 2000.00</t>
  </si>
  <si>
    <t>ACH-MF-CM-0026</t>
  </si>
  <si>
    <t>SP4896 - Flexi 96 Well PCR Plate - 25 plates per pack</t>
  </si>
  <si>
    <t>INR 25.00</t>
  </si>
  <si>
    <t>ACH-MF-CM-0027</t>
  </si>
  <si>
    <t>3991 - Assay Plate 96 Well, No Lid Black, Flat Bottom - 125 pcs per case</t>
  </si>
  <si>
    <t>INR 125.00</t>
  </si>
  <si>
    <t>ACH-RD-CM-0043</t>
  </si>
  <si>
    <t>3924 - Stripwell 1x8 Well Plate No Lid, Flat Bottom, high Binding -125 Pcs per Pack</t>
  </si>
  <si>
    <t>Corning</t>
  </si>
  <si>
    <t>ACH-RD-CM-0044</t>
  </si>
  <si>
    <t>T546041 - Micro Centrifuge Tube 50mL - 500 Pcs per Pack</t>
  </si>
  <si>
    <t>INR 343.85</t>
  </si>
  <si>
    <t>ACH-MF-CM-0028</t>
  </si>
  <si>
    <t>G2689C - ISO - Propyl Alcohol (Propan -2, OL_ SQ</t>
  </si>
  <si>
    <t>INR 184.00</t>
  </si>
  <si>
    <t>ACH-RD-CM-0045</t>
  </si>
  <si>
    <t>T510067 - Deep Well Storage Plate 96 Wells</t>
  </si>
  <si>
    <t>INR 94.00</t>
  </si>
  <si>
    <t>ACH-EN-EQ-0002</t>
  </si>
  <si>
    <t>1597190 - Cryovials 0.5mL self-standing sterile</t>
  </si>
  <si>
    <t>Cole Parmer</t>
  </si>
  <si>
    <t>INR 2857.00</t>
  </si>
  <si>
    <t>ACH-RD-CM-0046</t>
  </si>
  <si>
    <t>469949 - F8 Maxisrop Loop - 160 Nos Per Box</t>
  </si>
  <si>
    <t>Nunc</t>
  </si>
  <si>
    <t>INR 1200.00</t>
  </si>
  <si>
    <t>ACH-MF-CM-0029</t>
  </si>
  <si>
    <t>AST-1000 Pyrogen Free Tips 200-1000uL 50 Pcs per Pack</t>
  </si>
  <si>
    <t>INR 809.48</t>
  </si>
  <si>
    <t>ACH-MF-CM-0030</t>
  </si>
  <si>
    <t>Nicrome Loops Holder</t>
  </si>
  <si>
    <t>INR 85.00</t>
  </si>
  <si>
    <t>ACH-RD-CM-0047</t>
  </si>
  <si>
    <t>260364 - Cover Glass 48mm x 60mm</t>
  </si>
  <si>
    <t>Tedpella</t>
  </si>
  <si>
    <t>INR 2700.00</t>
  </si>
  <si>
    <t>ACH-RD-CM-0048</t>
  </si>
  <si>
    <t>38141 - Indicrom Papers pH 1.0 to 14.0 - 10 Books per Pack</t>
  </si>
  <si>
    <t>ACH-RD-CM-0049</t>
  </si>
  <si>
    <t>T402041 - Spare O Ring for PP/PC Desiccator 12"</t>
  </si>
  <si>
    <t>INR 255.00</t>
  </si>
  <si>
    <t>ACH-RD-CM-0050</t>
  </si>
  <si>
    <t>9913-2504 Sterile Syringe Filters - Pack of 45</t>
  </si>
  <si>
    <t>Whatman</t>
  </si>
  <si>
    <t>INR 2422.50</t>
  </si>
  <si>
    <t>ACH-RD-CH-0379</t>
  </si>
  <si>
    <t>1.05554.0007 - TLC Silica Gel 60F per sheet 20x20cm - 25 Aluminum Sheets per Pack</t>
  </si>
  <si>
    <t>INR 6225.00</t>
  </si>
  <si>
    <t>ACH-MF-CM-0031</t>
  </si>
  <si>
    <t>10977015 - Distilled Water - Ultrapure - 500 Ml per bottle</t>
  </si>
  <si>
    <t>INR 45.00</t>
  </si>
  <si>
    <t>ACH-MF-CM-0032</t>
  </si>
  <si>
    <t>Lancets - Pack of 100 Nos</t>
  </si>
  <si>
    <t>Jai Durga</t>
  </si>
  <si>
    <t>ACH-RD-CM-0051</t>
  </si>
  <si>
    <t>N205 - 10x75 mm Test Tubes Pyrogen Free USP Type 1 Flint Glass 50 Tubes per box</t>
  </si>
  <si>
    <t>INR 50.00</t>
  </si>
  <si>
    <t>ACH-RD-CM-0052</t>
  </si>
  <si>
    <t>240047R - Membrane Filters PTFE, Filteration Rating 0.2 um, Dia 47mm : Pack of 100 Nos</t>
  </si>
  <si>
    <t>Axiva</t>
  </si>
  <si>
    <t>INR 6412.50</t>
  </si>
  <si>
    <t>ACH-EN-ME-0010</t>
  </si>
  <si>
    <t>211S - High Vacuum Silicone Greace -</t>
  </si>
  <si>
    <t>MGB Engineering</t>
  </si>
  <si>
    <t>ACH-MF-CM-0033</t>
  </si>
  <si>
    <t>Blood Collection Microsafe Tube 60uL - Pack of 1000 tubes</t>
  </si>
  <si>
    <t>Safetec</t>
  </si>
  <si>
    <t>INR 1000.00</t>
  </si>
  <si>
    <t>ACH-RD-CM-0053</t>
  </si>
  <si>
    <t>IC15054 - Reusable Half Face Mask with Twin Filters</t>
  </si>
  <si>
    <t>Venus</t>
  </si>
  <si>
    <t>ACH-MF-CM-0034</t>
  </si>
  <si>
    <t>Accusharp Punch 2.00 mm</t>
  </si>
  <si>
    <t>ACH-MF-CM-0035</t>
  </si>
  <si>
    <t>Accusharp Punch 1.00 mm</t>
  </si>
  <si>
    <t>ACH-MF-CM-0036</t>
  </si>
  <si>
    <t>Accusharp Punch 1.50 mm</t>
  </si>
  <si>
    <t>ACH-MF-CM-0037</t>
  </si>
  <si>
    <t>Accusharp Punch 1.25 mm</t>
  </si>
  <si>
    <t>ACH-RD-CM-0054</t>
  </si>
  <si>
    <t>28918008 - PD midiTrap G-25 3.5mL Sephadx, 50 Columns per Pack</t>
  </si>
  <si>
    <t>INR 31437.00</t>
  </si>
  <si>
    <t>ACH-RD-CM-0055</t>
  </si>
  <si>
    <t>T524000 - Cryo Box 1 &amp; 1.5mL (25 places)</t>
  </si>
  <si>
    <t>INR 1139.04</t>
  </si>
  <si>
    <t>ACH-RD-CM-0056</t>
  </si>
  <si>
    <t>GEN-MTP-HB-96F - Elisa Plates</t>
  </si>
  <si>
    <t>Genaxy</t>
  </si>
  <si>
    <t>INR 121.45</t>
  </si>
  <si>
    <t>ACH-MF-CM-0038</t>
  </si>
  <si>
    <t>81570 - Black DÃ©cor</t>
  </si>
  <si>
    <t>ACH-RD-AB-0067</t>
  </si>
  <si>
    <t>Monoclonal Antibody to C Reactive Protein (Mab CRP)</t>
  </si>
  <si>
    <t>INR 1743.00</t>
  </si>
  <si>
    <t>Yashraj</t>
  </si>
  <si>
    <t>ACH-RD-CM-0057</t>
  </si>
  <si>
    <t>3021029 - Glassware Cylinders with Spout - 1L</t>
  </si>
  <si>
    <t>Borosil</t>
  </si>
  <si>
    <t>INR 2055.00</t>
  </si>
  <si>
    <t>ACH-RD-CM-0058</t>
  </si>
  <si>
    <t>5640029 - Glassware Flask Vol. I/C Stopper CLA - 1L</t>
  </si>
  <si>
    <t>INR 1632.00</t>
  </si>
  <si>
    <t>ACH-RD-CH-0380</t>
  </si>
  <si>
    <t>63053005001730 - Cylinder Measuring Graduated with Spout Class B 500mL</t>
  </si>
  <si>
    <t>INR 830.40</t>
  </si>
  <si>
    <t>ACH-RD-CM-0059</t>
  </si>
  <si>
    <t>3021024 - Glassware Cylinder with Spout CLA - 500mL</t>
  </si>
  <si>
    <t>INR 1679.00</t>
  </si>
  <si>
    <t>ACH-RD-CH-0381</t>
  </si>
  <si>
    <t>63053002501730 -- Cylinder Measuring Graduated with Spout, Class B, 250 mL</t>
  </si>
  <si>
    <t>INR 830.30</t>
  </si>
  <si>
    <t>ACH-RD-CM-0060</t>
  </si>
  <si>
    <t>5640024 - Glassware Flask Vol. I/C Stopper CLA - 500mL</t>
  </si>
  <si>
    <t>INR 1121.00</t>
  </si>
  <si>
    <t>ACH-RD-CM-0061</t>
  </si>
  <si>
    <t>63053010001730 - Cylinder Measuring Graduated with Spout, Class B - 1L</t>
  </si>
  <si>
    <t>INR 1140.00</t>
  </si>
  <si>
    <t>ACH-RD-CH-0382</t>
  </si>
  <si>
    <t>65065510001730 - Flask Graduated Conical Narrow Mouth - 1 Ltr</t>
  </si>
  <si>
    <t>ACH-RD-CH-0383</t>
  </si>
  <si>
    <t>Flask Graduated Conical Narrow Mouth - 250 ml</t>
  </si>
  <si>
    <t>INR 839.50</t>
  </si>
  <si>
    <t>ACH-RD-CM-0062</t>
  </si>
  <si>
    <t>8084007 -Glassware Tubes Centrifuge Grade with Stopper - 15mL</t>
  </si>
  <si>
    <t>INR 338.00</t>
  </si>
  <si>
    <t>ACH-RD-CM-0063</t>
  </si>
  <si>
    <t>1501009 - Bottles Reagent W/M Grade SCR EW Cap - 25mL</t>
  </si>
  <si>
    <t>INR 258.00</t>
  </si>
  <si>
    <t>ACH-RD-CM-0064</t>
  </si>
  <si>
    <t>5640006 - Glassware Flask Vol. I/C Stopper CLA - 10mL</t>
  </si>
  <si>
    <t>INR 259.00</t>
  </si>
  <si>
    <t>ACH-RD-CM-0065</t>
  </si>
  <si>
    <t>5640012 - Glassware Flask Vol. I/C Stopper CLA - 50mL</t>
  </si>
  <si>
    <t>INR 518.00</t>
  </si>
  <si>
    <t>ACH-RD-CM-0066</t>
  </si>
  <si>
    <t>5640016 - Glassware Flask Vol. I/C Stopper CLA - 100 mL</t>
  </si>
  <si>
    <t>ACH-RD-CM-0067</t>
  </si>
  <si>
    <t>66048501001730 - Petri Dish - Culture - Top and Bottom - 100mm</t>
  </si>
  <si>
    <t>INR 156.00</t>
  </si>
  <si>
    <t>ACH-RD-CM-0068</t>
  </si>
  <si>
    <t>3021009 - Glassware Cylinders with Spout CLA 25mL</t>
  </si>
  <si>
    <t>INR 569.00</t>
  </si>
  <si>
    <t>ACH-RD-CM-0069</t>
  </si>
  <si>
    <t>3021016 - Glassware Cylinders with Spout CLA 100 mL</t>
  </si>
  <si>
    <t>ACH-EN-OP-0002</t>
  </si>
  <si>
    <t>69198 - ARC HBO - Mercury Short</t>
  </si>
  <si>
    <t>Osram</t>
  </si>
  <si>
    <t>ACH-RD-CH-0384</t>
  </si>
  <si>
    <t>FV-IC-0050-B - Flask Volumetric with Interchangeable Stopper Accuracy as per Class B - 50mL</t>
  </si>
  <si>
    <t>INR 597.00</t>
  </si>
  <si>
    <t>ACH-RD-CM-0070</t>
  </si>
  <si>
    <t>3021005 - Glassware Cylinders with Spout CLA 5 mL</t>
  </si>
  <si>
    <t>INR 423.00</t>
  </si>
  <si>
    <t>ACH-MF-CM-0039</t>
  </si>
  <si>
    <t>Measuring Cylinder - 1L</t>
  </si>
  <si>
    <t>ACH-RD-CH-0385</t>
  </si>
  <si>
    <t>FV-IC-0100-B - Flask Volumetric with Interchangeable Stopper Accuracy as per Class B - 100mL</t>
  </si>
  <si>
    <t>INR 456.00</t>
  </si>
  <si>
    <t>ACH-RD-CM-0071</t>
  </si>
  <si>
    <t>GEN-ST-200-SS-CS - Screw Cap Tubes 2.0mL Self Standing Screw Tube &amp; Caps with O ring sterile - 100 Tubes per Pack</t>
  </si>
  <si>
    <t>INR 7400.00</t>
  </si>
  <si>
    <t>ACH-RD-CM-0072</t>
  </si>
  <si>
    <t>SCT-050-SS-C-S - Screw Cap Tubes 0.5mL Self Standing Clear Stirle Fits Tubes &amp; Caps with O ring- 100 Tubes per Pack</t>
  </si>
  <si>
    <t>Axygen</t>
  </si>
  <si>
    <t>INR 1230.00</t>
  </si>
  <si>
    <t>ACH-MF-CM-0040</t>
  </si>
  <si>
    <t>VA101B - Viral Transport Medium - 3mL - 50 VTM per Pack</t>
  </si>
  <si>
    <t>INR 310.00</t>
  </si>
  <si>
    <t>ACH-MF-JG-0001</t>
  </si>
  <si>
    <t>Specimen Collection Oral Flocked Swabs with Molded Break Point Handle</t>
  </si>
  <si>
    <t>ACH-MF-CM-0041</t>
  </si>
  <si>
    <t>IPCR - 4Q - 0.1mL Strip Tubes and Caps for Rotor-Gene Q Pack size of 250 Strips per box</t>
  </si>
  <si>
    <t>Ignes</t>
  </si>
  <si>
    <t>ACH-MF-CM-0042</t>
  </si>
  <si>
    <t>Self Adhesive Tape 24 - 144 Rolls per Pack</t>
  </si>
  <si>
    <t>ACH-MF-CM-0043</t>
  </si>
  <si>
    <t>Self Adhesive Tape 48</t>
  </si>
  <si>
    <t>ACH-RD-CM-0073</t>
  </si>
  <si>
    <t>T546021 - Centrifuge Tube 15mL (PP) Sterile - Pack of 500 Pcs</t>
  </si>
  <si>
    <t>INR 3315.00</t>
  </si>
  <si>
    <t>ACH-RD-CM-0074</t>
  </si>
  <si>
    <t>0030014472 - epTIPS Motion pipette tips Reload, with filter, PCR clean, 300 Î¼L,# volume range 20-300 Î¼L, 24x96 tips</t>
  </si>
  <si>
    <t>Eppendorf</t>
  </si>
  <si>
    <t>INR 9.29</t>
  </si>
  <si>
    <t>ACH-RD-CM-0075</t>
  </si>
  <si>
    <t>0030014430 - epTIPS Motion pipette tips Reload, with filter, PCR clean, 50 Î¼L, volume range 1-50 Î¼L, 24x96 tips</t>
  </si>
  <si>
    <t>INR 11.67</t>
  </si>
  <si>
    <t>ACH-MF-CM-0044</t>
  </si>
  <si>
    <t>9040712 - Etiketten Tough Spots - 1000 per pack</t>
  </si>
  <si>
    <t>INR 1.18</t>
  </si>
  <si>
    <t>ACH-MF-CM-0045</t>
  </si>
  <si>
    <t>TF-20-R-S - Barrier Universal Tips Rackedsterile 0.5-20uL - Pack of 5 per box</t>
  </si>
  <si>
    <t>INR 5291.75</t>
  </si>
  <si>
    <t>ACH-RD-CM-0076</t>
  </si>
  <si>
    <t>T528104 - Racked Graduated Filter Tips 200ml - Sterile 960 Tips per Pack</t>
  </si>
  <si>
    <t>INR 5078.40</t>
  </si>
  <si>
    <t>ACH-MF-CM-0046</t>
  </si>
  <si>
    <t>T528106 - Racked Graduated Filter Tips 1000ml - Sterile 960 Tips per Pack</t>
  </si>
  <si>
    <t>INR 4086.80</t>
  </si>
  <si>
    <t>ACH-RD-CM-0077</t>
  </si>
  <si>
    <t>2069 - 200uL barrier pipette tip, Micropoint sterile racked - 960 tips per kit</t>
  </si>
  <si>
    <t>INR 5980.00</t>
  </si>
  <si>
    <t>ACH-RD-CM-0078</t>
  </si>
  <si>
    <t>2149E - 20E Barrier Tip 10uL barrier pipette tip, Free of RNase - 960 tips per kit</t>
  </si>
  <si>
    <t>INR 10094.00</t>
  </si>
  <si>
    <t>ACH-RD-CM-0079</t>
  </si>
  <si>
    <t>P10115 - Micro Tips 0.2-10uL Graduated Natural 1000 Pcs per Pack</t>
  </si>
  <si>
    <t>INR 510.00</t>
  </si>
  <si>
    <t>ACH-MF-CM-0047</t>
  </si>
  <si>
    <t>9576 - 200uL Filter Tips Rack Sterile 960 Filters per Box</t>
  </si>
  <si>
    <t>INR 3276.75</t>
  </si>
  <si>
    <t>ACH-MF-CM-0048</t>
  </si>
  <si>
    <t>T526118 - Maxipense Filter Tips 1000 uL - 500 tips per Pack</t>
  </si>
  <si>
    <t>INR 2990.00</t>
  </si>
  <si>
    <t>ACH-RD-CM-0080</t>
  </si>
  <si>
    <t>T521050 - Micro Tips 10uL XL/20uL - 1000 tips per Pack</t>
  </si>
  <si>
    <t>INR 476.00</t>
  </si>
  <si>
    <t>ACH-MF-PM-0002</t>
  </si>
  <si>
    <t>Zip Lock Covers 9*12</t>
  </si>
  <si>
    <t>ACH-MF-PM-0003</t>
  </si>
  <si>
    <t>Zip Lock Covers 7*10</t>
  </si>
  <si>
    <t>ACH-MF-CM-0049</t>
  </si>
  <si>
    <t>BF812 - USB to Serial Port - RS-232 Cable Adapter</t>
  </si>
  <si>
    <t>Bafo Technologies</t>
  </si>
  <si>
    <t>INR 675.00</t>
  </si>
  <si>
    <t>ACH-MF-CM-0050</t>
  </si>
  <si>
    <t>SD150-12-U-P5 - ACIX Component</t>
  </si>
  <si>
    <t>Vinyas</t>
  </si>
  <si>
    <t>ACH-EN-EL-0006</t>
  </si>
  <si>
    <t>Raspberry PI-Display Raspberry PI 7 Inch Touch Screen</t>
  </si>
  <si>
    <t>Element 14</t>
  </si>
  <si>
    <t>INR 4671.00</t>
  </si>
  <si>
    <t>ACH-EN-EL-0007</t>
  </si>
  <si>
    <t>2842155-Tsraspi10-16GB-Micro SD Card</t>
  </si>
  <si>
    <t>INR 1061.00</t>
  </si>
  <si>
    <t>ACH-MF-CM-0051</t>
  </si>
  <si>
    <t>2520786-T6090DV-Raspberry PI 5V.2.5A</t>
  </si>
  <si>
    <t>INR 684.00</t>
  </si>
  <si>
    <t>ACH-EN-EL-0008</t>
  </si>
  <si>
    <t>RPI 8MP Camera Board</t>
  </si>
  <si>
    <t>INR 2611.50</t>
  </si>
  <si>
    <t>ACH-EN-EL-0009</t>
  </si>
  <si>
    <t>FJ-25-D-6.00-4</t>
  </si>
  <si>
    <t>Samtec</t>
  </si>
  <si>
    <t>INR 281.60</t>
  </si>
  <si>
    <t>ACH-EN-EL-0010</t>
  </si>
  <si>
    <t>FJ-10-D-12.00-4</t>
  </si>
  <si>
    <t>INR 531.62</t>
  </si>
  <si>
    <t>ACH-EN-EL-0011</t>
  </si>
  <si>
    <t>2815902 - AC-DCC 5V, 5A Power Supply</t>
  </si>
  <si>
    <t>INR 2086.50</t>
  </si>
  <si>
    <t>ACH-EN-EL-0012</t>
  </si>
  <si>
    <t>FJ-05-D-09.00-4</t>
  </si>
  <si>
    <t>INR 226.72</t>
  </si>
  <si>
    <t>ACH-EN-EL-0013</t>
  </si>
  <si>
    <t>FJ-15-D-12.00-4</t>
  </si>
  <si>
    <t>INR 342.40</t>
  </si>
  <si>
    <t>ACH-EN-EL-0014</t>
  </si>
  <si>
    <t>FJ-05-D-04.00-4</t>
  </si>
  <si>
    <t>INR 113.05</t>
  </si>
  <si>
    <t>ACH-EN-EL-0015</t>
  </si>
  <si>
    <t>FJ-15-R-25.00-4</t>
  </si>
  <si>
    <t>ACH-EN-EL-0016</t>
  </si>
  <si>
    <t>FJ-15-D-18.00-4</t>
  </si>
  <si>
    <t>INR 480.00</t>
  </si>
  <si>
    <t>ACH-RD-CM-0081</t>
  </si>
  <si>
    <t>A4988 - Stepper Motor Driver</t>
  </si>
  <si>
    <t>INR 99.00</t>
  </si>
  <si>
    <t>ACH-EN-ME-0011</t>
  </si>
  <si>
    <t>LMU 3 Bush</t>
  </si>
  <si>
    <t>Misumi</t>
  </si>
  <si>
    <t>INR 279.76</t>
  </si>
  <si>
    <t>ACH-MF-CM-0052</t>
  </si>
  <si>
    <t>18755-Hydrogen Peroxide</t>
  </si>
  <si>
    <t>ACH-MF-CM-0053</t>
  </si>
  <si>
    <t>AD0K600393 - Acetic Acid</t>
  </si>
  <si>
    <t>ACH-MF-CM-0054</t>
  </si>
  <si>
    <t>AZ400-Developer</t>
  </si>
  <si>
    <t>ACH-MF-CM-0055</t>
  </si>
  <si>
    <t>Chloroform 2465</t>
  </si>
  <si>
    <t>ACH-MF-CM-0056</t>
  </si>
  <si>
    <t>Dow Corningstin</t>
  </si>
  <si>
    <t>ACH-MF-CM-0057</t>
  </si>
  <si>
    <t>Empula Nitric Acid</t>
  </si>
  <si>
    <t>ACH-MF-CM-0058</t>
  </si>
  <si>
    <t>MFTM-26A</t>
  </si>
  <si>
    <t>ACH-MF-CM-0059</t>
  </si>
  <si>
    <t>Silica Elstomer</t>
  </si>
  <si>
    <t>kg</t>
  </si>
  <si>
    <t>ACH-MF-CM-0060</t>
  </si>
  <si>
    <t>542342 - 250G</t>
  </si>
  <si>
    <t>INR 5394.60</t>
  </si>
  <si>
    <t>ACH-MF-CM-0061</t>
  </si>
  <si>
    <t>Sonite Hardner</t>
  </si>
  <si>
    <t>ACH-MF-CM-0062</t>
  </si>
  <si>
    <t>SU 8 Developer</t>
  </si>
  <si>
    <t>INR 55.00</t>
  </si>
  <si>
    <t>ACH-EN-OP-0003</t>
  </si>
  <si>
    <t>897-LZ420MC08 - LZ4-20MC08-0000 - High Power LEDs - Multi-Colour RGB Emitter Full Color RGGB RoHS Compliant</t>
  </si>
  <si>
    <t>INR 1465.20</t>
  </si>
  <si>
    <t>Mouser Electronics</t>
  </si>
  <si>
    <t>ACH-RD-CM-0082</t>
  </si>
  <si>
    <t>1398901 - EasyMech Set of M6 X 10MM Socket Head Cap (Allen) Bolt and Nut-12 pcs</t>
  </si>
  <si>
    <t>INR 189.00</t>
  </si>
  <si>
    <t>ACH-RD-CM-0083</t>
  </si>
  <si>
    <t>56267 - EasyMech Set of M3 X 10MM Socket Head Cap (Allen) Bolt and Nut-12 pcs.</t>
  </si>
  <si>
    <t>INR 149.00</t>
  </si>
  <si>
    <t>ACH-RD-CM-0084</t>
  </si>
  <si>
    <t>56270 - EasyMech Set of M3 X 16MM Socket Head Cap (Allen) Bolt and Nut-12 pcs</t>
  </si>
  <si>
    <t>ACH-EN-OP-0004</t>
  </si>
  <si>
    <t>Omega Optical PN XF2087 - Optical Filter - 660DRLP/12.7mm x 17.8mm, 12.7mm x 17.8mm, 1.1mm thick</t>
  </si>
  <si>
    <t>Omega</t>
  </si>
  <si>
    <t>INR 14560.00</t>
  </si>
  <si>
    <t>Rapid Spectral Solutions LLC</t>
  </si>
  <si>
    <t>ACH-RD-CH-0386</t>
  </si>
  <si>
    <t>Mitutoyo 500-196-20 Digital Vernier Caliper 150mm / 6 inch Model</t>
  </si>
  <si>
    <t>INR 5080.51</t>
  </si>
  <si>
    <t>ACH-EN-EL-0017</t>
  </si>
  <si>
    <t>1067-3M15224"X10YD-ND - 1522 MEDICAL TAPE 4" X 10YD DOUB</t>
  </si>
  <si>
    <t>Digikey</t>
  </si>
  <si>
    <t>Rol</t>
  </si>
  <si>
    <t>INR 2486.00</t>
  </si>
  <si>
    <t>ACH-RD-CH-0387</t>
  </si>
  <si>
    <t>SRL 74090 - N-Lauroylsarcosine Sodium Salt (Sarkosyl Sodium) pure, 98%</t>
  </si>
  <si>
    <t>INR 0.0456</t>
  </si>
  <si>
    <t>Manasa Agencies</t>
  </si>
  <si>
    <t>ACH-RD-CH-0388</t>
  </si>
  <si>
    <t>SRL 50661 - Heparin Sodium Salt ex. Bovine Intestinal Mucosa, 150 IU/mg</t>
  </si>
  <si>
    <t>INR 0.0125</t>
  </si>
  <si>
    <t>ACH-RD-CH-0389</t>
  </si>
  <si>
    <t>InkJet Fusing Sheet 50 SETS (100 Core +100 Overlay) For Fusing Machine</t>
  </si>
  <si>
    <t>Abhishek Products</t>
  </si>
  <si>
    <t>ACH-GN-HK-0002</t>
  </si>
  <si>
    <t>200 Pcs Hot and Fresh 9X12 IN Aluminium Silver Foil Plastic Pouches Bags for Multipurpose for Tea, Coffee, Food Packaging Metalized Hot/Dry Food Parcel Bags, Pack of 200 (9X12)</t>
  </si>
  <si>
    <t>INR 0.00</t>
  </si>
  <si>
    <t>ACH-RD-CH-0390</t>
  </si>
  <si>
    <t>CILICAnT Silica Gel White 5 Gram (80 Pcs) Silica Gel Packets Desiccant Dehumidifiers for Moisture Absorption (White) (5 gram X 80 Pcs = 400 Gram)</t>
  </si>
  <si>
    <t>ACH-MF-PM-0004</t>
  </si>
  <si>
    <t>CILICAnT 0.5 Gram (100 Pcs) Premium Silica Gel White Packets Desiccant Dehumidifiers, Non - Indicating Silica Gel Packs for Moisture Absorption (0.5 Gram X 100 Pcs = 50 Gm)</t>
  </si>
  <si>
    <t>INR 100.85</t>
  </si>
  <si>
    <t>ACH-RD-AB-0068</t>
  </si>
  <si>
    <t>AAA05149 - D-Thyroxine</t>
  </si>
  <si>
    <t>Biosynth</t>
  </si>
  <si>
    <t>INR 0.2171</t>
  </si>
  <si>
    <t>Biosynth Ltd</t>
  </si>
  <si>
    <t>ACH-RD-AB-0069</t>
  </si>
  <si>
    <t>FI12110 - 3-Iodo-L-tyrosine</t>
  </si>
  <si>
    <t>INR 2.08</t>
  </si>
  <si>
    <t>ACH-RD-AB-0070</t>
  </si>
  <si>
    <t>FT28505 - ,3',5'-Triiodo-L-thyronine</t>
  </si>
  <si>
    <t>INR 6.4295</t>
  </si>
  <si>
    <t>ACH-RD-AB-0071</t>
  </si>
  <si>
    <t>2FSH2 - Follicle stimulating hormone (FSH) - beta chain antibody</t>
  </si>
  <si>
    <t>INR 11.305</t>
  </si>
  <si>
    <t>ACH-RD-CH-0391</t>
  </si>
  <si>
    <t>4CC1 - Cystatin C - Cyst24cc Anti</t>
  </si>
  <si>
    <t>INR 23.03</t>
  </si>
  <si>
    <t>ACH-RD-AB-0072</t>
  </si>
  <si>
    <t>HM538 - Dengue Virus (DENV-pan NS1) Antibody</t>
  </si>
  <si>
    <t>INR 25.02</t>
  </si>
  <si>
    <t>Medix Biochemica USA, Inc. dba</t>
  </si>
  <si>
    <t>ACH-RD-AB-0073</t>
  </si>
  <si>
    <t>HM026 - Dengue Virus (DENV-pan NS1) Antibody</t>
  </si>
  <si>
    <t>ACH-EN-EL-0018</t>
  </si>
  <si>
    <t>Raspberry Pi 4 VIA Model B 4Gb Ram Linux Micro Controller Board for IOT Electronic Hobby Kit (Green) | B07XT1QJ4S ( WX-9FTE-00VX )</t>
  </si>
  <si>
    <t>INR 14822.92</t>
  </si>
  <si>
    <t>ACH-RD-CH-0392</t>
  </si>
  <si>
    <t>LANO-S0856-5M - 5MP, 1/1.8", 8mm Focal Length, M12x0.5 Mount, F 5.6 +- 5%</t>
  </si>
  <si>
    <t>INR 4700.00</t>
  </si>
  <si>
    <t>ACH-EN-OP-0005</t>
  </si>
  <si>
    <t>ACL 108U-A- Aspheric Condenser Lens, Ã˜10 mm, f=8 mm, NA=0.61, ARC: 350-700 nm</t>
  </si>
  <si>
    <t>Thorlabs</t>
  </si>
  <si>
    <t>INR 2674.02</t>
  </si>
  <si>
    <t>ACH-EN-OP-0006</t>
  </si>
  <si>
    <t>ACL 1210U-A - Aspheric Condenser Lens, Ã˜12 mm, f=10.5 mm, NA=0.54, ARC: 350-700 nm</t>
  </si>
  <si>
    <t>ACH-RD-CH-0393</t>
  </si>
  <si>
    <t>ACH PLUNGER -003</t>
  </si>
  <si>
    <t>Mitra Industries</t>
  </si>
  <si>
    <t>ACH-EN-ME-0012</t>
  </si>
  <si>
    <t>Base Plate</t>
  </si>
  <si>
    <t>INR 1032.00</t>
  </si>
  <si>
    <t>ACH-RD-CH-0394</t>
  </si>
  <si>
    <t>Dome Sheft Vol For Die (Bottom) Dome Sheet Vol (Top) Holder Plate</t>
  </si>
  <si>
    <t>INR 3750.00</t>
  </si>
  <si>
    <t>ACH-EN-ME-0013</t>
  </si>
  <si>
    <t>End Sensor Mounting Plate</t>
  </si>
  <si>
    <t>INR 75.00</t>
  </si>
  <si>
    <t>ACH-RD-CH-0395</t>
  </si>
  <si>
    <t>End Sensor Plate</t>
  </si>
  <si>
    <t>INR 102.00</t>
  </si>
  <si>
    <t>ACH-RD-CH-0396</t>
  </si>
  <si>
    <t>LED Retainer</t>
  </si>
  <si>
    <t>ACH-EN-ME-0014</t>
  </si>
  <si>
    <t>Lens Body</t>
  </si>
  <si>
    <t>ACH-RD-CH-0397</t>
  </si>
  <si>
    <t>Moter Unit Mounting (Without Anodising</t>
  </si>
  <si>
    <t>INR 660.00</t>
  </si>
  <si>
    <t>ACH-EN-ME-0015</t>
  </si>
  <si>
    <t>Optical Body - 1</t>
  </si>
  <si>
    <t>INR 2250.00</t>
  </si>
  <si>
    <t>ACH-EN-EL-0019</t>
  </si>
  <si>
    <t>Raspberry Board Bracket</t>
  </si>
  <si>
    <t>INR 188.00</t>
  </si>
  <si>
    <t>ACH-EN-ME-0016</t>
  </si>
  <si>
    <t>Rotary Spindle</t>
  </si>
  <si>
    <t>INR 535.00</t>
  </si>
  <si>
    <t>ACH-RD-CH-0398</t>
  </si>
  <si>
    <t>Wash Dome Fixture Assembly)</t>
  </si>
  <si>
    <t>INR 3500.00</t>
  </si>
  <si>
    <t>ACH-EN-ME-0017</t>
  </si>
  <si>
    <t>Supply of 3D Printing Parts - SLA TFT_CARTRIDGE ADAPTOR_1</t>
  </si>
  <si>
    <t>INR 360.00</t>
  </si>
  <si>
    <t>ACH-EN-OP-0007</t>
  </si>
  <si>
    <t>45-316- 12.5 x 17.5mm, 50R/50T, Plate Beamsplitter</t>
  </si>
  <si>
    <t>INR 3910.00</t>
  </si>
  <si>
    <t>ACH-EN-OP-0008</t>
  </si>
  <si>
    <t>19-511 - 12mm Dia. x 19mm FL, Aspheric Condenser Lens</t>
  </si>
  <si>
    <t>INR 2805.00</t>
  </si>
  <si>
    <t>ACH-EN-OP-0009</t>
  </si>
  <si>
    <t>23-812 -12mm Dia. x 8.5mm FL, MgF2 Coated, Aspheric Condenser Lens</t>
  </si>
  <si>
    <t>INR 4080.00</t>
  </si>
  <si>
    <t>ACH-EN-ME-0018</t>
  </si>
  <si>
    <t>3mm Clear - 1X1 Feet Acrylic Sheet</t>
  </si>
  <si>
    <t>Mahalaxmi Plastics</t>
  </si>
  <si>
    <t>ACH-EN-ME-0019</t>
  </si>
  <si>
    <t>3mm Black - 1X1 Feet Acrylic Sheet</t>
  </si>
  <si>
    <t>INR 106.25</t>
  </si>
  <si>
    <t>ACH-EN-ME-0020</t>
  </si>
  <si>
    <t>2mm Clear - 1X1 Feet Acrylic Sheet</t>
  </si>
  <si>
    <t>ACH-RD-CH-0399</t>
  </si>
  <si>
    <t>V06501-1 Name: T3 (HCT3); Qty: 1; Catalog No: V06501-1; Size: 1.0mg</t>
  </si>
  <si>
    <t>GenScript</t>
  </si>
  <si>
    <t>INR 12.035</t>
  </si>
  <si>
    <t>Genscript</t>
  </si>
  <si>
    <t>ACH-RD-AB-0074</t>
  </si>
  <si>
    <t>PRL Ab - RUO</t>
  </si>
  <si>
    <t>Fantibody</t>
  </si>
  <si>
    <t>INR 4930.00</t>
  </si>
  <si>
    <t>Chongqing Biomean Technology Company</t>
  </si>
  <si>
    <t>ACH-RD-AB-0075</t>
  </si>
  <si>
    <t>T3 Ab - RUO</t>
  </si>
  <si>
    <t>ACH-RD-AB-0076</t>
  </si>
  <si>
    <t>SIMPLE Influenza A/B Antigen Test</t>
  </si>
  <si>
    <t>INR 870.00</t>
  </si>
  <si>
    <t>ACH-RD-CM-0085</t>
  </si>
  <si>
    <t>N95 Masks</t>
  </si>
  <si>
    <t>INR 65.00</t>
  </si>
  <si>
    <t>ACH-RD-CM-0086</t>
  </si>
  <si>
    <t>1492445 - Official Raspberry Pi Debug Probe</t>
  </si>
  <si>
    <t>INR 1016.10</t>
  </si>
  <si>
    <t>ACH-RD-CM-0087</t>
  </si>
  <si>
    <t>894292 - Raspberri Pi Pico</t>
  </si>
  <si>
    <t>INR 295.7663</t>
  </si>
  <si>
    <t>ACH-RD-KT-0017</t>
  </si>
  <si>
    <t>CoviFlu Plus RUO Kit</t>
  </si>
  <si>
    <t>Genepath</t>
  </si>
  <si>
    <t>ACH-RD-FL-0036</t>
  </si>
  <si>
    <t>AUCR80 - 5M Bioready Gold Nanospheres - Bare (Citrate)</t>
  </si>
  <si>
    <t>Nanocomposix</t>
  </si>
  <si>
    <t>INR 2.70</t>
  </si>
  <si>
    <t>ACH-EN-ME-0021</t>
  </si>
  <si>
    <t>Sealing Film for 96-well PCR Plates, 130mmx80mm</t>
  </si>
  <si>
    <t>Zhibang</t>
  </si>
  <si>
    <t>INR 84.5762</t>
  </si>
  <si>
    <t>ACH-EN-EL-0020</t>
  </si>
  <si>
    <t>INR 18639.83</t>
  </si>
  <si>
    <t>ACH-RD-CM-0088</t>
  </si>
  <si>
    <t>UFC5030 - Ultracel-30 regenerated cellulose membrane, 0.5 mL sample volume - Amicon Ultra-0.5 Centrifugal Filter Unit</t>
  </si>
  <si>
    <t>INR 674.791667</t>
  </si>
  <si>
    <t>ACH-GN-HK-0003</t>
  </si>
  <si>
    <t>Entrance Door Mat 41*61CM</t>
  </si>
  <si>
    <t>INR 302.40</t>
  </si>
  <si>
    <t>ACH-GN-HK-0004</t>
  </si>
  <si>
    <t>Entrance Door Mat 18*30inches</t>
  </si>
  <si>
    <t>INR 499.00</t>
  </si>
  <si>
    <t>ACH-RD-CH-0400</t>
  </si>
  <si>
    <t>Desk Lamp Rechargeable Study Lamp Comes with Touch On Off and Student Eye Protection 3 Step, Plastic Pack of 1 -White</t>
  </si>
  <si>
    <t>Saleon</t>
  </si>
  <si>
    <t>INR 379.05</t>
  </si>
  <si>
    <t>ACH-GN-HK-0005</t>
  </si>
  <si>
    <t>BIG Borosilicate Glass Set of 6, Heat-Resistant Drinking Glasses, Double Fashioned Glass Lowball Tumblers, Crystal-Clear Juice Water Cups (350mlX6 Glasses, Transparent)</t>
  </si>
  <si>
    <t>INR 73.16</t>
  </si>
  <si>
    <t>ACH-RD-CH-0401</t>
  </si>
  <si>
    <t>Chi-003 - Recombinant CHIKV E2</t>
  </si>
  <si>
    <t>INR 107.90</t>
  </si>
  <si>
    <t>ACH-RD-CH-0402</t>
  </si>
  <si>
    <t>107651 - Sucrose</t>
  </si>
  <si>
    <t>INR 3.32999</t>
  </si>
  <si>
    <t>ACH-RD-AB-0077</t>
  </si>
  <si>
    <t>P-102 - SARS-CoV-2 Nucleocapsid Protein (N Protein)His-tagged Recombinant Protein</t>
  </si>
  <si>
    <t>INR 300.00</t>
  </si>
  <si>
    <t>Cognate Biolabs</t>
  </si>
  <si>
    <t>ACH-EN-EL-0021</t>
  </si>
  <si>
    <t>Stainless Steel Hex Drive Countersunk Flat Head Screws (Pack of 10) M2.5X0.45 / 6mm</t>
  </si>
  <si>
    <t>Think robotics</t>
  </si>
  <si>
    <t>INR 49.99</t>
  </si>
  <si>
    <t>Atlantis</t>
  </si>
  <si>
    <t>ACH-EN-EL-0022</t>
  </si>
  <si>
    <t>Metric Alloy Steel Button Head Hex Drive Screws - Class 10.9 Alloy Steel (Pack of 10) M2.5X0.45 / 6mm</t>
  </si>
  <si>
    <t>INR 74.99</t>
  </si>
  <si>
    <t>ACH-RD-CH-0403</t>
  </si>
  <si>
    <t>Stainless Steel Hex Drive Countersunk Flat Head Screws (Pack of 10) M3X0.5 / 6mm</t>
  </si>
  <si>
    <t>INR 79.984</t>
  </si>
  <si>
    <t>ACH-EN-EL-0023</t>
  </si>
  <si>
    <t>Stainless Steel Hex Drive Countersunk Flat Head Screws (Pack of 10) - M3X0.5 / 10mm</t>
  </si>
  <si>
    <t>INR 64.99</t>
  </si>
  <si>
    <t>ACH-EN-EL-0024</t>
  </si>
  <si>
    <t>Stainless Steel Hex Drive Countersunk Flat Head Screws (Pack of 10) M3X0.5 / 16mm</t>
  </si>
  <si>
    <t>INR 37.495</t>
  </si>
  <si>
    <t>ACH-RD-CM-0089</t>
  </si>
  <si>
    <t>294302 - 2 x 1.5V AA Battery Holder Without Cover</t>
  </si>
  <si>
    <t>ACH-RD-CM-0090</t>
  </si>
  <si>
    <t>1150766 - PCF8575 Remote 16 Bits I2C IIC SMBus I/O Expander Module</t>
  </si>
  <si>
    <t>INR 226.00</t>
  </si>
  <si>
    <t>ACH-RD-CM-0091</t>
  </si>
  <si>
    <t>342924 - EasyMech HT Socket Button Head Cap Allen Bolt M5 X 8</t>
  </si>
  <si>
    <t>INR 6.7456</t>
  </si>
  <si>
    <t>ACH-EN-SP-0001</t>
  </si>
  <si>
    <t>Service Charges for Clean Room Validation</t>
  </si>
  <si>
    <t>INR 48000.00</t>
  </si>
  <si>
    <t>service</t>
  </si>
  <si>
    <t>ACH-EN-SP-0002</t>
  </si>
  <si>
    <t>Clean Room Drawing and IQ, OQ, PQ Charges</t>
  </si>
  <si>
    <t>INR 28000.00</t>
  </si>
  <si>
    <t>ACH-RD-CM-0092</t>
  </si>
  <si>
    <t>M33089 - Microplates for Fluorescence-based Assays, 96-wel</t>
  </si>
  <si>
    <t>INR 1324.488</t>
  </si>
  <si>
    <t>Thamil Kumaran Enterprises</t>
  </si>
  <si>
    <t>ACH-RD-CM-0093</t>
  </si>
  <si>
    <t>Dry Ice</t>
  </si>
  <si>
    <t>INR 40.00</t>
  </si>
  <si>
    <t>Divya Enterprises</t>
  </si>
  <si>
    <t>Sri Vinayaka Gas Agencies</t>
  </si>
  <si>
    <t>ACH-RD-CH-0404</t>
  </si>
  <si>
    <t>VarterX-Q-HPLC Grade Water - Pure Water for Lab</t>
  </si>
  <si>
    <t>Labmatrix Manufacturing LLP</t>
  </si>
  <si>
    <t>ACH-RD-CH-0405</t>
  </si>
  <si>
    <t>HPIRC beads - Freezer Dryer Cycle 2 - 1 bead / 1,5ml Tube - EVIK</t>
  </si>
  <si>
    <t>ACH-RD-CM-0095</t>
  </si>
  <si>
    <t>896559 - Aluminum Heat Sink Case with Double Fans for Raspberry Pi 4B â€“ Black</t>
  </si>
  <si>
    <t>INR 657.63</t>
  </si>
  <si>
    <t>ACH-RD-CM-0096</t>
  </si>
  <si>
    <t>1308009 - 3 in 1 Aluminum Heat Sink Set for Raspberry Pi 3/4</t>
  </si>
  <si>
    <t>INR 64.41</t>
  </si>
  <si>
    <t>ACH-RD-KT-0018</t>
  </si>
  <si>
    <t>SPRIMEO KIT OF 2S</t>
  </si>
  <si>
    <t>Spremio</t>
  </si>
  <si>
    <t>INR 1440.00</t>
  </si>
  <si>
    <t>ACH-RD-KT-0019</t>
  </si>
  <si>
    <t>SPRIMEO KIT OF 5S</t>
  </si>
  <si>
    <t>INR 3600.00</t>
  </si>
  <si>
    <t>ACH-RD-CH-0406</t>
  </si>
  <si>
    <t>True-Ally Ultra Clear Self-Adhesive Cold Lamination Roll 12" x 60 FT, Scratch and Water Resistant, Decals, Stickers, Stencils, Easy Peel and Stick (Clear Laminate Sticker Vinyl, Glossy) (12" x 60FT)</t>
  </si>
  <si>
    <t>INR 927.97</t>
  </si>
  <si>
    <t>ACH-EN-SP-0003</t>
  </si>
  <si>
    <t>Front End Engineering Consultation for Cartridge Assembly Phase 1 v1.0</t>
  </si>
  <si>
    <t>INR 500000.00</t>
  </si>
  <si>
    <t>ACH-MF-RM-0001</t>
  </si>
  <si>
    <t>22860 - Low-Fluorescence PVDF Transfer Membrane 0.2Ã¬m, 7cm X8.4cm</t>
  </si>
  <si>
    <t>INR 2007.28</t>
  </si>
  <si>
    <t>ACH-RD-AB-0078</t>
  </si>
  <si>
    <t>Hyaluronic acid Polyclonal Antibody</t>
  </si>
  <si>
    <t>INR 37.98608</t>
  </si>
  <si>
    <t>ACH-RD-AB-0079</t>
  </si>
  <si>
    <t>4C28cc C2cc</t>
  </si>
  <si>
    <t>INR 6.12</t>
  </si>
  <si>
    <t>ACH-RD-CH-0407</t>
  </si>
  <si>
    <t>4C28 C6</t>
  </si>
  <si>
    <t>ACH-RD-CH-0408</t>
  </si>
  <si>
    <t>4C28 C5</t>
  </si>
  <si>
    <t>ACH-RD-CH-0409</t>
  </si>
  <si>
    <t>4C28cc CRP30cc</t>
  </si>
  <si>
    <t>ACH-RD-CH-0410</t>
  </si>
  <si>
    <t>4C28cc CRP135cc</t>
  </si>
  <si>
    <t>ACH-RD-CH-0411</t>
  </si>
  <si>
    <t>242276 - Activated charcoal</t>
  </si>
  <si>
    <t>INR 12.18917</t>
  </si>
  <si>
    <t>ACH-EN-OP-0010</t>
  </si>
  <si>
    <t>OSRAM HBO 200W / 2 L1 Mercury Short-Arc Discharge Lamp</t>
  </si>
  <si>
    <t>INR 37707.00</t>
  </si>
  <si>
    <t>Ubuy Technologies</t>
  </si>
  <si>
    <t>ACH-EN-EQ-0003</t>
  </si>
  <si>
    <t>Wondersperm - Sperm Counting Chamber</t>
  </si>
  <si>
    <t>Shivani</t>
  </si>
  <si>
    <t>INR 39000.00</t>
  </si>
  <si>
    <t>ACH-RD-CM-0097</t>
  </si>
  <si>
    <t>Pasteur Pipette 3mL LDPE Sterile</t>
  </si>
  <si>
    <t>INR 7.04104</t>
  </si>
  <si>
    <t>ACH-RD-CM-0098</t>
  </si>
  <si>
    <t>CLS3605 - Corning 96 well NBS Microplate- round bottom, white polystyrene, bag of 25 Ã—, non-sterile, lid: no</t>
  </si>
  <si>
    <t>INR 499.02</t>
  </si>
  <si>
    <t>ACH-RD-BG-0003</t>
  </si>
  <si>
    <t>0325-0066 - Chikungunya IgM Pos Pls</t>
  </si>
  <si>
    <t>SeraCare</t>
  </si>
  <si>
    <t>INR 11.37</t>
  </si>
  <si>
    <t>LGC Clinical Diagnostics Inc</t>
  </si>
  <si>
    <t>ACH-RD-BG-0004</t>
  </si>
  <si>
    <t>0325-0014 - Dengue IgG Pos Pls</t>
  </si>
  <si>
    <t>INR 6.06</t>
  </si>
  <si>
    <t>ACH-RD-BG-0005</t>
  </si>
  <si>
    <t>0325-0018 - Dengue IgM Pos Pls</t>
  </si>
  <si>
    <t>INR 11.95</t>
  </si>
  <si>
    <t>ACH-RD-BG-0006</t>
  </si>
  <si>
    <t>0325-0073 -Zika IgG Pos Pls</t>
  </si>
  <si>
    <t>INR 19.01</t>
  </si>
  <si>
    <t>ACH-RD-BG-0007</t>
  </si>
  <si>
    <t>0325-0077 - Zika IgM Pos Pls</t>
  </si>
  <si>
    <t>INR 24.40</t>
  </si>
  <si>
    <t>ACH-RD-CM-0099</t>
  </si>
  <si>
    <t>Gen-3214 - Glass Bottom Dishes - 27mm, 3ml with LID</t>
  </si>
  <si>
    <t>INR 1126.30</t>
  </si>
  <si>
    <t>ACH-RD-CM-0100</t>
  </si>
  <si>
    <t>10427813 - Whatman Grade GB003 Gel Blotting Papers, Cellulose, 0.8 mm, 160 x 180 mm</t>
  </si>
  <si>
    <t>TISCH Scientific</t>
  </si>
  <si>
    <t>INR 57.49</t>
  </si>
  <si>
    <t>Tisch Scientific Sales Team</t>
  </si>
  <si>
    <t>ACH-RD-CH-0412</t>
  </si>
  <si>
    <t>I8260 - IgM from human serum</t>
  </si>
  <si>
    <t>INR 11.94</t>
  </si>
  <si>
    <t>ACH-RD-AB-0080</t>
  </si>
  <si>
    <t>10-1334 - Plasmodium vivax antibody</t>
  </si>
  <si>
    <t>INR 16.19</t>
  </si>
  <si>
    <t>ACH-RD-AB-0081</t>
  </si>
  <si>
    <t>10-1333 - Plasmodium vivax antibody</t>
  </si>
  <si>
    <t>ACH-RD-FL-0037</t>
  </si>
  <si>
    <t>MF001003 - mPEG-SH</t>
  </si>
  <si>
    <t>INR 9.96</t>
  </si>
  <si>
    <t>ACH-RD-CH-0413</t>
  </si>
  <si>
    <t>1067-3M15674"X10YD-NDâ€Ž â€Ž3M 1567 4" X 10YDâ€Ž 1567 MEDICAL TAPE 4" X 10YD DOUB</t>
  </si>
  <si>
    <t>INR 1178.60</t>
  </si>
  <si>
    <t>ACH-EN-EL-0025</t>
  </si>
  <si>
    <t>Crystal Clear Cell Cast Plexiglass Sheet - 1/8" 12x12</t>
  </si>
  <si>
    <t>INR 370.18</t>
  </si>
  <si>
    <t>ACH-EN-EL-0026</t>
  </si>
  <si>
    <t>Crystal Clear Cell Cast Plexiglass Sheet - 1/16" 12x12</t>
  </si>
  <si>
    <t>ACH-EN-EL-0027</t>
  </si>
  <si>
    <t>MEC7001-M2.5X0.45 / 8mm - Stainless Steel Socket Head Screws</t>
  </si>
  <si>
    <t>INR 7.999</t>
  </si>
  <si>
    <t>ACH-RD-AB-0082</t>
  </si>
  <si>
    <t>HM420 - Influenza A Virus Antibody</t>
  </si>
  <si>
    <t>INR 17.845</t>
  </si>
  <si>
    <t>ACH-RD-AB-0083</t>
  </si>
  <si>
    <t>HM419 - Influenza A Virus Antibody</t>
  </si>
  <si>
    <t>ACH-RD-AB-0084</t>
  </si>
  <si>
    <t>HM428 - Influenza B Virus Antibody</t>
  </si>
  <si>
    <t>ACH-RD-AB-0085</t>
  </si>
  <si>
    <t>HM427 - Influenza B Virus Antibody</t>
  </si>
  <si>
    <t>ACH-RD-AB-0086</t>
  </si>
  <si>
    <t>HM439 - Respiratory Syncytial Virus (RSV) Antibody</t>
  </si>
  <si>
    <t>INR 25.315</t>
  </si>
  <si>
    <t>ACH-RD-AB-0087</t>
  </si>
  <si>
    <t>C65064M - Mab To RSV Fusion Protein</t>
  </si>
  <si>
    <t>INR 49.0779</t>
  </si>
  <si>
    <t>ACH-RD-AB-0088</t>
  </si>
  <si>
    <t>C65065M - Mab To RSV Fusion Protein</t>
  </si>
  <si>
    <t>ACH-RD-AB-0089</t>
  </si>
  <si>
    <t>C01736M - Mab To Influenza A (NP)</t>
  </si>
  <si>
    <t>INR 23.5305</t>
  </si>
  <si>
    <t>ACH-RD-AB-0090</t>
  </si>
  <si>
    <t>C01746M - Mab To Influenza B (NP)</t>
  </si>
  <si>
    <t>ACH-RD-AB-0091</t>
  </si>
  <si>
    <t>C01747M - Mab To Influenza B (NP)</t>
  </si>
  <si>
    <t>ACH-EN-ME-0022</t>
  </si>
  <si>
    <t>Sandcastle Sand Paper Wet/Dry Waterproof 150:220:320:400:600:1000:1500:2000 Gritt - Black</t>
  </si>
  <si>
    <t>INR 31.1875</t>
  </si>
  <si>
    <t>ACH-RD-CH-0414</t>
  </si>
  <si>
    <t>Magnet 50 x 20 x 2</t>
  </si>
  <si>
    <t>Sree Rama Enterprises</t>
  </si>
  <si>
    <t>ACH-RD-KT-0020</t>
  </si>
  <si>
    <t>ACH10020 - PP Mix_PPv23</t>
  </si>
  <si>
    <t>INR 16.94</t>
  </si>
  <si>
    <t>ACH-RD-KT-0021</t>
  </si>
  <si>
    <t>ACH10024 - Polymerase Mix_Tk MM</t>
  </si>
  <si>
    <t>INR 2.86</t>
  </si>
  <si>
    <t>ACH-RD-KT-0022</t>
  </si>
  <si>
    <t>ACH10031 - PC_PCv3_10E6</t>
  </si>
  <si>
    <t>ACH-RD-AB-0092</t>
  </si>
  <si>
    <t>9594 - Influenza B Nucleoprotien</t>
  </si>
  <si>
    <t>INR 101.675</t>
  </si>
  <si>
    <t>ACH-RD-AB-0093</t>
  </si>
  <si>
    <t>R01598 - P Vivax PLDH Recomb</t>
  </si>
  <si>
    <t>INR 116.034</t>
  </si>
  <si>
    <t>ACH-RD-CH-0415</t>
  </si>
  <si>
    <t>Multi Purpose Scissor</t>
  </si>
  <si>
    <t>INR 83.036666</t>
  </si>
  <si>
    <t>ACH-GN-OF-0001</t>
  </si>
  <si>
    <t>14218 - HP CD-R 700MB 50 Blank CD Wrap 52x Speed, Silver</t>
  </si>
  <si>
    <t>INR 16.9152</t>
  </si>
  <si>
    <t>ACH-RD-CH-0416</t>
  </si>
  <si>
    <t>45KM041 - Plastic Box</t>
  </si>
  <si>
    <t>INR 166.19</t>
  </si>
  <si>
    <t>ACH-RD-CH-0417</t>
  </si>
  <si>
    <t>CD DVD Plastic Shell Case Cover</t>
  </si>
  <si>
    <t>INR 38.093</t>
  </si>
  <si>
    <t>ACH-EN-EL-0028</t>
  </si>
  <si>
    <t>709-NID100-5 - MEAN WELL 55W 24Vin 5Vout Non- / Non-Isolated DC/DC Converters</t>
  </si>
  <si>
    <t>Mouser</t>
  </si>
  <si>
    <t>INR 1502.64</t>
  </si>
  <si>
    <t>ACH-EN-EL-0029</t>
  </si>
  <si>
    <t>MEC7001-M5/12 - Stainless Steel Socket Head Screws</t>
  </si>
  <si>
    <t>INR 18.999</t>
  </si>
  <si>
    <t>ACH-EN-EL-0030</t>
  </si>
  <si>
    <t>MEC7001-M4/10 - Stainless Steel Socket Head Screws</t>
  </si>
  <si>
    <t>INR 10.999</t>
  </si>
  <si>
    <t>ACH-EN-EL-0031</t>
  </si>
  <si>
    <t>MEC8005-M2.5 - Brass Heat-Set Knurled Inserts for Plastic</t>
  </si>
  <si>
    <t>INR 8.999</t>
  </si>
  <si>
    <t>ACH-EN-EL-0032</t>
  </si>
  <si>
    <t>MEC7012-M4 - Stainless Steel Hex Nuts</t>
  </si>
  <si>
    <t>INR 3.7495</t>
  </si>
  <si>
    <t>ACH-EN-EL-0033</t>
  </si>
  <si>
    <t>MEC7001-M4/25 - Stainless Steel Socket Head Screws</t>
  </si>
  <si>
    <t>INR 17.999</t>
  </si>
  <si>
    <t>ACH-RD-CM-0101</t>
  </si>
  <si>
    <t>6721 - DRV8825 Stepper Motor Driver with Aluminum Heat Sink</t>
  </si>
  <si>
    <t>INR 152.00</t>
  </si>
  <si>
    <t>ACH-RD-CM-0102</t>
  </si>
  <si>
    <t>1293208 - Soldering cleaning sponge 5.5X5.5 CM</t>
  </si>
  <si>
    <t>ACH-RD-CH-0418</t>
  </si>
  <si>
    <t>MULTITEC Hex Short Allen Key Standard Set 1.5-10 MM</t>
  </si>
  <si>
    <t>INR 27.11</t>
  </si>
  <si>
    <t>Robocraze</t>
  </si>
  <si>
    <t>ACH-MF-CT-0001</t>
  </si>
  <si>
    <t>Rotary Spindle_P Rotary Valve_P, Valve Retainer_P</t>
  </si>
  <si>
    <t>Cartridge</t>
  </si>
  <si>
    <t>Set of 2</t>
  </si>
  <si>
    <t>Vinayaka Tech Tools and Devices</t>
  </si>
  <si>
    <t>ACH-EN-EL-0034</t>
  </si>
  <si>
    <t>IMX178 6MP black and white Machine Vision MIPI CSI-2 Camera Module for All Raspberry Pi and Jetson nono Camera Module - with 8mm CS LE NS</t>
  </si>
  <si>
    <t>Shanghai Belite Technnology Co. Ltd</t>
  </si>
  <si>
    <t>INR 12284.00</t>
  </si>
  <si>
    <t>ACH-EN-EL-0035</t>
  </si>
  <si>
    <t>IMX178 6MP black and white Machine Vision MIPI CSI-2 Camera Module for All Raspberry Pi and Jetson nono Camera Module</t>
  </si>
  <si>
    <t>INR 9130.00</t>
  </si>
  <si>
    <t>Shanghai Belite Technology Co. Ltd</t>
  </si>
  <si>
    <t>ACH-RD-AB-0094</t>
  </si>
  <si>
    <t>700020 - Anti-h Calcitonin 4051</t>
  </si>
  <si>
    <t>INR 18.45</t>
  </si>
  <si>
    <t>ACH-RD-AB-0095</t>
  </si>
  <si>
    <t>100563 - Anti-h PCT 4004 SPTN-5</t>
  </si>
  <si>
    <t>ACH-RD-AB-0096</t>
  </si>
  <si>
    <t>100567 - Anti-h PCT 4006 SPTN-5</t>
  </si>
  <si>
    <t>ACH-RD-FL-0038</t>
  </si>
  <si>
    <t>BR228-D4A3- CRP</t>
  </si>
  <si>
    <t>BBI</t>
  </si>
  <si>
    <t>INR 21.58</t>
  </si>
  <si>
    <t>BBI Solutions UK</t>
  </si>
  <si>
    <t>ACH-RD-FL-0039</t>
  </si>
  <si>
    <t>MAB326P - CRP</t>
  </si>
  <si>
    <t>INR 11.384</t>
  </si>
  <si>
    <t>BBI Solutions - US</t>
  </si>
  <si>
    <t>ACH-RD-FL-0040</t>
  </si>
  <si>
    <t>MAB327P - CRP</t>
  </si>
  <si>
    <t>ACH-RD-AB-0097</t>
  </si>
  <si>
    <t>KPT10588 -H08B - SARS-CoV-2 / Covid-19 nucleocapsid, his Tag</t>
  </si>
  <si>
    <t>Krishgen Biosystems</t>
  </si>
  <si>
    <t>INR 495.00</t>
  </si>
  <si>
    <t>ACH-EN-EQ-0004</t>
  </si>
  <si>
    <t>Black Chair Office</t>
  </si>
  <si>
    <t>INR 3200.00</t>
  </si>
  <si>
    <t>Redefine Enterprises</t>
  </si>
  <si>
    <t>ACH-RD-AB-0098</t>
  </si>
  <si>
    <t>100559 - Anti-HRP2 3901 SPTN-5</t>
  </si>
  <si>
    <t>INR 5.395</t>
  </si>
  <si>
    <t>ACH-RD-AB-0099</t>
  </si>
  <si>
    <t>100560 - Anti-HRP2 3902 SPTN-5</t>
  </si>
  <si>
    <t>ACH-MF-PM-0005</t>
  </si>
  <si>
    <t>Thermocoal Box 35 L</t>
  </si>
  <si>
    <t>ACH-GN-HK-0006</t>
  </si>
  <si>
    <t>Tea &amp; Coffee Machine - 2 Lane - Advanced Robust Fully Automatic Coffee Vending Machine</t>
  </si>
  <si>
    <t>Cafe Desire</t>
  </si>
  <si>
    <t>INR 13474.58</t>
  </si>
  <si>
    <t>ACH-GN-HK-0007</t>
  </si>
  <si>
    <t>Premix - Tea</t>
  </si>
  <si>
    <t>Housekeeping_Canteen Items</t>
  </si>
  <si>
    <t>C11</t>
  </si>
  <si>
    <t>Housekeeping and Canteen Area_TF</t>
  </si>
  <si>
    <t>ACH-GN-HK-0008</t>
  </si>
  <si>
    <t>Premix - Coffee</t>
  </si>
  <si>
    <t>C10</t>
  </si>
  <si>
    <t>ACH-RD-CH-0419</t>
  </si>
  <si>
    <t>LM3405AEVAL/NOPB-NDâ€Ž â€ŽLM3405AEVAL/NOPBâ€Ž EVAL BOARD FOR LM3405A</t>
  </si>
  <si>
    <t>INR 4799.06</t>
  </si>
  <si>
    <t>ACH-EN-SP-0004</t>
  </si>
  <si>
    <t>Rubber Valve Version_2 Development Cost</t>
  </si>
  <si>
    <t>INR 18000.00</t>
  </si>
  <si>
    <t>ACH-GN-IT-0002</t>
  </si>
  <si>
    <t>Laptop : MSI Bravo 15 Ryzen 7 Octa Core 5800H - (16 GB/512 GB SSD/Windows 11 Home/4 GB Graphics/AMD Radeon RX6500M/144 Hz) Bravo 15 B5ED-035IN Gaming Laptop (15.6 inch, Black, 2.35 Kg)</t>
  </si>
  <si>
    <t>MSI Bravo</t>
  </si>
  <si>
    <t>INR 62990.00</t>
  </si>
  <si>
    <t>Flipkart</t>
  </si>
  <si>
    <t>ACH-EN-OP-0011</t>
  </si>
  <si>
    <t>590DRLP/25.7X36mm - 1.1mm thick - Optical Filter</t>
  </si>
  <si>
    <t>INR 20750.00</t>
  </si>
  <si>
    <t>ACH-EN-SP-0005</t>
  </si>
  <si>
    <t>Rubber Valve Aluminum Pieces Development Costs</t>
  </si>
  <si>
    <t>INR 15000.00</t>
  </si>
  <si>
    <t>ACH-EN-SP-0006</t>
  </si>
  <si>
    <t>Small Button Development Costs</t>
  </si>
  <si>
    <t>INR 10000.00</t>
  </si>
  <si>
    <t>ACH-EN-SP-0007</t>
  </si>
  <si>
    <t>Rubber Valve Development Costs</t>
  </si>
  <si>
    <t>ACH-RD-CH-0420</t>
  </si>
  <si>
    <t>Small Button</t>
  </si>
  <si>
    <t>M M Polymers</t>
  </si>
  <si>
    <t>ACH-MF-CT-0002</t>
  </si>
  <si>
    <t>Rubber Valve Ver_1</t>
  </si>
  <si>
    <t>INR 30.00</t>
  </si>
  <si>
    <t>ACH-MF-CT-0003</t>
  </si>
  <si>
    <t>Rubber Valve Ver_2</t>
  </si>
  <si>
    <t>INR 32.00</t>
  </si>
  <si>
    <t>ACH-RD-CH-0421</t>
  </si>
  <si>
    <t>RKI-6142 - AS5600 Absolute Encoder 12 Bit Precion Angle Measurement Sensor With Magnet Wheel</t>
  </si>
  <si>
    <t>INR 270.00</t>
  </si>
  <si>
    <t>Dazzle Robotics Pvt. Ltd.</t>
  </si>
  <si>
    <t>ACH-RD-CH-0422</t>
  </si>
  <si>
    <t>HAV01 - HDMI to VGA Adapter with Full HD 1080p @ 60Hz Native Resolution, Gold Plated connectors, Plug Play Usage, Strong and Durable Build Quality</t>
  </si>
  <si>
    <t>INR 318.00</t>
  </si>
  <si>
    <t>ACH-RD-CM-0103</t>
  </si>
  <si>
    <t>1290246 - Soldron Micro Bit Super Deluxe Needle</t>
  </si>
  <si>
    <t>INR 139.00</t>
  </si>
  <si>
    <t>ACH-RD-CM-0104</t>
  </si>
  <si>
    <t>7798 - Soldron High Quality Black Aluminum Body Desoldering Pump</t>
  </si>
  <si>
    <t>INR 229.00</t>
  </si>
  <si>
    <t>ACH-EN-EL-0036</t>
  </si>
  <si>
    <t>TOL2029 - Soldering Iron Tip Cleaning Ball_Wool_Sponge</t>
  </si>
  <si>
    <t>INR 299.99</t>
  </si>
  <si>
    <t>ACH-RD-AB-0100</t>
  </si>
  <si>
    <t>4C10cc RC16B5 Anti-Calcitonin</t>
  </si>
  <si>
    <t>INR 11.34</t>
  </si>
  <si>
    <t>ACH-RD-AB-0101</t>
  </si>
  <si>
    <t>8PC5 PCT, rec.</t>
  </si>
  <si>
    <t>INR 21.15</t>
  </si>
  <si>
    <t>ACH-RD-CH-0423</t>
  </si>
  <si>
    <t>PELR0050 Mains Power Cord Plug Schuko to IEC 60320 C15 2 m 10 A 250 VAC Black</t>
  </si>
  <si>
    <t>INR 796.04</t>
  </si>
  <si>
    <t>ACH-GN-OF-0002</t>
  </si>
  <si>
    <t>ohp sheet mate finish - 18*24</t>
  </si>
  <si>
    <t>Standard Systems</t>
  </si>
  <si>
    <t>ACH-RD-CH-0424</t>
  </si>
  <si>
    <t>32,512 DPI Film</t>
  </si>
  <si>
    <t>INR 62.25</t>
  </si>
  <si>
    <t>Fine Line Imaging</t>
  </si>
  <si>
    <t>ACH-RD-FL-0041</t>
  </si>
  <si>
    <t>568856 - Fluorescein o-acrylate</t>
  </si>
  <si>
    <t>INR 0.021689</t>
  </si>
  <si>
    <t>ACH-EN-SP-0008</t>
  </si>
  <si>
    <t>Design Patterns for Great Software 1st Edition, Kindle Edition - Making Embedded Systems</t>
  </si>
  <si>
    <t>INR 1573.32</t>
  </si>
  <si>
    <t>ACH-MF-PM-0006</t>
  </si>
  <si>
    <t>CILICAnT 5 Gram (80 Pcs) Silica Gel Orange Packets Desiccant Dehumidifiers, Indicating Silica Gel Packs for Moisture Absorption ( 5 Gram X 80 Pcs = 400 Gram</t>
  </si>
  <si>
    <t>INR 2.319875</t>
  </si>
  <si>
    <t>ACH-EN-EL-0037</t>
  </si>
  <si>
    <t>Raspberry pi Compute Module 4 4GB RAM, 16GB eMMC, Wireless</t>
  </si>
  <si>
    <t>INR 7597.47</t>
  </si>
  <si>
    <t>ACH-EN-SP-0009</t>
  </si>
  <si>
    <t>Annual Maintenance Charges for following Leica Microscopes</t>
  </si>
  <si>
    <t>INR 60000.00</t>
  </si>
  <si>
    <t>ACH-RD-CH-0425</t>
  </si>
  <si>
    <t>StarLight Bead Calibration Slide Flash Red</t>
  </si>
  <si>
    <t>INR 17908.80</t>
  </si>
  <si>
    <t>Ott Scientific India Pvt. Ltd</t>
  </si>
  <si>
    <t>ACH-RD-BG-0008</t>
  </si>
  <si>
    <t>83/573 - Prolactin, Human. 4th WHO International Standard</t>
  </si>
  <si>
    <t>INR 14847.00</t>
  </si>
  <si>
    <t>ACH-RD-CH-0426</t>
  </si>
  <si>
    <t>FAB-P008-9F1 - PRL Ab</t>
  </si>
  <si>
    <t>INR 4.92</t>
  </si>
  <si>
    <t>ACH-RD-CH-0427</t>
  </si>
  <si>
    <t>FAB-L002-6C3 - T3 Ab</t>
  </si>
  <si>
    <t>INR 7.38</t>
  </si>
  <si>
    <t>ACH-RD-CH-0428</t>
  </si>
  <si>
    <t>FAB-i014-2B2 -Dengue NS1</t>
  </si>
  <si>
    <t>INR 9.84</t>
  </si>
  <si>
    <t>ACH-RD-CH-0429</t>
  </si>
  <si>
    <t>FAB-i014-2K1 - Dengue NS1</t>
  </si>
  <si>
    <t>ACH-RD-CH-0430</t>
  </si>
  <si>
    <t>FAB-i014-2H3 - Dengue NS1</t>
  </si>
  <si>
    <t>ACH-RD-CH-0431</t>
  </si>
  <si>
    <t>FAB-i014-2C4 - Dengue NS1</t>
  </si>
  <si>
    <t>ACH-RD-CH-0432</t>
  </si>
  <si>
    <t>FAB-i018-8C1 - RSV Ab</t>
  </si>
  <si>
    <t>INR 22.96</t>
  </si>
  <si>
    <t>ACH-RD-CH-0433</t>
  </si>
  <si>
    <t>FAB-i018-8H2 - RSV Ab</t>
  </si>
  <si>
    <t>ACH-RD-CH-0434</t>
  </si>
  <si>
    <t>FAB-i016-7H3 - S.typhi Ab</t>
  </si>
  <si>
    <t>INR 23.53</t>
  </si>
  <si>
    <t>ACH-RD-CH-0435</t>
  </si>
  <si>
    <t>FAB-i016-7H4 - S.typhi Ab</t>
  </si>
  <si>
    <t>ACH-RD-CH-0436</t>
  </si>
  <si>
    <t>FAP-iE016 - S.typhi Ag</t>
  </si>
  <si>
    <t>INR 0.0001</t>
  </si>
  <si>
    <t>ACH-RD-CH-0437</t>
  </si>
  <si>
    <t>FAB-i005-9C3 - FluB Ab</t>
  </si>
  <si>
    <t>INR 6.89</t>
  </si>
  <si>
    <t>ACH-RD-CH-0438</t>
  </si>
  <si>
    <t>FAB-i005-9G4 - FluB Ab</t>
  </si>
  <si>
    <t>ACH-RD-AB-0102</t>
  </si>
  <si>
    <t>FAP-iE005 -FluB Ag</t>
  </si>
  <si>
    <t>INR 40.508</t>
  </si>
  <si>
    <t>ACH-RD-AB-0103</t>
  </si>
  <si>
    <t>FAB-I012-2G1 - SARS-CoV-2 N humanizedantibody</t>
  </si>
  <si>
    <t>ACH-RD-AB-0104</t>
  </si>
  <si>
    <t>FAB-I012-2G2 - SARS-CoV-2 N humanizedantibody</t>
  </si>
  <si>
    <t>ACH-RD-AB-0105</t>
  </si>
  <si>
    <t>FAB-L003-6C4 - T4 Ab</t>
  </si>
  <si>
    <t>ACH-RD-CH-0439</t>
  </si>
  <si>
    <t>SanDisk Ultra microSD UHS-I Card 32GB, 120MB/s R</t>
  </si>
  <si>
    <t>INR 312.71</t>
  </si>
  <si>
    <t>ACH-RD-CH-0440</t>
  </si>
  <si>
    <t>Polycrom Korean PVC Lamination Dragon Sheet Set of 10 Cores and 20 Overlays A4 Size 800 Micron : Imported Korean Sheets</t>
  </si>
  <si>
    <t>INR 550.00</t>
  </si>
  <si>
    <t>ACH-EN-EL-0038</t>
  </si>
  <si>
    <t>PHX064S-MS - 6.3 MP, 3072 x 2048 px, 17.7 fps, Sony IMX178 CMOS, 1/1.8â€_x009d_, 2.40 Î¼m, Rolling Shutter, S Mount, Mono Camera</t>
  </si>
  <si>
    <t>INR 29800.00</t>
  </si>
  <si>
    <t>HWYL</t>
  </si>
  <si>
    <t>ACH-EN-EL-0039</t>
  </si>
  <si>
    <t>GPIO-8P20 GPIO 8-pin 20cm JST Cable</t>
  </si>
  <si>
    <t>ACH-EN-OP-0012</t>
  </si>
  <si>
    <t>LANO-S0828-5M 5MP, 1/1.8", 8mm Focal Length, M12x0.5 Mount, F 2.8 + - 5%</t>
  </si>
  <si>
    <t>ACH-EN-ME-0023</t>
  </si>
  <si>
    <t>LED Magnifying lamp Industrial Grade</t>
  </si>
  <si>
    <t>VAR TECH</t>
  </si>
  <si>
    <t>INR 2682.80</t>
  </si>
  <si>
    <t>ACH-EN-EL-0040</t>
  </si>
  <si>
    <t>ESD Safe Smoke Absorber/Fume Extractor 493 for All Type Soldering and Repairing Works</t>
  </si>
  <si>
    <t>INR 2151.15</t>
  </si>
  <si>
    <t>ACH-EN-OP-0013</t>
  </si>
  <si>
    <t>Bandpass Filter 635nm</t>
  </si>
  <si>
    <t>INR 820.00</t>
  </si>
  <si>
    <t>ACH-EN-EL-0041</t>
  </si>
  <si>
    <t>131125- Antibody Stabilizer</t>
  </si>
  <si>
    <t>ACH-EN-EL-0042</t>
  </si>
  <si>
    <t>160125 - Liquid Plate Sealer</t>
  </si>
  <si>
    <t>ACH-RD-CM-0105</t>
  </si>
  <si>
    <t>UFC5010 - Ultracel-10 regenerated cellulose membrane - Amicon Ultra-0.5 Centrifugal Filter Unit 0.5 mL sample volume -</t>
  </si>
  <si>
    <t>INR 857.08</t>
  </si>
  <si>
    <t>ACH-RD-CH-0441</t>
  </si>
  <si>
    <t>ESD Plastic Tweeezers</t>
  </si>
  <si>
    <t>INR 84.53</t>
  </si>
  <si>
    <t>ACH-GN-OF-0003</t>
  </si>
  <si>
    <t>3M Scotch Magic Tape Roll (2N) with Refillable Dispenser | 1.9cm x 25.4 Meter</t>
  </si>
  <si>
    <t>INR 182.20</t>
  </si>
  <si>
    <t>ACH-RD-CH-0442</t>
  </si>
  <si>
    <t>FAB-B001-2B5 - CRP Ab</t>
  </si>
  <si>
    <t>INR 2.49</t>
  </si>
  <si>
    <t>ACH-RD-CH-0443</t>
  </si>
  <si>
    <t>FAB-B001-1A8 - CRP Ab</t>
  </si>
  <si>
    <t>ACH-RD-CH-0444</t>
  </si>
  <si>
    <t>FAB-B002-10D6- PCT Ab</t>
  </si>
  <si>
    <t>ACH-RD-CH-0445</t>
  </si>
  <si>
    <t>FAB-B002-4A1 - PCT Ab</t>
  </si>
  <si>
    <t>INR 5.81</t>
  </si>
  <si>
    <t>ACH-RD-CH-0446</t>
  </si>
  <si>
    <t>SRL - 76203 - Dextran Sulphate Sodium Salt 30-50 (DSS 35-50) ex. Leuconostoc Sp. Colitis Grade for molecular biology</t>
  </si>
  <si>
    <t>INR 0.33812</t>
  </si>
  <si>
    <t>ACH-EN-EL-0043</t>
  </si>
  <si>
    <t>5480 - Fuse Holder with Transparent Cover for 5x20mm Fuses - PCB Mount</t>
  </si>
  <si>
    <t>Sunrom</t>
  </si>
  <si>
    <t>INR 17.70</t>
  </si>
  <si>
    <t>Sunrom Electronics</t>
  </si>
  <si>
    <t>ACH-EN-EL-0044</t>
  </si>
  <si>
    <t>RC0603FR-13100RL - 100 Ohms Â±1% 0.1W, 1/10W Chip Resistor 0603 (1608 Metric) Moisture Resistant Thick Film</t>
  </si>
  <si>
    <t>INR 1.577</t>
  </si>
  <si>
    <t>ACH-EN-EL-0045</t>
  </si>
  <si>
    <t>LTH-301-05 - Optical Sensor Through-Beam 0.236" (6mm) Phototransistor Module, PC Pins, Slot Type</t>
  </si>
  <si>
    <t>INR 67.6284</t>
  </si>
  <si>
    <t>ACH-EN-EL-0046</t>
  </si>
  <si>
    <t>XPEBRD-L1-0000-00801 - LED Lighting Color XLampÂ® XP-E2 Red 625nm (620nm ~ 630nm) 1414 (3535 Metric)</t>
  </si>
  <si>
    <t>INR 139.42</t>
  </si>
  <si>
    <t>ACH-EN-EL-0047</t>
  </si>
  <si>
    <t>XPEBWT-L1-0000-00C51 -LED Lighting XLampÂ® XP-E2 White, Cool 6200K 2.9V 350mA 110Â° 1414 (3535 Metric)</t>
  </si>
  <si>
    <t>INR 61.2872</t>
  </si>
  <si>
    <t>ACH-EN-EL-0048</t>
  </si>
  <si>
    <t>860010773010 - 22 ÂµF 63 V Aluminum Electrolytic Capacitors Radial, Can 2000 Hrs @ 85Â°C</t>
  </si>
  <si>
    <t>INR 11.62</t>
  </si>
  <si>
    <t>ACH-EN-EL-0049</t>
  </si>
  <si>
    <t>SRP1265C-150M - 15 ÂµH Shielded Inductor 11 A 28mOhm Max Nonstandard</t>
  </si>
  <si>
    <t>INR 115.619</t>
  </si>
  <si>
    <t>ACH-EN-EL-0050</t>
  </si>
  <si>
    <t>NID100-5 - Non-Isolated PoL Module DC DC Converter 1 Output 5V 11A 10.5V - 53V Input</t>
  </si>
  <si>
    <t>INR 1520.311</t>
  </si>
  <si>
    <t>ACH-EN-EL-0051</t>
  </si>
  <si>
    <t>RR01J6R2TB-6.2 Ohms Â±5% 1W Through Hole Resistor Axial Flame Retardant Coating, Pulse Withstanding, Safety Metal Film</t>
  </si>
  <si>
    <t>INR 11.9852</t>
  </si>
  <si>
    <t>ACH-EN-EL-0052</t>
  </si>
  <si>
    <t>FMP200JR-52-1R5 - 1.5 Ohms Â±5% 2W Through Hole Resistor Axial Flame Proof, Safety Metal Film</t>
  </si>
  <si>
    <t>ACH-EN-EL-0053</t>
  </si>
  <si>
    <t>KNP100JR-73-0R5 - 500 mOhms Â±5% 1W Through Hole Resistor Axial Flame Retardant Coating, Safety Wirewound</t>
  </si>
  <si>
    <t>INR 7.8948</t>
  </si>
  <si>
    <t>ACH-EN-EL-0054</t>
  </si>
  <si>
    <t>PR01000106808JR500 - 6.8 Ohms Â±5% 1W Through Hole Resistor Axial Automotive AEC-Q200, Flame Retardant Coating, Fusible, Safety Metal Film</t>
  </si>
  <si>
    <t>INR 13.5456</t>
  </si>
  <si>
    <t>ACH-EN-EL-0055</t>
  </si>
  <si>
    <t>CFR-25JR-52-0R - 0 Ohms Â±5% 0.25W, 1/4W Through Hole Resistor Axial Carbon Film</t>
  </si>
  <si>
    <t>INR 3.8844</t>
  </si>
  <si>
    <t>ACH-EN-EL-0056</t>
  </si>
  <si>
    <t>RMCF0603FT10K0 - 10 kOhms Â±1% 0.1W, 1/10W Chip Resistor 0603 (1608 Metric) Automotive AEC-Q200 Thick Film</t>
  </si>
  <si>
    <t>INR 1.2865</t>
  </si>
  <si>
    <t>ACH-EN-EL-0057</t>
  </si>
  <si>
    <t>1219053 - Waveshare 5inch Capacitive Touch Display for Raspberry Pi, DSI Interface, 800Ã—480</t>
  </si>
  <si>
    <t>INR 4194.00</t>
  </si>
  <si>
    <t>ACH-EN-EL-0058</t>
  </si>
  <si>
    <t>MEC7001-M5/10 - Stainless Steel Socket Head Screws</t>
  </si>
  <si>
    <t>INR 19.999</t>
  </si>
  <si>
    <t>ACH-EN-EL-0059</t>
  </si>
  <si>
    <t>MEC7001-M5/8 - Stainless Steel Socket Head Screws</t>
  </si>
  <si>
    <t>ACH-EN-EL-0060</t>
  </si>
  <si>
    <t>MEC7001-M2.5/8 - Stainless Steel Socket Head Screws</t>
  </si>
  <si>
    <t>ACH-EN-EL-0061</t>
  </si>
  <si>
    <t>ATTEN AT-B778 Antistatic Manual Vacuum Suction Pen BGA Chip IC Pickup Tool Sucker</t>
  </si>
  <si>
    <t>INR 336.15</t>
  </si>
  <si>
    <t>Shenzhen Guste Technology Co., Ltd</t>
  </si>
  <si>
    <t>ACH-RD-CH-0447</t>
  </si>
  <si>
    <t>OPFBJW0000 09 - Glass Slicing of DIA 25mm to DIA 9MM</t>
  </si>
  <si>
    <t>HHV Advanced Technologies Pvt. Ltd</t>
  </si>
  <si>
    <t>ACH-EN-OP-0014</t>
  </si>
  <si>
    <t>SCARACL121 0A - Aspheric Condenser Lens (ACL1210A)</t>
  </si>
  <si>
    <t>INR 1460.00</t>
  </si>
  <si>
    <t>ACH-EN-SP-0010</t>
  </si>
  <si>
    <t>Subscription Renewal of your existing SOLIDWORKS Standard Module for the Period of 1year.</t>
  </si>
  <si>
    <t>Solidworks</t>
  </si>
  <si>
    <t>INR 315000.00</t>
  </si>
  <si>
    <t>ACH-GN-OF-0004</t>
  </si>
  <si>
    <t>OHP Sheet A4 Size 250 Mic</t>
  </si>
  <si>
    <t>INR 520.00</t>
  </si>
  <si>
    <t>Ganapathi File and Stationery</t>
  </si>
  <si>
    <t>ACH-RD-CH-0448</t>
  </si>
  <si>
    <t>SPREMIO - Package Box</t>
  </si>
  <si>
    <t>INR 35.00</t>
  </si>
  <si>
    <t>Kapricorn</t>
  </si>
  <si>
    <t>ACH-RD-KT-0023</t>
  </si>
  <si>
    <t>SPREMIO - Kit Inserts 5S</t>
  </si>
  <si>
    <t>ACH-RD-KT-0024</t>
  </si>
  <si>
    <t>SPREMIO - Kit Inserts 2S</t>
  </si>
  <si>
    <t>INR 8.00</t>
  </si>
  <si>
    <t>GX41A41186 - Lenovo Urban 39.6 Cm B535 - Laptop</t>
  </si>
  <si>
    <t>Lenovo</t>
  </si>
  <si>
    <t>INR 68549.14</t>
  </si>
  <si>
    <t>Net Distribution Services Pvt. Ltd</t>
  </si>
  <si>
    <t>INR 790.00</t>
  </si>
  <si>
    <t>ACH-RD-AB-0106</t>
  </si>
  <si>
    <t>R01653-1 - Chikungunya E1 Wild-type Rec.</t>
  </si>
  <si>
    <t>INR 56.855</t>
  </si>
  <si>
    <t>ACH-GN-IT-0004</t>
  </si>
  <si>
    <t>MSI Bravo 15 Ryzen 7 Octa Core 5800H - (16 GB/512 GB SSD/Windows 11 Home/4 GB Graphics/AMD Radeon RX6500M/144 Hz) Bravo 15 B5ED-035IN Gaming Laptop (15.6 inch, Black, 2.35 Kg)</t>
  </si>
  <si>
    <t>INR 59990.00</t>
  </si>
  <si>
    <t>ACH-MF-CM-0064</t>
  </si>
  <si>
    <t>BML D- Water -</t>
  </si>
  <si>
    <t>Sri Vinayaka Distributors</t>
  </si>
  <si>
    <t>ACH-RD-CM-0106</t>
  </si>
  <si>
    <t>45cm (17.7") Long Cryogenic Gloves LN2 Liquid Nitrogen Protective Gloves</t>
  </si>
  <si>
    <t>INR 4556.20</t>
  </si>
  <si>
    <t>ACH-RD-CH-0449</t>
  </si>
  <si>
    <t>3M 1621 Polycarbonate Safety Goggles for Chemical Splash</t>
  </si>
  <si>
    <t>INR 97.46</t>
  </si>
  <si>
    <t>ACH-RD-CH-0450</t>
  </si>
  <si>
    <t>Stainless Steel Tweezer</t>
  </si>
  <si>
    <t>INR 47.458</t>
  </si>
  <si>
    <t>ACH-RD-CH-0451</t>
  </si>
  <si>
    <t>Single Stage Nitrogen Gas Pressure Regulator (ISI Certified)</t>
  </si>
  <si>
    <t>Seema</t>
  </si>
  <si>
    <t>INR 1932.20</t>
  </si>
  <si>
    <t>ACH-RD-CH-0452</t>
  </si>
  <si>
    <t>Men's Flip Flop No. 7</t>
  </si>
  <si>
    <t>INR 282.75</t>
  </si>
  <si>
    <t>ACH-RD-CH-0453</t>
  </si>
  <si>
    <t>Men's Flip Flop No. 8</t>
  </si>
  <si>
    <t>INR 261.75</t>
  </si>
  <si>
    <t>ACH-EN-ME-0024</t>
  </si>
  <si>
    <t>MEC7012-M3 - Stainless Steel Hex Nuts</t>
  </si>
  <si>
    <t>INR 2.4995</t>
  </si>
  <si>
    <t>ACH-EN-ME-0025</t>
  </si>
  <si>
    <t>MEC7012-M5 - Stainless Steel Hex Nuts</t>
  </si>
  <si>
    <t>INR 4.9995</t>
  </si>
  <si>
    <t>ACH-EN-ME-0026</t>
  </si>
  <si>
    <t>MEC7009-M2.10 - Metric Alloy Steel Cup-Point Set Screws</t>
  </si>
  <si>
    <t>INR 9.998</t>
  </si>
  <si>
    <t>ACH-EN-SP-0011</t>
  </si>
  <si>
    <t>Calibration Services - Instruments</t>
  </si>
  <si>
    <t>INR 102675.00</t>
  </si>
  <si>
    <t>ACH-EN-EQ-0005</t>
  </si>
  <si>
    <t>i-Chroma II Immunoassay Reader</t>
  </si>
  <si>
    <t>INR 75000.00</t>
  </si>
  <si>
    <t>Raj Biosis Private Limited</t>
  </si>
  <si>
    <t>ACH-RD-KT-0025</t>
  </si>
  <si>
    <t>i-Chroma Cystatin Tests</t>
  </si>
  <si>
    <t>INR 177.08</t>
  </si>
  <si>
    <t>ACH-RD-KT-0026</t>
  </si>
  <si>
    <t>i-Chroma PCT Tests</t>
  </si>
  <si>
    <t>INR 214.00</t>
  </si>
  <si>
    <t>ACH-RD-CH-0454</t>
  </si>
  <si>
    <t>10000182 - Turning valve test chip</t>
  </si>
  <si>
    <t>Microfludic Chipshop</t>
  </si>
  <si>
    <t>INR 11693.50</t>
  </si>
  <si>
    <t>Microfluidic ChipShop GmbH</t>
  </si>
  <si>
    <t>ACH-EN-ME-0027</t>
  </si>
  <si>
    <t>1274 Steel (350mm) Stillson Type Pipe Wrench</t>
  </si>
  <si>
    <t>Taparia</t>
  </si>
  <si>
    <t>INR 361.02</t>
  </si>
  <si>
    <t>ACH-RD-CM-0107</t>
  </si>
  <si>
    <t>Steel crucible tongs for lab size 8 inches to hold laboratory hot beaker flask dishes tubes holder labware</t>
  </si>
  <si>
    <t>Labworld</t>
  </si>
  <si>
    <t>INR 156.78</t>
  </si>
  <si>
    <t>ACH-RD-CH-0455</t>
  </si>
  <si>
    <t>Ice Cube Tray with Silicon Ice Mold Trays Flexible Silicone Honeycomb Shape 37 Cavity Ice Cube Tray with Lid Mould Chocolate Cake Maker, Ice Trays for Chilled Drinks, Reusable Multicolor</t>
  </si>
  <si>
    <t>Samezone</t>
  </si>
  <si>
    <t>INR 158.41</t>
  </si>
  <si>
    <t>ACH-RD-CM-0108</t>
  </si>
  <si>
    <t>Dispensing Needle Set, 1.97inch Stainless Steel Blunt Tip Luer Lock 8, 10, 12, 14, 16, 18 Gauge.</t>
  </si>
  <si>
    <t>INR 185.54</t>
  </si>
  <si>
    <t>ACH-EN-EL-0062</t>
  </si>
  <si>
    <t>RMCS2014 - Planetary Geared Stepper Motor 14 GCM</t>
  </si>
  <si>
    <t>NEMA 17</t>
  </si>
  <si>
    <t>INR 2150.00</t>
  </si>
  <si>
    <t>ACH-EN-EL-0063</t>
  </si>
  <si>
    <t>RMCS2015 - Planetary Geared Stepper Motor 45 GCM</t>
  </si>
  <si>
    <t>ACH-EN-EL-0064</t>
  </si>
  <si>
    <t>RMCS2008 - Planetary Geared Stepper Motor 60 GCM</t>
  </si>
  <si>
    <t>INR 2380.00</t>
  </si>
  <si>
    <t>ACH-EN-EL-0065</t>
  </si>
  <si>
    <t>TB6600 -Stepper Motor Driver Subdivision 4.0A 42V - RMCS-3758</t>
  </si>
  <si>
    <t>ACH-EN-EL-0066</t>
  </si>
  <si>
    <t>6377 - 2 pin JST PH 2.0mm Both side Female 30cm</t>
  </si>
  <si>
    <t>INR 9.50</t>
  </si>
  <si>
    <t>ACH-EN-EL-0067</t>
  </si>
  <si>
    <t>6373 - 7 pin JST PH 2.0mm One side Female 30cm</t>
  </si>
  <si>
    <t>ACH-EN-EL-0068</t>
  </si>
  <si>
    <t>6323 - 3 pin JST PH 2.0mm Through Hole Header Horizontal Right Angle Side Entry</t>
  </si>
  <si>
    <t>INR 3.00</t>
  </si>
  <si>
    <t>ACH-EN-EL-0069</t>
  </si>
  <si>
    <t>7144 - USB Type-C Female - 4 pin Breakout PCB</t>
  </si>
  <si>
    <t>ACH-EN-EL-0070</t>
  </si>
  <si>
    <t>3889 - Spring Test Probe Pogo pin - Pointed Head - Diameter 1.36mm - Length 33.3mm for Pitch 2.54mm Setup</t>
  </si>
  <si>
    <t>INR 16.82</t>
  </si>
  <si>
    <t>ACH-EN-EL-0071</t>
  </si>
  <si>
    <t>6368 - 2 pin JST PH 2.0mm One side Female 30cm</t>
  </si>
  <si>
    <t>INR 6.00</t>
  </si>
  <si>
    <t>ACH-EN-EL-0072</t>
  </si>
  <si>
    <t>6379 - 4 pin JST PH 2.0mm Both side Female 30cm</t>
  </si>
  <si>
    <t>ACH-EN-EL-0073</t>
  </si>
  <si>
    <t>5029 - Soldering Flux - 15gm</t>
  </si>
  <si>
    <t>INR 24.00</t>
  </si>
  <si>
    <t>ACH-EN-EL-0074</t>
  </si>
  <si>
    <t>6649 - 5K1 1% 0603</t>
  </si>
  <si>
    <t>ACH-EN-EL-0075</t>
  </si>
  <si>
    <t>4660 - 22R 1% 0603</t>
  </si>
  <si>
    <t>ACH-EN-ME-0028</t>
  </si>
  <si>
    <t>42HSE34-0404JA05-D10 - Stepper Motor</t>
  </si>
  <si>
    <t>Changzhou</t>
  </si>
  <si>
    <t>INR 2490.00</t>
  </si>
  <si>
    <t>Changhou Jinsanshi Mechatronics Co. Ltd</t>
  </si>
  <si>
    <t>ACH-EN-EL-0076</t>
  </si>
  <si>
    <t>Y11 - Printed Circuit Board</t>
  </si>
  <si>
    <t>JLCPCB</t>
  </si>
  <si>
    <t>INR 84.66</t>
  </si>
  <si>
    <t>JiaLiChung Hongkong Co. Ltd</t>
  </si>
  <si>
    <t>ACH-EN-EL-0077</t>
  </si>
  <si>
    <t>Y3 - Printed Circuit Board</t>
  </si>
  <si>
    <t>INR 84.68</t>
  </si>
  <si>
    <t>ACH-EN-EL-0078</t>
  </si>
  <si>
    <t>Y7 - Printed Circuit Board</t>
  </si>
  <si>
    <t>INR 21.995</t>
  </si>
  <si>
    <t>ACH-EN-EL-0079</t>
  </si>
  <si>
    <t>SMT02306061266769 - Circuit Board Assembly Module</t>
  </si>
  <si>
    <t>INR 5002.41</t>
  </si>
  <si>
    <t>ACH-EN-EL-0080</t>
  </si>
  <si>
    <t>SMT02306061268150 - Circuit Board Assembly Module</t>
  </si>
  <si>
    <t>INR 906.194</t>
  </si>
  <si>
    <t>ACH-EN-EL-0081</t>
  </si>
  <si>
    <t>SMT02306061268439 - Circuit Board Assembly Module</t>
  </si>
  <si>
    <t>INR 460.816</t>
  </si>
  <si>
    <t>ACH-EN-EL-0082</t>
  </si>
  <si>
    <t>5013340100 - CONN SOCKET 28-32AWG CRIMP TIN</t>
  </si>
  <si>
    <t>INR 473.10</t>
  </si>
  <si>
    <t>ACH-EN-EL-0083</t>
  </si>
  <si>
    <t>5013300200 - CONN RCPT HSG 2POS 1.00MM</t>
  </si>
  <si>
    <t>INR 21.912</t>
  </si>
  <si>
    <t>ACH-EN-EL-0084</t>
  </si>
  <si>
    <t>PJ-063AH - CONN PWR JACK 2X5.5MM SOLDER</t>
  </si>
  <si>
    <t>ACH-EN-EL-0085</t>
  </si>
  <si>
    <t>N201-SR1-GY - CABLE MOD 8P8C R/A PLUG-PLUG 1'</t>
  </si>
  <si>
    <t>INR 318.637</t>
  </si>
  <si>
    <t>ACH-EN-EL-0086</t>
  </si>
  <si>
    <t>USB4140-GF-0070-C - USB C REC GF VERT 6P SMT 0.7MM T</t>
  </si>
  <si>
    <t>INR 48.1068</t>
  </si>
  <si>
    <t>ACH-EN-EL-0087</t>
  </si>
  <si>
    <t>5013310207 - CONN HEADER SMD 2POS 1MM</t>
  </si>
  <si>
    <t>INR 40.089</t>
  </si>
  <si>
    <t>ACH-EN-EL-0088</t>
  </si>
  <si>
    <t>USB4085-GF-A - CONN RCPT USB2.0 TYPE C 16+8POS</t>
  </si>
  <si>
    <t>INR 63.04868</t>
  </si>
  <si>
    <t>ACH-EN-EL-0089</t>
  </si>
  <si>
    <t>USB4105-GF-A - CONN RCP USB2.0 TYP C 24P SMD RA</t>
  </si>
  <si>
    <t>INR 67.23</t>
  </si>
  <si>
    <t>ACH-RD-AB-0107</t>
  </si>
  <si>
    <t>100967 - Anti-h PRL 5601 SP-5</t>
  </si>
  <si>
    <t>INR 7.826</t>
  </si>
  <si>
    <t>ACH-RD-AB-0108</t>
  </si>
  <si>
    <t>ab188215 - Gold Conjugation Kit (20nm, OD)</t>
  </si>
  <si>
    <t>INR 3410.00</t>
  </si>
  <si>
    <t>Nulife Consultants and Distributors Pvt. Ltd</t>
  </si>
  <si>
    <t>ACH-RD-CH-0456</t>
  </si>
  <si>
    <t>803463 - 1-Decanol</t>
  </si>
  <si>
    <t>INR 0.0655</t>
  </si>
  <si>
    <t>ACH-RD-CH-0457</t>
  </si>
  <si>
    <t>402893 - 1-Propanol</t>
  </si>
  <si>
    <t>INR 0.005772</t>
  </si>
  <si>
    <t>ACH-RD-CH-0458</t>
  </si>
  <si>
    <t>493732 - 1,4-Butanediol</t>
  </si>
  <si>
    <t>INR 5.16353</t>
  </si>
  <si>
    <t>ACH-RD-CH-0459</t>
  </si>
  <si>
    <t>126799 - 1-Dodecanol</t>
  </si>
  <si>
    <t>INR 5.2393</t>
  </si>
  <si>
    <t>ACH-RD-CH-0460</t>
  </si>
  <si>
    <t>413550 - Bisphenol A ethoxylate diacrylate</t>
  </si>
  <si>
    <t>INR 0.020024</t>
  </si>
  <si>
    <t>ACH-RD-CH-0461</t>
  </si>
  <si>
    <t>379212 - Hexamethyldisilazane</t>
  </si>
  <si>
    <t>INR 0.052281</t>
  </si>
  <si>
    <t>ACH-RD-CH-0462</t>
  </si>
  <si>
    <t>Right Angle USB C Adapter, 40Gbps USB C Adapter, 90 Degree Type-C Male to Female Adapter, USB C Splitter Adapter Support 8K Video Display 100W Charging for Thunderbolt, USB C Mobile Phone</t>
  </si>
  <si>
    <t>Bestor</t>
  </si>
  <si>
    <t>INR 211.02</t>
  </si>
  <si>
    <t>ACH-EN-ME-0029</t>
  </si>
  <si>
    <t>1/4 Inch Digital Torque Adapter (0.22-22.1ft-lb/0.3-30Nm) with Buzzer and LED Flash 1/4'' Drive Digital Torque Wrench Converter</t>
  </si>
  <si>
    <t>TreecH</t>
  </si>
  <si>
    <t>INR 5507.00</t>
  </si>
  <si>
    <t>ACH-GN-IT-0005</t>
  </si>
  <si>
    <t>USB C to USB C 65W Short Powerbank fast charging cable compatible for Samsung Galaxy S22 S20FE 2022 S21 Ultra,S20/S10,Note 20/10,M31,M51,M33 5G,A51,A71Realme X7,Narzo,Nokia 8/8.3 (Black,0.25M)</t>
  </si>
  <si>
    <t>Wayona</t>
  </si>
  <si>
    <t>INR 278.81</t>
  </si>
  <si>
    <t>ACH-RD-CH-0463</t>
  </si>
  <si>
    <t>Magnifying Lence Big Size with Flexible Stand and Tube Light CAN BE AS A Study LAMP Lence Height ARGESTABLE MUTLY Purpose USEUSE</t>
  </si>
  <si>
    <t>Pullox</t>
  </si>
  <si>
    <t>INR 840.68</t>
  </si>
  <si>
    <t>ACH-EN-EL-0090</t>
  </si>
  <si>
    <t>0 Degree USB C Adapter, USB C Male to USB C Female Right Angle Connector for Steam Deck, Switch, Mac-Book Pro/Air, Tablet, Phone and More Type C Devices.</t>
  </si>
  <si>
    <t>Tobo</t>
  </si>
  <si>
    <t>INR 422.88</t>
  </si>
  <si>
    <t>ACH-RD-CH-0464</t>
  </si>
  <si>
    <t>Type C To Type C Cable, Fast Speed Type C To Right Angle Type C Cable Heat Dissipation Nylon Braiding Cable for Phone</t>
  </si>
  <si>
    <t>INR 1112.00</t>
  </si>
  <si>
    <t>ACH-EN-EL-0091</t>
  </si>
  <si>
    <t>SBC2070-200 - Raspberry Pi Camera 15 pin FFC FPC Flexible Cable 300mm</t>
  </si>
  <si>
    <t>INR 110.16</t>
  </si>
  <si>
    <t>ACH-EN-EQ-0006</t>
  </si>
  <si>
    <t>Biosafety cabinet â€“ Class B2</t>
  </si>
  <si>
    <t>INR 216500.00</t>
  </si>
  <si>
    <t>Global Bioscience Solutions</t>
  </si>
  <si>
    <t>ACH-RD-CH-0465</t>
  </si>
  <si>
    <t>AHT20 Temperature and Humidity Sensor -40 to 85 Deg C</t>
  </si>
  <si>
    <t>ElectronicsCamp</t>
  </si>
  <si>
    <t>INR 54.00</t>
  </si>
  <si>
    <t>ACH-RD-FL-0042</t>
  </si>
  <si>
    <t>HA-602 - Hyaluronate Biotin, 500K</t>
  </si>
  <si>
    <t>INR 0.9545</t>
  </si>
  <si>
    <t>ACH-RD-CH-0466</t>
  </si>
  <si>
    <t>Label - Thyroid Panel</t>
  </si>
  <si>
    <t>ACH-EN-SP-0012</t>
  </si>
  <si>
    <t>Processing Charges</t>
  </si>
  <si>
    <t>INR 4750.00</t>
  </si>
  <si>
    <t>ACH-RD-CH-0467</t>
  </si>
  <si>
    <t>Label - Blood Testing</t>
  </si>
  <si>
    <t>ACH-RD-CH-0468</t>
  </si>
  <si>
    <t>Label - Single Key - Round 22mm Dia</t>
  </si>
  <si>
    <t>ACH-RD-CM-0109</t>
  </si>
  <si>
    <t>3123 000 268 -Eppendorf ResearchÂ® plus BASIC, variable, 1-channel, without tip box, 100 â€“ 1,000 Î¼L, blue</t>
  </si>
  <si>
    <t>INR 14500.00</t>
  </si>
  <si>
    <t>Eppendorf India Private Ltd</t>
  </si>
  <si>
    <t>ACH-RD-CM-0110</t>
  </si>
  <si>
    <t>3123 000 276 -Eppendorf ResearchÂ® plus BASIC, variable, 1-channel, without tip box, 0.5 â€“ 5 mL, violet</t>
  </si>
  <si>
    <t>ACH-GN-IT-0006</t>
  </si>
  <si>
    <t>Speedo Type Non-Slip Rubber Base Mouse Pad with Antifray Stitched Embroidery Edges for Laptop PC - (240mm x 200mm x 2mm)</t>
  </si>
  <si>
    <t>Lepster</t>
  </si>
  <si>
    <t>INR 83.90</t>
  </si>
  <si>
    <t>ACH-RD-CH-0469</t>
  </si>
  <si>
    <t>Pneumatic Air Impact Adapter And Reducer Socket Set Female To Male or Male to Female Convertor 1/4", 3/8", 1/2" &amp; 3/4" Square Drive</t>
  </si>
  <si>
    <t>Aasons</t>
  </si>
  <si>
    <t>INR 141.10</t>
  </si>
  <si>
    <t>ACH-GN-IT-0007</t>
  </si>
  <si>
    <t>Screw driver Tool kit set, 115 in 1 Professional Precision Screwdriver Set, Multipurpose Mobile, Computer, Laptop repair tool set kit, Home repairing kit</t>
  </si>
  <si>
    <t>Mcare</t>
  </si>
  <si>
    <t>INR 287.71</t>
  </si>
  <si>
    <t>ACH-RD-CH-0470</t>
  </si>
  <si>
    <t>Power Wired USB Mouse, 3-Button, 1200 DPI Optical Sensor, Plug &amp; Play, for Windows/Mac</t>
  </si>
  <si>
    <t>ACH-EN-ME-0030</t>
  </si>
  <si>
    <t>Plastic Drum / Water Storage/Unbreakable/Blue PVC /Chemical Storage / Open Top /Leak Proof - 80 Ltrs</t>
  </si>
  <si>
    <t>V Metal Arts</t>
  </si>
  <si>
    <t>INR 1561.61</t>
  </si>
  <si>
    <t>ACH-EN-ME-0031</t>
  </si>
  <si>
    <t>Plastic Drum / Water Storage/Unbreakable/Blue PVC /Chemical Storage / Open Top /Leak Proof - 50 Ltrs</t>
  </si>
  <si>
    <t>INR 1249.11</t>
  </si>
  <si>
    <t>ACH-RD-KT-0027</t>
  </si>
  <si>
    <t>Finecare FIA METER -113</t>
  </si>
  <si>
    <t>Finecare</t>
  </si>
  <si>
    <t>INR 59322.03</t>
  </si>
  <si>
    <t>ACH-RD-KT-0028</t>
  </si>
  <si>
    <t>Finecare TSH - Tests</t>
  </si>
  <si>
    <t>ACH-RD-KT-0029</t>
  </si>
  <si>
    <t>Finecare T3 - Tests</t>
  </si>
  <si>
    <t>ACH-RD-KT-0030</t>
  </si>
  <si>
    <t>Finecare T4 - Tests</t>
  </si>
  <si>
    <t>ACH-RD-KT-0031</t>
  </si>
  <si>
    <t>Finecare FSH - Tests</t>
  </si>
  <si>
    <t>ACH-RD-KT-0032</t>
  </si>
  <si>
    <t>Finecare LH - Tests</t>
  </si>
  <si>
    <t>ACH-RD-KT-0033</t>
  </si>
  <si>
    <t>Finecare PRL - Tests</t>
  </si>
  <si>
    <t>INR 130.00</t>
  </si>
  <si>
    <t>ACH-RD-CH-0471</t>
  </si>
  <si>
    <t>MBS319937 - Dengue Virus Type 2, EP, Recombinant</t>
  </si>
  <si>
    <t>INR 95.2425</t>
  </si>
  <si>
    <t>MyBiosource Inc</t>
  </si>
  <si>
    <t>ACH-RD-CH-0472</t>
  </si>
  <si>
    <t>ADA-C-S - C Mount to S Mount (M12) Adapter</t>
  </si>
  <si>
    <t>INR 1060.00</t>
  </si>
  <si>
    <t>ACH-EN-EL-0092</t>
  </si>
  <si>
    <t>MEC7044-Silver/M3-8 - 3mm x 8mm</t>
  </si>
  <si>
    <t>INR 24.9975</t>
  </si>
  <si>
    <t>ACH-EN-EL-0093</t>
  </si>
  <si>
    <t>MEC7044-Black/M3-8 - 2.5 mm x 8mm</t>
  </si>
  <si>
    <t>ACH-EN-ME-0032</t>
  </si>
  <si>
    <t>10mm Black - 1X1 Feet Acrylic Sheet</t>
  </si>
  <si>
    <t>INR 350.00</t>
  </si>
  <si>
    <t>ACH-EN-EQ-0007</t>
  </si>
  <si>
    <t>CEPHIED-700-2710 - ICORE Module 900-0491RS GeneXpert Module 6-Colour</t>
  </si>
  <si>
    <t>INR 16434.00</t>
  </si>
  <si>
    <t>Prism Electronics</t>
  </si>
  <si>
    <t>ACH-EN-ME-0033</t>
  </si>
  <si>
    <t>Supply of 3D Printing Parts - SLA 1ML SYRING CAP_2</t>
  </si>
  <si>
    <t>INR 120.00</t>
  </si>
  <si>
    <t>ACH-EN-ME-0034</t>
  </si>
  <si>
    <t>Supply of 3D Printing Parts - SLA CARTRIDGE HOLDER_2</t>
  </si>
  <si>
    <t>INR 5390.00</t>
  </si>
  <si>
    <t>ACH-EN-ME-0035</t>
  </si>
  <si>
    <t>Supply of 3D Printing Parts - SLA DIAL_1</t>
  </si>
  <si>
    <t>INR 330.00</t>
  </si>
  <si>
    <t>ACH-EN-ME-0036</t>
  </si>
  <si>
    <t>Supply of 3D Printing Parts - SLA GUIDE PIN HOLDER_2</t>
  </si>
  <si>
    <t>INR 275.00</t>
  </si>
  <si>
    <t>ACH-EN-ME-0037</t>
  </si>
  <si>
    <t>Supply of 3D Printing Parts - SLA PLUNGER HOLDER _2</t>
  </si>
  <si>
    <t>ACH-EN-ME-0038</t>
  </si>
  <si>
    <t>Supply of 3D Printing Parts - SLA SYRINGE RETAINER PLATE_1</t>
  </si>
  <si>
    <t>INR 220.00</t>
  </si>
  <si>
    <t>ACH-EN-ME-0039</t>
  </si>
  <si>
    <t>Supply of 3D Printing Parts - SLA TOP PLATE</t>
  </si>
  <si>
    <t>INR 1705.00</t>
  </si>
  <si>
    <t>ACH-EN-ME-0040</t>
  </si>
  <si>
    <t>4mm Clear - 4X2 Feet Acrylic Sheet</t>
  </si>
  <si>
    <t>ACH-GN-IT-0008</t>
  </si>
  <si>
    <t>USB RH-Temp Data Logger Easy Log, Temperature and Humidity (Multicolour)</t>
  </si>
  <si>
    <t>HTC</t>
  </si>
  <si>
    <t>INR 3744.07</t>
  </si>
  <si>
    <t>ACH-RD-CH-0473</t>
  </si>
  <si>
    <t>5X 10X Light-Weight Portable Tabletop Gooseneck Led Magnifying Lamp Magnifier Desk</t>
  </si>
  <si>
    <t>Schofic</t>
  </si>
  <si>
    <t>INR 738.98</t>
  </si>
  <si>
    <t>ACH-RD-CH-0474</t>
  </si>
  <si>
    <t>DisplayPort to DisplayPort Cable - 3 Feet - (Not HDMI Cable) Black Brand: Amazon Basics</t>
  </si>
  <si>
    <t>INR 126.77</t>
  </si>
  <si>
    <t>ACH-GN-IT-0009</t>
  </si>
  <si>
    <t>23.8 inches IPS Monitor with Borderless Design, FHD 1920 x 1080 Pixels, 16.7 M Colors, with inbuilt Speakers, HDMI &amp; DP Port Connectivity (Black)</t>
  </si>
  <si>
    <t>INR 6778.81</t>
  </si>
  <si>
    <t>ACH-GN-IT-0010</t>
  </si>
  <si>
    <t>VA1903H-2 19-Inch WXGA 1366x768 Pixels 16:9 Widescreen Monitor with Enhanced View Comfort, Custom ViewModes and HDMI for Home and Office,Black (LED Backlit Display)</t>
  </si>
  <si>
    <t>INR 4490.68</t>
  </si>
  <si>
    <t>ACH-RD-CH-0475</t>
  </si>
  <si>
    <t>Clear Removable Sticky Adhesive Putty, Reusable Transparent Double-Sided Round Nano Gel Round Putty, Poster Stickers for Wall, Crafts, Christmas Festival Home Decoration (140)</t>
  </si>
  <si>
    <t>INR 241.56</t>
  </si>
  <si>
    <t>ACH-EN-EQ-0008</t>
  </si>
  <si>
    <t>11533187 - Holding frame KM Well Plates, Click-In</t>
  </si>
  <si>
    <t>Leica</t>
  </si>
  <si>
    <t>INR 82640.02</t>
  </si>
  <si>
    <t>DHR Holding India Pvt. Ltd.</t>
  </si>
  <si>
    <t>ACH-MF-CT-0004</t>
  </si>
  <si>
    <t>Rotary Shaft</t>
  </si>
  <si>
    <t>INR 26000.00</t>
  </si>
  <si>
    <t>Valve Retainer</t>
  </si>
  <si>
    <t>INR 35000.00</t>
  </si>
  <si>
    <t>ACH-EN-ME-0041</t>
  </si>
  <si>
    <t>TFT Base Plate (Family Mold)</t>
  </si>
  <si>
    <t>INR 42000.00</t>
  </si>
  <si>
    <t>ACH-MF-CT-0006</t>
  </si>
  <si>
    <t>Rubber Valve (Over Mold Transfer Type)</t>
  </si>
  <si>
    <t>INR 25000.00</t>
  </si>
  <si>
    <t>ACH-EN-EL-0094</t>
  </si>
  <si>
    <t>7188 - 47K CFR 1/4 0.25 Watt Resistor Through Hole</t>
  </si>
  <si>
    <t>INR 0.85</t>
  </si>
  <si>
    <t>ACH-EN-EL-0095</t>
  </si>
  <si>
    <t>5194 - 2K2 CFR 1/4 0.25 Watt Resistor Through Hole</t>
  </si>
  <si>
    <t>ACH-EN-EL-0096</t>
  </si>
  <si>
    <t>4138 - 4K7 CFR 1/4 0.25 Watt Resistor Through Hole</t>
  </si>
  <si>
    <t>ACH-EN-EL-0097</t>
  </si>
  <si>
    <t>4036 - 10K CFR 1/4 0.25 Watt Resistor Through Hole</t>
  </si>
  <si>
    <t>ACH-EN-EL-0098</t>
  </si>
  <si>
    <t>5304 - 1K2 1% 0603</t>
  </si>
  <si>
    <t>ACH-EN-EL-0099</t>
  </si>
  <si>
    <t>6657 - 680R 1% 0603</t>
  </si>
  <si>
    <t>ACH-EN-EL-0100</t>
  </si>
  <si>
    <t>4692 - Component Lead Cutter</t>
  </si>
  <si>
    <t>INR 142.00</t>
  </si>
  <si>
    <t>ACH-EN-EL-0101</t>
  </si>
  <si>
    <t>5169 - 10K (103) L=15mm Rotary Potentiometer (Volume Control) Single</t>
  </si>
  <si>
    <t>ACH-EN-EL-0102</t>
  </si>
  <si>
    <t>4129 - Blue LED 3mm</t>
  </si>
  <si>
    <t>ACH-EN-EL-0103</t>
  </si>
  <si>
    <t>4264 - Green LED 3mm</t>
  </si>
  <si>
    <t>INR 1.48</t>
  </si>
  <si>
    <t>ACH-EN-EL-0104</t>
  </si>
  <si>
    <t>3916 - Red LED 3mm</t>
  </si>
  <si>
    <t>ACH-EN-EL-0105</t>
  </si>
  <si>
    <t>4740 - 10K Preset 3362 P-103</t>
  </si>
  <si>
    <t>INR 16.00</t>
  </si>
  <si>
    <t>ACH-EN-EL-0106</t>
  </si>
  <si>
    <t>4135 - 470R CFR 1/4 0.25 Watt Resistor Through Hole</t>
  </si>
  <si>
    <t>ACH-EN-EL-0107</t>
  </si>
  <si>
    <t>6958 - 100uF 25V 5mm Samwha</t>
  </si>
  <si>
    <t>INR 3.25</t>
  </si>
  <si>
    <t>ACH-EN-EL-0108</t>
  </si>
  <si>
    <t>6964 - 4.7uF 450V 10mm Samwha</t>
  </si>
  <si>
    <t>INR 8.13</t>
  </si>
  <si>
    <t>ACH-EN-EL-0109</t>
  </si>
  <si>
    <t>6965 - 10uF 250V 10mm Samwha</t>
  </si>
  <si>
    <t>INR 6.63</t>
  </si>
  <si>
    <t>ACH-EN-EL-0110</t>
  </si>
  <si>
    <t>6967 - 22uF 50V 5mm Samwha</t>
  </si>
  <si>
    <t>INR 1.88</t>
  </si>
  <si>
    <t>ACH-EN-EL-0111</t>
  </si>
  <si>
    <t>6971 - 47uF 160V 10mm Samwha</t>
  </si>
  <si>
    <t>INR 11.25</t>
  </si>
  <si>
    <t>ACH-EN-EL-0112</t>
  </si>
  <si>
    <t>4134 -100nF(104) MLCC 50V</t>
  </si>
  <si>
    <t>INR 2.36</t>
  </si>
  <si>
    <t>ACH-EN-EL-0113</t>
  </si>
  <si>
    <t>6959 - 1uF 63V 5mm Samwha</t>
  </si>
  <si>
    <t>INR 2.38</t>
  </si>
  <si>
    <t>ACH-EN-EL-0114</t>
  </si>
  <si>
    <t>4533 - 100K CFR 1/4 0.25 Watt Resistor Through Hole</t>
  </si>
  <si>
    <t>ACH-EN-EL-0115</t>
  </si>
  <si>
    <t>4126 - 100R CFR 1/4 0.25 Watt Resistor Through Hole</t>
  </si>
  <si>
    <t>ACH-EN-EL-0116</t>
  </si>
  <si>
    <t>4188 - 220R CFR 1/4 0.25 Watt Resistor Through Hole</t>
  </si>
  <si>
    <t>ACH-EN-EL-0117</t>
  </si>
  <si>
    <t>5587 - 100K Preset 3362 P-104</t>
  </si>
  <si>
    <t>ACH-RD-CH-0476</t>
  </si>
  <si>
    <t>100 125 - LowCross Buffer</t>
  </si>
  <si>
    <t>ACH-RD-CH-0477</t>
  </si>
  <si>
    <t>180 125 - Assay Defender</t>
  </si>
  <si>
    <t>ACH-RD-CH-0478</t>
  </si>
  <si>
    <t>T3 Tests Boditech - South Korea</t>
  </si>
  <si>
    <t>Boitech</t>
  </si>
  <si>
    <t>Diatree India</t>
  </si>
  <si>
    <t>ACH-RD-CH-0479</t>
  </si>
  <si>
    <t>T4 Tests Boditech - South Korea</t>
  </si>
  <si>
    <t>ACH-RD-CH-0480</t>
  </si>
  <si>
    <t>Cystatin C Tests Boditech - South Korea</t>
  </si>
  <si>
    <t>ACH-RD-CH-0481</t>
  </si>
  <si>
    <t>PCT Tests Boditech - South Korea</t>
  </si>
  <si>
    <t>INR 540.00</t>
  </si>
  <si>
    <t>ACH-RD-CH-0482</t>
  </si>
  <si>
    <t>D8906 - Dextran sulfate sodium salt from Leuconostoc spp</t>
  </si>
  <si>
    <t>INR 1.182</t>
  </si>
  <si>
    <t>ACH-RD-CH-0483</t>
  </si>
  <si>
    <t>408107 - 2- (Methacryloyloxy)ethyl - trimethylammonium chloride solution</t>
  </si>
  <si>
    <t>INR 0.018026</t>
  </si>
  <si>
    <t>ACH-RD-AB-0109</t>
  </si>
  <si>
    <t>4PC47 P123 Anti-PCT</t>
  </si>
  <si>
    <t>INR 14.952</t>
  </si>
  <si>
    <t>ACH-EN-SP-0013</t>
  </si>
  <si>
    <t>Serology Test - PROCALCITONIN</t>
  </si>
  <si>
    <t>INR 900.00</t>
  </si>
  <si>
    <t>ACH-RD-CH-0484</t>
  </si>
  <si>
    <t>C063024 - Ultra-low adsorption surface suitable for 3D cell culture</t>
  </si>
  <si>
    <t>INR 523.00</t>
  </si>
  <si>
    <t>FD Cell LUOYANG FUDAU BIOTECH CO., LTD.</t>
  </si>
  <si>
    <t>ACH-RD-FL-0043</t>
  </si>
  <si>
    <t>GSCR150 - BioReady Gold Nanoshells â€“ Citrate</t>
  </si>
  <si>
    <t>ACH-RD-CH-0485</t>
  </si>
  <si>
    <t>Hynidase 1500 IU Inj - 2mL</t>
  </si>
  <si>
    <t>INR 173.29</t>
  </si>
  <si>
    <t>ACH-RD-CH-0486</t>
  </si>
  <si>
    <t>MD04001 - MagSi-STA 1.0 Magnetic Beads</t>
  </si>
  <si>
    <t>AMS Bio</t>
  </si>
  <si>
    <t>INR 6.18692</t>
  </si>
  <si>
    <t>AMS Biotechnology (Europe)</t>
  </si>
  <si>
    <t>ACH-RD-AB-0110</t>
  </si>
  <si>
    <t>MagSi-STA 1.0 Magnetic Beads</t>
  </si>
  <si>
    <t>INR 6.695</t>
  </si>
  <si>
    <t>BIOCP Healthcare Pvt Ltd</t>
  </si>
  <si>
    <t>ACH-RD-CM-0111</t>
  </si>
  <si>
    <t>T980020 - Tissue Culture Plate Sterile F.B with 12 Wells</t>
  </si>
  <si>
    <t>INR 133.059</t>
  </si>
  <si>
    <t>ACH-RD-CM-0112</t>
  </si>
  <si>
    <t>T980030 - Tissue Culture Plate Sterile F B with LID 24 wells</t>
  </si>
  <si>
    <t>ACH-EN-EL-0118</t>
  </si>
  <si>
    <t>ADS1115BQDGSRQ1 - Analog to Digital Converters - ADC Automotive 16-Bit ADC</t>
  </si>
  <si>
    <t>Texas Instruments</t>
  </si>
  <si>
    <t>INR 476.19</t>
  </si>
  <si>
    <t>ACH-EN-EL-0119</t>
  </si>
  <si>
    <t>OPA602AU - Precision Amplifiers High-Speed Precision Difet</t>
  </si>
  <si>
    <t>INR 939.36</t>
  </si>
  <si>
    <t>ACH-EN-EL-0120</t>
  </si>
  <si>
    <t>TL431AILPRAG - Voltage References 2.5-36V ADJ 1-100mA</t>
  </si>
  <si>
    <t>onsemi</t>
  </si>
  <si>
    <t>INR 38.67</t>
  </si>
  <si>
    <t>ACH-EN-EL-0121</t>
  </si>
  <si>
    <t>3296W1103LF - Trimmer Resistors - Through Hole 3/8" 10Kohms Sealed Vertical Adjust</t>
  </si>
  <si>
    <t>Bourns</t>
  </si>
  <si>
    <t>INR 144.08</t>
  </si>
  <si>
    <t>ACH-EN-EL-0122</t>
  </si>
  <si>
    <t>OPA656U - High Speed Operational Amplifiers Wideband Stable FET-Input</t>
  </si>
  <si>
    <t>INR 896.21</t>
  </si>
  <si>
    <t>ACH-EN-EL-0123</t>
  </si>
  <si>
    <t>3296W1252LF - Trimmer Resistors - Through Hole 3/8" 2.5Kohms Sealed Vertical Adjust</t>
  </si>
  <si>
    <t>INR 140.82</t>
  </si>
  <si>
    <t>ACH-EN-EL-0124</t>
  </si>
  <si>
    <t>C0805C309C4HACTU - Multilayer Ceramic Capacitors MLCC - SMD/SMT 16V 3pF X8R 0805 0.25pF</t>
  </si>
  <si>
    <t>KEMET</t>
  </si>
  <si>
    <t>INR 6.19</t>
  </si>
  <si>
    <t>ACH-EN-EL-0125</t>
  </si>
  <si>
    <t>ERJPB6D2201V - Thick Film Resistors - SMD 0805 Anti-Surge Res. 0.5%, 2.2Kohm</t>
  </si>
  <si>
    <t>Panasonic</t>
  </si>
  <si>
    <t>INR 10.01</t>
  </si>
  <si>
    <t>ACH-EN-EL-0126</t>
  </si>
  <si>
    <t>CRCW080550R0FKTA - Thick Film Resistors - SMD 1/8watt 50ohms 1% Non Std Qt Req'd</t>
  </si>
  <si>
    <t>Vishay</t>
  </si>
  <si>
    <t>INR 18.48</t>
  </si>
  <si>
    <t>ACH-EN-EL-0127</t>
  </si>
  <si>
    <t>ERJ-PB6B4991V - Thick Film Resistors - SMD 0805 Anti-Surge Res. 0.1%, 4.99Koh</t>
  </si>
  <si>
    <t>INR 14.57</t>
  </si>
  <si>
    <t>ACH-EN-EL-0128</t>
  </si>
  <si>
    <t>CRM0805-FX-1002ELF - Current Sense Resistors - SMD 10K OHM 1% 1/4W 100PPM</t>
  </si>
  <si>
    <t>ACH-EN-EL-0129</t>
  </si>
  <si>
    <t>RT0805DRE0715RL - Thin Film Resistors - SMD 15 Ohms 50PPM/C 125mW 0.5% 0805</t>
  </si>
  <si>
    <t>YAGEO</t>
  </si>
  <si>
    <t>INR 5.05</t>
  </si>
  <si>
    <t>ACH-EN-EL-0130</t>
  </si>
  <si>
    <t>0805ZC104MAT2A - Multilayer Ceramic Capacitors MLCC - SMD/SMT 10V 0.1uF X7R 0805 20%</t>
  </si>
  <si>
    <t>KYOCERA AVX</t>
  </si>
  <si>
    <t>INR 6.92</t>
  </si>
  <si>
    <t>ACH-EN-EL-0131</t>
  </si>
  <si>
    <t>0805ZD106KAT2A - Multilayer Ceramic Capacitors MLCC - SMD/SMT 10V 10uF X5R 0805 10%</t>
  </si>
  <si>
    <t>INR 4.72</t>
  </si>
  <si>
    <t>ACH-EN-EL-0132</t>
  </si>
  <si>
    <t>ERJ-PB6D1001V - Thick Film Resistors - SMD 0805 Anti-Surge Res. 0.5%, 1Kohm</t>
  </si>
  <si>
    <t>INR 9.12</t>
  </si>
  <si>
    <t>ACH-EN-EL-0133</t>
  </si>
  <si>
    <t>RK73H2ATTD1000F - Thick Film Resistors - SMD 1/4W 100ohms 1%T/R</t>
  </si>
  <si>
    <t>KOA Speer</t>
  </si>
  <si>
    <t>INR 1.71</t>
  </si>
  <si>
    <t>ACH-EN-EL-0134</t>
  </si>
  <si>
    <t>0805YA331FAT2A - Multilayer Ceramic Capacitors MLCC - SMD/SMT 16V 330pF C0G 0805 1% Tol</t>
  </si>
  <si>
    <t>INR 23.61</t>
  </si>
  <si>
    <t>ACH-EN-EL-0135</t>
  </si>
  <si>
    <t>08-55-0131 - Headers &amp; Wire Housings CRIMP TERM LOOSE</t>
  </si>
  <si>
    <t>Molex</t>
  </si>
  <si>
    <t>INR 31.58</t>
  </si>
  <si>
    <t>ACH-EN-EL-0136</t>
  </si>
  <si>
    <t>22-29-2031 - Headers &amp; Wire Housings 3P VERT F/L HEADER</t>
  </si>
  <si>
    <t>INR 49.74</t>
  </si>
  <si>
    <t>ACH-EN-EL-0137</t>
  </si>
  <si>
    <t>22-01-2037 - Headers &amp; Wire Housings HSG 3P WITH LKG RAMP</t>
  </si>
  <si>
    <t>INR 10.58</t>
  </si>
  <si>
    <t>ACH-EN-EL-0138</t>
  </si>
  <si>
    <t>1725672 - Fixed Terminal Blocks 4P 2.54mm 90DEG</t>
  </si>
  <si>
    <t>Phoenix Contact</t>
  </si>
  <si>
    <t>INR 313.39</t>
  </si>
  <si>
    <t>ACH-EN-EL-0139</t>
  </si>
  <si>
    <t>ACML-0805-310-T - Ferrite Beads FERRITE BEAD 31 OHM 0805 1LN</t>
  </si>
  <si>
    <t>ABRACON</t>
  </si>
  <si>
    <t>INR 3.09</t>
  </si>
  <si>
    <t>ACH-EN-ME-0042</t>
  </si>
  <si>
    <t>Supply of 3D printing parts TFT_CARTRIDGE ADAPTOR</t>
  </si>
  <si>
    <t>INR 390.00</t>
  </si>
  <si>
    <t>Betly Technologies Pvt Ltd</t>
  </si>
  <si>
    <t>ACH-EN-ME-0043</t>
  </si>
  <si>
    <t>MSC3-10 - Dowel, Positive Tolerance, End Shape: One Side Tapered, One Side Spherical, Fit Tolerance: +0.01/+0.005</t>
  </si>
  <si>
    <t>INR 124.68</t>
  </si>
  <si>
    <t>ACH-EN-ME-0044</t>
  </si>
  <si>
    <t>MSC2.5-8 - Dowel, Positive Tolerance, End Shape: One Side Tapered, One Side Spherical, Fit Tolerance: +0.01/+0.005</t>
  </si>
  <si>
    <t>ACH-RD-CH-0487</t>
  </si>
  <si>
    <t>SAL-00111 - Logic 8 Black</t>
  </si>
  <si>
    <t>INR 41417.00</t>
  </si>
  <si>
    <t>Saleae</t>
  </si>
  <si>
    <t>ACH-GN-IT-0011</t>
  </si>
  <si>
    <t>GW2480 24 inch (60 cm) 1920 x 1080 Pixels IPS Full HD Ultra-Slim Bezel Monitor- Eye Care, Anti-Glare, Brightness Intelligence, Low Blue Light, HDMI, DP, Speakers, VESA Wall Mountable (Black)</t>
  </si>
  <si>
    <t>INR 7965.25</t>
  </si>
  <si>
    <t>ACH-GN-HK-0009</t>
  </si>
  <si>
    <t>Hot Melt White Clear Glue Stick, 11 X 150 mm</t>
  </si>
  <si>
    <t>INR 10.605833</t>
  </si>
  <si>
    <t>ACH-RD-CH-0488</t>
  </si>
  <si>
    <t>Heavy Duty G Clamp | C Type Clamping Tool (3 inch) Yellow</t>
  </si>
  <si>
    <t>INR 207.205</t>
  </si>
  <si>
    <t>ACH-GN-HK-0010</t>
  </si>
  <si>
    <t>40W Hot Melt Glue Gun with 11mm 8 Transparent Glue Stick for DIY us</t>
  </si>
  <si>
    <t>INR 231.36</t>
  </si>
  <si>
    <t>ACH-EN-ME-0045</t>
  </si>
  <si>
    <t>0-11-301 Snap-off blade 18mm</t>
  </si>
  <si>
    <t>INR 16.864</t>
  </si>
  <si>
    <t>ACH-RD-CM-0113</t>
  </si>
  <si>
    <t>Glass Funnel 2 inches 50mm for Laboratory Use Borosilicate Glassware for Bottle Hot Oil or Liquid Chemicals Solutions</t>
  </si>
  <si>
    <t>INR 75.2125</t>
  </si>
  <si>
    <t>ACH-EN-ME-0046</t>
  </si>
  <si>
    <t>3D Printer Nozzle, ExcelFu 16 Pieces Stainless Steel 3D Printer Nozzles 0.2 mm, 0.3 mm, 0.4 mm, 0.5mm, 0.6 mm, 0.8 mm, 1.0 mm Extruder Nozzle Print Head for E3D Makerbot</t>
  </si>
  <si>
    <t>INR 1702.54</t>
  </si>
  <si>
    <t>ACH-EN-ME-0047</t>
  </si>
  <si>
    <t>I3 MK3 MK52 Gold Double Sided Textured PEI Spring Steel Sheet Powder Coated PEI Build Plate for Prusa i3 MK2.5S MK3 MK3S, 253.8 x 241MM</t>
  </si>
  <si>
    <t>INR 5145.39</t>
  </si>
  <si>
    <t>ACH-EN-ME-0048</t>
  </si>
  <si>
    <t>Rubber Butyl Double Sided Tape/Mastic Tape, Vacuum Sealing Tape (12mm x 03mm x 16 meters)â€¦</t>
  </si>
  <si>
    <t>ACH-RD-CH-0489</t>
  </si>
  <si>
    <t>50mm X 25mm X 12.5mm Neodymium Magnets - N52 Block Magnets - Rare Earth NdfeB Magnets - For DIY, School Project or Commercial Usage Fridge Magnet, Multipurpose Office Magnets, Magnetic Paper Holder</t>
  </si>
  <si>
    <t>INR 89.6666</t>
  </si>
  <si>
    <t>ACH-EN-EL-0140</t>
  </si>
  <si>
    <t>5-5-4646 - Tape DBL Coated Gray 5"X 5Yds</t>
  </si>
  <si>
    <t>INR 10628.15</t>
  </si>
  <si>
    <t>ACH-RD-CH-0490</t>
  </si>
  <si>
    <t>Dengue Day 1 Test</t>
  </si>
  <si>
    <t>ACH-RD-KT-0034</t>
  </si>
  <si>
    <t>Malaria Card - Tests</t>
  </si>
  <si>
    <t>ACH-EN-EQ-0009</t>
  </si>
  <si>
    <t>7569000 - Mini Stoppering Chamber</t>
  </si>
  <si>
    <t>INR 147325.00</t>
  </si>
  <si>
    <t>Care Biosystems India Pvt. Ltd</t>
  </si>
  <si>
    <t>ACH-RD-CH-0491</t>
  </si>
  <si>
    <t>Part Num: 7 CHANNEL APD REDOUT VER1.0</t>
  </si>
  <si>
    <t>INR 4437.00</t>
  </si>
  <si>
    <t>P C Process Private Limited</t>
  </si>
  <si>
    <t>ACH-RD-CH-0492</t>
  </si>
  <si>
    <t>5/16-18x3" SS Hex Head Screws Bolts, Nuts</t>
  </si>
  <si>
    <t>INR 67.712</t>
  </si>
  <si>
    <t>ACH-GN-IT-0012</t>
  </si>
  <si>
    <t>One 14 AMD Ryzen 3 3250U Processor (8GB RAM/256GB SSD/AMD Radeon Graphics/Windows 11 Home/MS Office Home and Student) Thin and Light Laptop Z2-493 with 35.56 cm (14.0") HD Display</t>
  </si>
  <si>
    <t>INR 24567.80</t>
  </si>
  <si>
    <t>ACH-GN-HK-0011</t>
  </si>
  <si>
    <t>All Purpose Cleaner and Degreaser Concentrate Car Interior Engine Bay Bike Chain Cleaning Visit the PROKLEAR Store</t>
  </si>
  <si>
    <t>INR 240.68</t>
  </si>
  <si>
    <t>ACH-RD-CH-0493</t>
  </si>
  <si>
    <t>Choke and Carb Cleaner (325 g) | Carburettor Cleaner for Fuel Efficiency and Reduced Smoke</t>
  </si>
  <si>
    <t>INR 317.80</t>
  </si>
  <si>
    <t>ACH-GN-IT-0013</t>
  </si>
  <si>
    <t>TP-Link ER605 (TL-R605) 1000 Mbps Router Black</t>
  </si>
  <si>
    <t>INR 6999.00</t>
  </si>
  <si>
    <t>Kumars Infotech</t>
  </si>
  <si>
    <t>ACH-RD-CM-0114</t>
  </si>
  <si>
    <t>UFC5100 - Amicon Ultra-0.5 Centrifugal Filter Unit - Ultracel-100 regenerated cellulose membrane, 0.5 mL sample volume</t>
  </si>
  <si>
    <t>INR 624.75</t>
  </si>
  <si>
    <t>ACH-RD-CH-0494</t>
  </si>
  <si>
    <t>XPGDPR-LS-0000-00G01 - High Power LEDs - Single Colour</t>
  </si>
  <si>
    <t>INR 283.27</t>
  </si>
  <si>
    <t>ACH-RD-CH-0495</t>
  </si>
  <si>
    <t>GR CSSRML.24-UJUL-57-1 - High Power LEDs - Single Colour OSLON Optimal Red - GR CSSRML.24</t>
  </si>
  <si>
    <t>INR 80.42</t>
  </si>
  <si>
    <t>ACH-EN-ME-0049</t>
  </si>
  <si>
    <t>Supply of 3D Printing Parts - SLA BACK CASING</t>
  </si>
  <si>
    <t>INR 2475.00</t>
  </si>
  <si>
    <t>ACH-EN-ME-0050</t>
  </si>
  <si>
    <t>Supply of 3D Printing Parts - SLA End sensor_mount</t>
  </si>
  <si>
    <t>ACH-EN-ME-0051</t>
  </si>
  <si>
    <t>Supply of 3D Printing Parts - SLA FRONT CASING</t>
  </si>
  <si>
    <t>INR 1815.00</t>
  </si>
  <si>
    <t>ACH-EN-ME-0052</t>
  </si>
  <si>
    <t>Supply of 3D Printing Parts - SLA FRONT DISPLAY CASING</t>
  </si>
  <si>
    <t>INR 1540.00</t>
  </si>
  <si>
    <t>ACH-EN-ME-0053</t>
  </si>
  <si>
    <t>Supply of 3D Printing Parts - SLA GUIDE TRAY</t>
  </si>
  <si>
    <t>ACH-EN-ME-0054</t>
  </si>
  <si>
    <t>Supply of 3D Printing Parts - SLA GUIDE TRAY_RH</t>
  </si>
  <si>
    <t>INR 605.00</t>
  </si>
  <si>
    <t>ACH-EN-ME-0055</t>
  </si>
  <si>
    <t>Supply of 3D Printing Parts - SLA LED_PLASTIC RETAINER</t>
  </si>
  <si>
    <t>ACH-EN-ME-0056</t>
  </si>
  <si>
    <t>Supply of 3D Printing Parts - SLA LEFT SIDE CASING</t>
  </si>
  <si>
    <t>INR 7150.00</t>
  </si>
  <si>
    <t>ACH-EN-ME-0057</t>
  </si>
  <si>
    <t>Supply of 3D Printing Parts - SLA RIGHT SIDE CASING</t>
  </si>
  <si>
    <t>ACH-EN-ME-0058</t>
  </si>
  <si>
    <t>Supply of 3D Printing Parts - SLA TRAY CARTRIDGE_TFT</t>
  </si>
  <si>
    <t>INR 2650.00</t>
  </si>
  <si>
    <t>ACH-EN-ME-0059</t>
  </si>
  <si>
    <t>Supply of 3D Printing Parts - SLA TOP CASING</t>
  </si>
  <si>
    <t>INR 4150.00</t>
  </si>
  <si>
    <t>ACH-EN-ME-0060</t>
  </si>
  <si>
    <t>Supply of 3D Printing Parts - SLA TRAY EJECTOR</t>
  </si>
  <si>
    <t>ACH-EN-ME-0061</t>
  </si>
  <si>
    <t>Supply of 3D Printing Parts - SLA TRAY STOPER_2_LH</t>
  </si>
  <si>
    <t>ACH-EN-ME-0062</t>
  </si>
  <si>
    <t>Supply of 3D Printing Parts - SLA TRAY STOPER_RH</t>
  </si>
  <si>
    <t>ACH-EN-SP-0014</t>
  </si>
  <si>
    <t>Paints &amp; Painting charges Paints &amp; Painting charges</t>
  </si>
  <si>
    <t>INR 3000.00</t>
  </si>
  <si>
    <t>ACH-RD-CH-0496</t>
  </si>
  <si>
    <t>Silicon Grease</t>
  </si>
  <si>
    <t>INR 4.98</t>
  </si>
  <si>
    <t>ACH-RD-CH-0497</t>
  </si>
  <si>
    <t>1/2''(1.5 to 147.6 ft-lbs.) Heavy Duty Digital Torque Adapter with LED&amp;Buzzer Alert (1/2'' Drive &amp; includes adapters for 3/8'' and 1/4'')</t>
  </si>
  <si>
    <t>INR 5677.12</t>
  </si>
  <si>
    <t>ACH-RD-CH-0498</t>
  </si>
  <si>
    <t>Baking &amp; Cooking Parchment Paper with Silicone Spatula and Oil Cooking Brush Multi-Purpose Easy Use Random Colors</t>
  </si>
  <si>
    <t>INR 329.00</t>
  </si>
  <si>
    <t>ACH-EN-EQ-0010</t>
  </si>
  <si>
    <t>Mist Air ICY 3 Blade 400MM Pedestal Fan White</t>
  </si>
  <si>
    <t>INR 2330.51</t>
  </si>
  <si>
    <t>ACH-EN-ME-0063</t>
  </si>
  <si>
    <t>1.75mm ASA 3D Filament â€¦ (Black)</t>
  </si>
  <si>
    <t>INR 1991.53</t>
  </si>
  <si>
    <t>ACH-EN-ME-0064</t>
  </si>
  <si>
    <t>Supply of 3D printing parts BACK CASING_30-06-2023</t>
  </si>
  <si>
    <t>INR 2535.00</t>
  </si>
  <si>
    <t>ACH-EN-ME-0065</t>
  </si>
  <si>
    <t>Supply of 3D printing parts End sensor_mount_30-06-2023</t>
  </si>
  <si>
    <t>ACH-EN-ME-0066</t>
  </si>
  <si>
    <t>Supply of 3D printing parts FRONT CASING_30-06-2023</t>
  </si>
  <si>
    <t>INR 1820.00</t>
  </si>
  <si>
    <t>ACH-EN-ME-0067</t>
  </si>
  <si>
    <t>Supply of 3D printing parts FRONT DISPLAY CASING_30-06- 2023</t>
  </si>
  <si>
    <t>INR 1605.00</t>
  </si>
  <si>
    <t>ACH-EN-ME-0068</t>
  </si>
  <si>
    <t>Supply of 3D printing parts GUIDE TRAY_30-06-2023</t>
  </si>
  <si>
    <t>INR 557.00</t>
  </si>
  <si>
    <t>ACH-EN-ME-0069</t>
  </si>
  <si>
    <t>Supply of 3D printing parts GUIDE TRAY_RH_30-06-2023</t>
  </si>
  <si>
    <t>INR 610.00</t>
  </si>
  <si>
    <t>ACH-EN-ME-0070</t>
  </si>
  <si>
    <t>Supply of 3D printing parts LED_PLASTIC RETAINER _30-06- 2023</t>
  </si>
  <si>
    <t>ACH-EN-ME-0071</t>
  </si>
  <si>
    <t>Supply of 3D printing parts LEFT SIDE CASING_30-06-2023</t>
  </si>
  <si>
    <t>INR 7160.00</t>
  </si>
  <si>
    <t>ACH-EN-ME-0072</t>
  </si>
  <si>
    <t>Supply of 3D printing parts RIGHT SIDE CASING_30-06-2023</t>
  </si>
  <si>
    <t>INR 7215.00</t>
  </si>
  <si>
    <t>ACH-EN-ME-0073</t>
  </si>
  <si>
    <t>Supply of 3D printing parts TOP CASING_30-06-2023</t>
  </si>
  <si>
    <t>INR 4518.00</t>
  </si>
  <si>
    <t>ACH-EN-ME-0074</t>
  </si>
  <si>
    <t>Supply of 3D printing parts TRAY CARTRIDGE_TFT_30-06-2023</t>
  </si>
  <si>
    <t>pc</t>
  </si>
  <si>
    <t>ACH-EN-ME-0075</t>
  </si>
  <si>
    <t>Supply of 3D printing parts TRAY EJECTOR_30-06-2023</t>
  </si>
  <si>
    <t>INR 500.00</t>
  </si>
  <si>
    <t>ACH-EN-ME-0076</t>
  </si>
  <si>
    <t>Supply of 3D printing parts TRAY STOPER_2_LH_30-06-2023</t>
  </si>
  <si>
    <t>ACH-EN-ME-0077</t>
  </si>
  <si>
    <t>Supply of 3D printing parts TRAY STOPER_RH_30-06-2023</t>
  </si>
  <si>
    <t>ACH-EN-ME-0078</t>
  </si>
  <si>
    <t>MEC7001-M2/20 - Stainless Steel Socket Head Screws</t>
  </si>
  <si>
    <t>INR 14.999</t>
  </si>
  <si>
    <t>ACH-EN-ME-0079</t>
  </si>
  <si>
    <t>MEC7001-M4/20 - Stainless Steel Socket Head Screws</t>
  </si>
  <si>
    <t>ACH-MF-CT-0007</t>
  </si>
  <si>
    <t>Pi 4 Mounting Clamp</t>
  </si>
  <si>
    <t>ACH-MF-CT-0008</t>
  </si>
  <si>
    <t>Tray Mount Sheet Metal Part</t>
  </si>
  <si>
    <t>INR 1400.00</t>
  </si>
  <si>
    <t>ACH-EN-ME-0080</t>
  </si>
  <si>
    <t>Optical Head Mount Sheet Part</t>
  </si>
  <si>
    <t>ACH-EN-ME-0081</t>
  </si>
  <si>
    <t>Camera Filter Retainer</t>
  </si>
  <si>
    <t>INR 230.00</t>
  </si>
  <si>
    <t>ACH-EN-ME-0082</t>
  </si>
  <si>
    <t>Filter Retainer</t>
  </si>
  <si>
    <t>ACH-EN-ME-0083</t>
  </si>
  <si>
    <t>Lens Retainer - 1</t>
  </si>
  <si>
    <t>INR 180.00</t>
  </si>
  <si>
    <t>ACH-EN-ME-0084</t>
  </si>
  <si>
    <t>Lens Retainer - 2</t>
  </si>
  <si>
    <t>ACH-MF-CT-0009</t>
  </si>
  <si>
    <t>Optical Block</t>
  </si>
  <si>
    <t>INR 4500.00</t>
  </si>
  <si>
    <t>ACH-EN-ME-0085</t>
  </si>
  <si>
    <t>Optical Tube</t>
  </si>
  <si>
    <t>ACH-RD-CH-0499</t>
  </si>
  <si>
    <t>Motor Mounting Bracket</t>
  </si>
  <si>
    <t>ACH-RD-CH-0500</t>
  </si>
  <si>
    <t>Small Transparent Airtight Container</t>
  </si>
  <si>
    <t>INR 95.7725</t>
  </si>
  <si>
    <t>ACH-RD-CH-0501</t>
  </si>
  <si>
    <t>Stainless Steel Belly Shape Box</t>
  </si>
  <si>
    <t>INR 445.54</t>
  </si>
  <si>
    <t>ACH-RD-CH-0502</t>
  </si>
  <si>
    <t>SG-35 - Autoclavable Cover 14x12 inches</t>
  </si>
  <si>
    <t>ACH-EN-EQ-0011</t>
  </si>
  <si>
    <t>BS-ICB247A - GLOVE BOX</t>
  </si>
  <si>
    <t>INR 180000.00</t>
  </si>
  <si>
    <t>BioStag Technologies</t>
  </si>
  <si>
    <t>ACH-EN-EQ-0012</t>
  </si>
  <si>
    <t>TOL7008 - BeamBox Pro - 50W Desktop CO2 Laser Cutter</t>
  </si>
  <si>
    <t>INR 305085.00</t>
  </si>
  <si>
    <t>ACH-RD-CH-0503</t>
  </si>
  <si>
    <t>Display Port DP Male to HDMI Female Adapter Cable for DELL, HP, AMD</t>
  </si>
  <si>
    <t>ACH-RD-CH-0504</t>
  </si>
  <si>
    <t>TSH Plus Tests - Boditech - South Korea</t>
  </si>
  <si>
    <t>INR 136.00</t>
  </si>
  <si>
    <t>ACH-RD-CH-0505</t>
  </si>
  <si>
    <t>Permanent Fine Point Marker Set - Black</t>
  </si>
  <si>
    <t>INR 24.5756</t>
  </si>
  <si>
    <t>ACH-RD-CH-0506</t>
  </si>
  <si>
    <t>10ml Glass Bottle</t>
  </si>
  <si>
    <t>Jain Bottle Store</t>
  </si>
  <si>
    <t>ACH-RD-CH-0507</t>
  </si>
  <si>
    <t>30ml Glass Bottle</t>
  </si>
  <si>
    <t>INR 4.00</t>
  </si>
  <si>
    <t>ACH-RD-CH-0508</t>
  </si>
  <si>
    <t>50ml Glass Bottle</t>
  </si>
  <si>
    <t>INR 5.00</t>
  </si>
  <si>
    <t>ACH-EN-OP-0015</t>
  </si>
  <si>
    <t>25178 - 100mm x 120mm Travel, Motorized XY Microscope Stage, Integrated Controller with Encoder</t>
  </si>
  <si>
    <t>INR 674050.02</t>
  </si>
  <si>
    <t>ACH-EN-OP-0016</t>
  </si>
  <si>
    <t>68344 - USB to RS-232 Adapter</t>
  </si>
  <si>
    <t>INR 4335.00</t>
  </si>
  <si>
    <t>ACH-EN-OP-0017</t>
  </si>
  <si>
    <t>89369 - Nikon Inverted Microscope ASR Adapter Plate</t>
  </si>
  <si>
    <t>INR 18700.00</t>
  </si>
  <si>
    <t>ACH-EN-OP-0018</t>
  </si>
  <si>
    <t>15294 48V Universal Power Supply</t>
  </si>
  <si>
    <t>INR 3655.00</t>
  </si>
  <si>
    <t>ACH-EN-EQ-0013</t>
  </si>
  <si>
    <t>Laser Tube ULR 30 Watt</t>
  </si>
  <si>
    <t>INR 250000.00</t>
  </si>
  <si>
    <t>ACH-GN-IT-0014</t>
  </si>
  <si>
    <t>DCP-T220 All-in One Ink Tank Refill System Printer</t>
  </si>
  <si>
    <t>Brother</t>
  </si>
  <si>
    <t>INR 10330.51</t>
  </si>
  <si>
    <t>ACH-MF-CM-0065</t>
  </si>
  <si>
    <t>0.2mm x 300mm x 1000mm Film Sheet Virgin High Temperature PTFE</t>
  </si>
  <si>
    <t>INR 3727.12</t>
  </si>
  <si>
    <t>ACH-RD-CH-0509</t>
  </si>
  <si>
    <t>RC PRINT Ink Compatible for Brother BT6000Bk / BT5000 DCP T310, T300, T510, T500, T910, T710, T400W, T450W, T300W, T800W, T700, T810 Printers</t>
  </si>
  <si>
    <t>INR 418.65</t>
  </si>
  <si>
    <t>ACH-RD-CH-0510</t>
  </si>
  <si>
    <t>USB-C to Type C Fast Charging Cable 65W/3A 90 Degree USB C to Type-C Braided Cord Compatible With OnePlus 9 Samsung S22 M53 5G MacBook Pro M1 Google Pixel iPad Pro 2020/2018 1m,Black</t>
  </si>
  <si>
    <t>INR 380.51</t>
  </si>
  <si>
    <t>ACH-RD-CH-0511</t>
  </si>
  <si>
    <t>High Speed Steel Drill Set for Metal, Wood, &amp; Plastic, 14 Pieces, 1.5 - 10mm, Straight</t>
  </si>
  <si>
    <t>ACH-RD-CH-0512</t>
  </si>
  <si>
    <t>Yamalube Optima Scooter 10W40 4 Stroke Scooter Engine Oil (90793AD40700)</t>
  </si>
  <si>
    <t>INR 0.376062</t>
  </si>
  <si>
    <t>ACH-RD-CH-0513</t>
  </si>
  <si>
    <t>Yamalube Optimum Performance Scooter Gear Oil</t>
  </si>
  <si>
    <t>INR 0.5089</t>
  </si>
  <si>
    <t>ACH-EN-SP-0015</t>
  </si>
  <si>
    <t>Inspection charges</t>
  </si>
  <si>
    <t>INR 8000.00</t>
  </si>
  <si>
    <t>ACH-EN-EL-0141</t>
  </si>
  <si>
    <t>3M10819-ND - 4-5-467MP- APE ADHSV TRANSFER CLR 4"X5YDS</t>
  </si>
  <si>
    <t>INR 1953.00</t>
  </si>
  <si>
    <t>ACH-EN-ME-0086</t>
  </si>
  <si>
    <t>2mm Black - 1X1 Feet Acrylic Sheet</t>
  </si>
  <si>
    <t>ACH-EN-SP-0016</t>
  </si>
  <si>
    <t>Testing and Calibration</t>
  </si>
  <si>
    <t>INR 4000.00</t>
  </si>
  <si>
    <t>ACH-RD-CH-0514</t>
  </si>
  <si>
    <t>1 mm Black Plastic Acrylic Cut Plexiglass Sheet A5 Size, 148 mm x 210 mm</t>
  </si>
  <si>
    <t>INR 1345.00</t>
  </si>
  <si>
    <t>ACH-RD-CM-0115</t>
  </si>
  <si>
    <t>0030000978 - epT.I.P.S.Â® Standard, Eppendorf Quality, 0.1 â€“ 5 mL, 120 mm, violet, colorless tips,</t>
  </si>
  <si>
    <t>ACH-RD-CH-0515</t>
  </si>
  <si>
    <t>Designed Cartridges</t>
  </si>
  <si>
    <t>INR 1494.00</t>
  </si>
  <si>
    <t>ACH-RD-CH-0516</t>
  </si>
  <si>
    <t>27110 - IA PREMIUM CTL TRILEV</t>
  </si>
  <si>
    <t>INR 0.733</t>
  </si>
  <si>
    <t>ACH-RD-CH-0517</t>
  </si>
  <si>
    <t>03449- N-(3-Dimethylaminopropyl)-Nâ€²-ethylcarbodiimide hydrochloride No rating value average rating value is 0.0 of 5. Read 0 Reviews Same page link. (0) Write a review</t>
  </si>
  <si>
    <t>INR 6.4269</t>
  </si>
  <si>
    <t>ACH-RD-CH-0518</t>
  </si>
  <si>
    <t>SRL - 59338 - D-Maltose Monohydrate for bacteriology and biochemistry</t>
  </si>
  <si>
    <t>INR 0.00189</t>
  </si>
  <si>
    <t>ACH-RD-CH-0519</t>
  </si>
  <si>
    <t>28940 - Polysorbate 80 (Tween 80) extrapure</t>
  </si>
  <si>
    <t>INR 0.00182</t>
  </si>
  <si>
    <t>ACH-EN-EQ-0014</t>
  </si>
  <si>
    <t>Shelving unit, metal/white</t>
  </si>
  <si>
    <t>INR 1790.00</t>
  </si>
  <si>
    <t>ACH-EN-EL-0142</t>
  </si>
  <si>
    <t>Y13 - Printed Circuit Board</t>
  </si>
  <si>
    <t>INR 26.56</t>
  </si>
  <si>
    <t>ACH-RD-CH-0520</t>
  </si>
  <si>
    <t>Tweezers - ESD Anti-Static Stainless Stee</t>
  </si>
  <si>
    <t>ACH-RD-CM-0116</t>
  </si>
  <si>
    <t>Scalpel handle B.P. no.3</t>
  </si>
  <si>
    <t>INR 281.25</t>
  </si>
  <si>
    <t>ACH-EN-EL-0143</t>
  </si>
  <si>
    <t>709-GST60A12-P1J- Desktop AC Adapters 60W 12V 5A Level VI 2.1x5.5plug</t>
  </si>
  <si>
    <t>INR 1793.24</t>
  </si>
  <si>
    <t>ACH-EN-EL-0144</t>
  </si>
  <si>
    <t>709-GSM60A12-P1J -Desktop AC Adapters 60W 12V 5A Medical Power Supply</t>
  </si>
  <si>
    <t>INR 2322.11</t>
  </si>
  <si>
    <t>ACH-EN-ME-0087</t>
  </si>
  <si>
    <t>Supply of 3D printing parts CARTRIDGE GUIDE LH</t>
  </si>
  <si>
    <t>INR 715.00</t>
  </si>
  <si>
    <t>ACH-EN-ME-0088</t>
  </si>
  <si>
    <t>Supply of 3D printing parts CARTRIDGE GUIDE RH</t>
  </si>
  <si>
    <t>ACH-EN-ME-0089</t>
  </si>
  <si>
    <t>Supply of 3D printing parts PCB MOUNTING BLOCK</t>
  </si>
  <si>
    <t>INR 210.00</t>
  </si>
  <si>
    <t>ACH-EN-ME-0090</t>
  </si>
  <si>
    <t>Supply of 3D printing parts PCB MOUNTING SPACER</t>
  </si>
  <si>
    <t>ACH-EN-ME-0091</t>
  </si>
  <si>
    <t>Supply of 3D printing parts PLUNGER SHAFT_HOLDER</t>
  </si>
  <si>
    <t>ACH-EN-ME-0092</t>
  </si>
  <si>
    <t>Supply of 3D printing parts PLUNGER SHAFT_HOLDER LOCK</t>
  </si>
  <si>
    <t>ACH-EN-ME-0093</t>
  </si>
  <si>
    <t>Supply of 3D printing parts TOP PLATE_2</t>
  </si>
  <si>
    <t>ACH-RD-CH-0521</t>
  </si>
  <si>
    <t>SRL - 28061 - L-Histidine Hydrochloride Monohyd Ep</t>
  </si>
  <si>
    <t>INR 0.0213</t>
  </si>
  <si>
    <t>ACH-RD-CH-0522</t>
  </si>
  <si>
    <t>SRL - 42437 - L-Histidine ExiPlus, Multi-Compendial</t>
  </si>
  <si>
    <t>ACH-RD-CH-0523</t>
  </si>
  <si>
    <t>SRL-55453 - L-Arginine Hydrochloride Ep CHR</t>
  </si>
  <si>
    <t>INR 0.0045</t>
  </si>
  <si>
    <t>ACH-EN-EQ-0015</t>
  </si>
  <si>
    <t>IdeaCentre 3i - 12th Gen Intel i5- 12th Generation IntelÂ® Coreâ„¢ i5-12400 Processor (P-cores 2.50 GHz up to 4.40 GHz)</t>
  </si>
  <si>
    <t>INR 48240.00</t>
  </si>
  <si>
    <t>ACH-RD-CH-0524</t>
  </si>
  <si>
    <t>T-205-WB-C - Axygen 200uL Pipet Tips, Wide-Bore, Clear, Non-Sterile, Bulk Pack,</t>
  </si>
  <si>
    <t>INR 1.45616</t>
  </si>
  <si>
    <t>JDM Technologies</t>
  </si>
  <si>
    <t>ACH-RD-CH-0525</t>
  </si>
  <si>
    <t>MPHNXXX025XXXXX - NC Membrane Type: 150CNPH-N-SS40, Size: 25mm</t>
  </si>
  <si>
    <t>ACH-EN-EQ-0016</t>
  </si>
  <si>
    <t>Vidas Kube- Fully Auto Immuno Analyzer with Immuno Florescent Technology(ELFA)</t>
  </si>
  <si>
    <t>INR 800000.00</t>
  </si>
  <si>
    <t>ACH-RD-CH-0526</t>
  </si>
  <si>
    <t>High Carbon Steel Blades No 11 for Art and craft work</t>
  </si>
  <si>
    <t>INR 4.2411</t>
  </si>
  <si>
    <t>ACH-RD-CH-0527</t>
  </si>
  <si>
    <t>6 Pieces Stainless Steel Earwax Removal Kit/Ear Curette Safety Cleaner with Brush and Storage Box</t>
  </si>
  <si>
    <t>INR 105.08</t>
  </si>
  <si>
    <t>ACH-RD-CM-0117</t>
  </si>
  <si>
    <t>T050060- REUSABLE BOTTLE TOP FILTER 250ML PSF</t>
  </si>
  <si>
    <t>INR 6708.20</t>
  </si>
  <si>
    <t>ACH-RD-KT-0035</t>
  </si>
  <si>
    <t>Cippoint FSH Fast Test Kit</t>
  </si>
  <si>
    <t>kit</t>
  </si>
  <si>
    <t>INR 4950.00</t>
  </si>
  <si>
    <t>Mahaveer Enterprises</t>
  </si>
  <si>
    <t>ACH-RD-KT-0036</t>
  </si>
  <si>
    <t>Cippoint LH Fast Test Kit</t>
  </si>
  <si>
    <t>ACH-RD-KT-0037</t>
  </si>
  <si>
    <t>Cippoint NT Probnb Fast Test</t>
  </si>
  <si>
    <t>INR 11412.00</t>
  </si>
  <si>
    <t>ACH-RD-KT-0038</t>
  </si>
  <si>
    <t>Cippoint TSH Fast Test Kit</t>
  </si>
  <si>
    <t>ACH-RD-KT-0039</t>
  </si>
  <si>
    <t>Cippoint Immunofluoresence Reader</t>
  </si>
  <si>
    <t>INR 98990.00</t>
  </si>
  <si>
    <t>ACH-RD-CH-0528</t>
  </si>
  <si>
    <t>30uL Marking Dropper</t>
  </si>
  <si>
    <t>ACH-RD-CH-0529</t>
  </si>
  <si>
    <t>185-HEL-MF72-5D11 - MF72 Series 5Ohm 11mm 4A Power NTC Thermistor Inrush Current Limiter</t>
  </si>
  <si>
    <t>INR 8.40</t>
  </si>
  <si>
    <t>ACH-RD-CH-0530</t>
  </si>
  <si>
    <t>185-HEL-MF72-2.5D15 - MF72 Series 2.5Ohm 15mm 8A Power NTC Thermistor Inrush Current Limiter</t>
  </si>
  <si>
    <t>INR 10.71</t>
  </si>
  <si>
    <t>ACH-RD-CH-0531</t>
  </si>
  <si>
    <t>185-HEL-MF72-10D15 - MF72 Series 10Ohm 15mm 5A Power NTC Thermistor Inrush Current Limiter</t>
  </si>
  <si>
    <t>INR 12.60</t>
  </si>
  <si>
    <t>ACH-RD-CH-0532</t>
  </si>
  <si>
    <t>004-CB-10112 - 7Semi USB-C Female Breakout</t>
  </si>
  <si>
    <t>ACH-RD-CH-0533</t>
  </si>
  <si>
    <t>16048 - 3D Printer Controller Board RAMPS 1.4 Arduino Mega Shield RepRap Prusa Model</t>
  </si>
  <si>
    <t>INR 103.105</t>
  </si>
  <si>
    <t>ACH-RD-CH-0534</t>
  </si>
  <si>
    <t>14135 - Mega 2560 ATmega2560-16AU Board without USB Cable for Arduino</t>
  </si>
  <si>
    <t>INR 1093.79</t>
  </si>
  <si>
    <t>ACH-EN-EL-0145</t>
  </si>
  <si>
    <t>6722 - A4988 driver Stepper Motor Driver- Good Quality</t>
  </si>
  <si>
    <t>INR 0.8475</t>
  </si>
  <si>
    <t>ACH-EN-EL-0146</t>
  </si>
  <si>
    <t>12251 - Soil Moisture Meter, Soil Humidity Sensor, Water Sensor, Soil Hygrometer for Ardunio</t>
  </si>
  <si>
    <t>INR 0.845</t>
  </si>
  <si>
    <t>ACH-EN-EL-0147</t>
  </si>
  <si>
    <t>12241 - Water Level Depth Detection Sensor for Arduino</t>
  </si>
  <si>
    <t>ACH-RD-CH-0535</t>
  </si>
  <si>
    <t>3D Printer Hotend Metal Bowden J-head Hotend E3D V6 Direct Drive Extruder</t>
  </si>
  <si>
    <t>INR 1089.94</t>
  </si>
  <si>
    <t>ACH-EN-EL-0148</t>
  </si>
  <si>
    <t>863-MFC30035SMTTR1 - Photodiodes C-SERIES 3MM 35U MLP</t>
  </si>
  <si>
    <t>INR 3386.24</t>
  </si>
  <si>
    <t>ACH-RD-CH-0536</t>
  </si>
  <si>
    <t>575-1508000150000030 - IC &amp; Component Sockets 1P SMT PIN,TESTPOINT LOOSE</t>
  </si>
  <si>
    <t>INR 9.44</t>
  </si>
  <si>
    <t>ACH-RD-CH-0537</t>
  </si>
  <si>
    <t>White Single Side Ultra Plus (+) Release Paper, 149gsm, 500mm</t>
  </si>
  <si>
    <t>INR 179.00</t>
  </si>
  <si>
    <t>Innovative</t>
  </si>
  <si>
    <t>ACH-EN-ME-0094</t>
  </si>
  <si>
    <t>1641-10 / 1641N-10 inch 250 mm Curved Jaw Locking Pliers mole Wrench Vise vice Grip</t>
  </si>
  <si>
    <t>INR 464.41</t>
  </si>
  <si>
    <t>ACH-RD-CH-0538</t>
  </si>
  <si>
    <t>273920 Penetrating Lubricant Spray (454 g)</t>
  </si>
  <si>
    <t>ACH-EN-ME-0095</t>
  </si>
  <si>
    <t>2023 New PLA PRO+ with Improved Formula (Daisy White) Made in India 3D Filament..</t>
  </si>
  <si>
    <t>ACH-RD-CH-0539</t>
  </si>
  <si>
    <t>Technology Premium PLA Black 3D Printer Filament 1.75mm Dimensional Accuracy +/- 0.03mm Net Weight</t>
  </si>
  <si>
    <t>INR 719.49</t>
  </si>
  <si>
    <t>ACH-RD-CH-0540</t>
  </si>
  <si>
    <t>9" Belt Type Oil Filter Wrench Auto Tool Engine Box Spanner Oil Fuel Filter Wrench Tool Spanner Key Tool Yellow Belt 225 Single Sided Adjustable Wrench</t>
  </si>
  <si>
    <t>INR 243.22</t>
  </si>
  <si>
    <t>ACH-GN-HK-0012</t>
  </si>
  <si>
    <t>WD 40 Smart Straw | All Purpose Cleaner for Home Improvement | Household Cleaner to Loosen Stuck &amp; Rust Parts, Removes Sticky Residue, &amp; Auto Maintenance</t>
  </si>
  <si>
    <t>INR 424.94</t>
  </si>
  <si>
    <t>ACH-RD-CH-0541</t>
  </si>
  <si>
    <t>Tapes wonder bopp tape</t>
  </si>
  <si>
    <t>INR 139.69</t>
  </si>
  <si>
    <t>ACH-RD-CH-0542</t>
  </si>
  <si>
    <t>E3D Embedded Bowden Coupling for Metal (1.75mm) (M-BOWDEN-COUPLING-METAL-175)</t>
  </si>
  <si>
    <t>INR 1383.05</t>
  </si>
  <si>
    <t>ACH-GN-OF-0005</t>
  </si>
  <si>
    <t>Permanent Markers, Ultra Fine Point, Black,</t>
  </si>
  <si>
    <t>dz</t>
  </si>
  <si>
    <t>INR 716.10</t>
  </si>
  <si>
    <t>ACH-EN-EQ-0017</t>
  </si>
  <si>
    <t>DW-40L348 - Haier make Freezer with storage drawers</t>
  </si>
  <si>
    <t>ACH-RD-CM-0118</t>
  </si>
  <si>
    <t>T050061 - Reusable Bottle Top Filter 500ML PSF</t>
  </si>
  <si>
    <t>INR 7950.90</t>
  </si>
  <si>
    <t>ACH-RD-CM-0119</t>
  </si>
  <si>
    <t>T500010 - Micro Centrifuge Tube 1.5mL Pack of 500</t>
  </si>
  <si>
    <t>INR 0.9724</t>
  </si>
  <si>
    <t>ACH-EN-ME-0096</t>
  </si>
  <si>
    <t>56258 - EasyMech Set of M2.5 X 8MM Socket Head Cap (Allen) Bolt and Nut</t>
  </si>
  <si>
    <t>INR 16.5833</t>
  </si>
  <si>
    <t>ACH-EN-ME-0097</t>
  </si>
  <si>
    <t>Supply of Prototype Parts - Top PMMA</t>
  </si>
  <si>
    <t>INR 1300.00</t>
  </si>
  <si>
    <t>ACH-EN-ME-0098</t>
  </si>
  <si>
    <t>Supply of 3D printing parts HANDLE MOUNT_5</t>
  </si>
  <si>
    <t>INR 1680.00</t>
  </si>
  <si>
    <t>ACH-EN-EL-0149</t>
  </si>
  <si>
    <t>Supply of 3D printing parts TOP PLATE_ FOR PHOTODIODE</t>
  </si>
  <si>
    <t>INR 2185.00</t>
  </si>
  <si>
    <t>ACH-EN-ME-0099</t>
  </si>
  <si>
    <t>Supply of 3D printing parts GUIDE BLOCK_5</t>
  </si>
  <si>
    <t>INR 1545.00</t>
  </si>
  <si>
    <t>ACH-EN-ME-0100</t>
  </si>
  <si>
    <t>Supply of 3D printing parts PLUNGER HOLDER _5</t>
  </si>
  <si>
    <t>INR 710.00</t>
  </si>
  <si>
    <t>ACH-EN-ME-0101</t>
  </si>
  <si>
    <t>12x16 Inch acrylic glass sheet board for writing art and craft home dÃ©cor 1 pcs 16 inch Acrylic Sheet (3 mm)</t>
  </si>
  <si>
    <t>INR 417.00</t>
  </si>
  <si>
    <t>ACH-RD-CH-0543</t>
  </si>
  <si>
    <t>EC4721 - TCRT5000 Single Channel Line Tracking Sensor Module</t>
  </si>
  <si>
    <t>INR 37.00</t>
  </si>
  <si>
    <t>ACH-RD-CH-0544</t>
  </si>
  <si>
    <t>EC-0872 - TCRT5000 Dual Channel Line Tracking Sensor Module</t>
  </si>
  <si>
    <t>ACH-RD-CH-0545</t>
  </si>
  <si>
    <t>EC-0871 - TCRT5000 - Reflective Infrared Optical Sensor</t>
  </si>
  <si>
    <t>INR 14.00</t>
  </si>
  <si>
    <t>ACH-RD-CH-0546</t>
  </si>
  <si>
    <t>EC-7568- TCRT5000 IR reflex Tracking Sensor Module</t>
  </si>
  <si>
    <t>ACH-RD-CH-0547</t>
  </si>
  <si>
    <t>EC-4887 - I2C 4 Channel 3.3V to 5V Bi-Directional Logic Level Converter</t>
  </si>
  <si>
    <t>INR 23.00</t>
  </si>
  <si>
    <t>ACH-EN-EL-0150</t>
  </si>
  <si>
    <t>EC-2111 - UNO R3 SMD Atmega328P Board - Clone Compatible Model</t>
  </si>
  <si>
    <t>INR 285.00</t>
  </si>
  <si>
    <t>ACH-EN-EL-0151</t>
  </si>
  <si>
    <t>SI878A - Spare Replacement Soldering Iron for Soldron 936/960/878D/740 stations</t>
  </si>
  <si>
    <t>INR 1700.00</t>
  </si>
  <si>
    <t>Bombay Insulated Cables &amp; Wires Co</t>
  </si>
  <si>
    <t>ACH-EN-SP-0017</t>
  </si>
  <si>
    <t>Consulting Fees</t>
  </si>
  <si>
    <t>INR 120303.00</t>
  </si>
  <si>
    <t>MedevPlus (Tishyas Medical Device Development Solutions Private Limited)</t>
  </si>
  <si>
    <t>ACH-RD-CM-0120</t>
  </si>
  <si>
    <t>Multipurpose Stainless Steel Funnel with Detachable Strainer, 4 Inch, Silver</t>
  </si>
  <si>
    <t>INR 347.32</t>
  </si>
  <si>
    <t>ACH-RD-CM-0121</t>
  </si>
  <si>
    <t>Metal Stainless Steel Funnel, Large Small Funnel Set of 3 with 2 Clean Brushes, 0.47in/0.35in/0.24in Funnel Nozzle, Food Grade Mini Funnels for Kitchen</t>
  </si>
  <si>
    <t>INR 376.27</t>
  </si>
  <si>
    <t>ACH-GN-HK-0013</t>
  </si>
  <si>
    <t>Bottle Cleaning Brushes Kitchen Teapot Nozzle Glass Bottle Sink Clean Brush Set House Cleaning -</t>
  </si>
  <si>
    <t>INR 54.8725</t>
  </si>
  <si>
    <t>ACH-MF-PM-0007</t>
  </si>
  <si>
    <t>Silica Gel 5 Gram Pouch</t>
  </si>
  <si>
    <t>INR 2.5084</t>
  </si>
  <si>
    <t>ACH-RD-CH-0548</t>
  </si>
  <si>
    <t>Multi Marker Pens</t>
  </si>
  <si>
    <t>INR 13.56</t>
  </si>
  <si>
    <t>ACH-RD-CH-0549</t>
  </si>
  <si>
    <t>Non-Toxic CD-DVD/OHP Marker Pen</t>
  </si>
  <si>
    <t>INR 40.255</t>
  </si>
  <si>
    <t>ACH-RD-CH-0550</t>
  </si>
  <si>
    <t>P0662 - Potassium Phosphate Monobasic</t>
  </si>
  <si>
    <t>ACH-RD-CH-0551</t>
  </si>
  <si>
    <t>P3786 - Potassium Phosphate Dibasic</t>
  </si>
  <si>
    <t>INR 0.051282</t>
  </si>
  <si>
    <t>ACH-RD-CH-0552</t>
  </si>
  <si>
    <t>FAP-iC014Q2 - Dengue Ag</t>
  </si>
  <si>
    <t>ACH-RD-AB-0111</t>
  </si>
  <si>
    <t>FAB-L001-5C8 - TSH Ab</t>
  </si>
  <si>
    <t>ACH-RD-AB-0112</t>
  </si>
  <si>
    <t>FAB-L001-6A7 - TSH Ab</t>
  </si>
  <si>
    <t>ACH-RD-CH-0553</t>
  </si>
  <si>
    <t>FAB-K002-1C5 - CysC Ab</t>
  </si>
  <si>
    <t>ACH-RD-CH-0554</t>
  </si>
  <si>
    <t>FAB-B002-3B5 - PCT Ab</t>
  </si>
  <si>
    <t>ACH-RD-CH-0555</t>
  </si>
  <si>
    <t>FAB-B002-4F6 - PCT Ab</t>
  </si>
  <si>
    <t>ACH-RD-AB-0113</t>
  </si>
  <si>
    <t>FAP-BC002 - PCT Ag</t>
  </si>
  <si>
    <t>INR 16.60</t>
  </si>
  <si>
    <t>ACH-RD-AB-0114</t>
  </si>
  <si>
    <t>FAR-601G - PCT Rapid Test Uncut Sheet (casette-G)</t>
  </si>
  <si>
    <t>INR 498.00</t>
  </si>
  <si>
    <t>ACH-RD-AB-0115</t>
  </si>
  <si>
    <t>MT-28STU - Inactivated Salmonella typhi antigen (native extract)</t>
  </si>
  <si>
    <t>INR 34.00</t>
  </si>
  <si>
    <t>CerTest Biotec SL</t>
  </si>
  <si>
    <t>ACH-RD-CM-0122</t>
  </si>
  <si>
    <t>PCR-96M2-HS-C - 96 Well Polypropylene PCR Microplate, Half Skirt, Clear, Nonsterile</t>
  </si>
  <si>
    <t>INR 295.992</t>
  </si>
  <si>
    <t>ACH-RD-CM-0123</t>
  </si>
  <si>
    <t>Liquid Nitrogen Container 10 Ltr</t>
  </si>
  <si>
    <t>INR 27000.00</t>
  </si>
  <si>
    <t>ACH-RD-CH-0556</t>
  </si>
  <si>
    <t>Gum Boot For Men Flexible PVC, Puncture &amp; Tear Resistant,Anti-Static,Anti-Slip,Oil/Water/Acid Resistance,Labour/Worker Purpose,Safety Unisex Gumboot with Socks/Lining</t>
  </si>
  <si>
    <t>INR 374.58</t>
  </si>
  <si>
    <t>ACH-RD-FL-0044</t>
  </si>
  <si>
    <t>AUXR40- BioReady Gold Nanospheres - Carboxyl - 40 nm, 20 OD in water, 5 mL</t>
  </si>
  <si>
    <t>INR 4.248</t>
  </si>
  <si>
    <t>ACH-RD-CM-0124</t>
  </si>
  <si>
    <t>0030108442 - Protein LoBindÂ® Tubes, snap cap, Protein LoBindÂ®, 1.5 mL, PCR clean, colorless</t>
  </si>
  <si>
    <t>INR 10.74</t>
  </si>
  <si>
    <t>ACH-RD-CM-0125</t>
  </si>
  <si>
    <t>0030108302 -Protein LoBindÂ® Tubes, snap cap, Protein LoBindÂ®, 5.0 mL, PCR clean, colorless,</t>
  </si>
  <si>
    <t>INR 66.90</t>
  </si>
  <si>
    <t>ACH-EN-EQ-0018</t>
  </si>
  <si>
    <t>Elegoo Neptune 3 Plus 3D Object Forming Machine</t>
  </si>
  <si>
    <t>INR 29611.02</t>
  </si>
  <si>
    <t>Hydro Tech</t>
  </si>
  <si>
    <t>ACH-RD-CH-0557</t>
  </si>
  <si>
    <t>FJT-7C1-1PI - Permanent FreezerTAGâ„¢ - Deep-Freeze - Labels for Thermal-Transfer Barcode Printers - 1" x 0.5" / 25.4mm x 12.7mm, Pink, Perforated, 1" Core</t>
  </si>
  <si>
    <t>INR 2.1082</t>
  </si>
  <si>
    <t>G A International Inc</t>
  </si>
  <si>
    <t>ACH-MF-LB-0001</t>
  </si>
  <si>
    <t>FJT-7C1-1BL - Permanent FreezerTAGâ„¢ - Deep-FreezeLabels for Thermal-Transfer Barcode Printers - 1" x 0.5" / 25.4mm x 12.7mm, Blue, Perforated, 1" Core</t>
  </si>
  <si>
    <t>ACH-RD-CH-0558</t>
  </si>
  <si>
    <t>FJT-7C1-1GA - Permanent FreezerTAGâ„¢ - Deep-Freeze Labels for Thermal-Transfer BarcodePrinters - 1" x 0.5" / 25.4mm x 12.7mm, Green Apple, Perforated, 1" Core</t>
  </si>
  <si>
    <t>ACH-GN-HK-0014</t>
  </si>
  <si>
    <t>Instant Coffee Premix - Low Sugar Unsweetened</t>
  </si>
  <si>
    <t>Radiant Consumer Appliances Pvt. Ltd</t>
  </si>
  <si>
    <t>ACH-GN-HK-0015</t>
  </si>
  <si>
    <t>Tea Latte - Cardamom Premix</t>
  </si>
  <si>
    <t>ACH-GN-HK-0016</t>
  </si>
  <si>
    <t>Tea Latte - Ginger Premix</t>
  </si>
  <si>
    <t>ACH-RD-CH-0559</t>
  </si>
  <si>
    <t>4 Inch Chimney Exhaust Duct Pipe Silver Colour Expend Till 10 Feet Suitable For All Brand Of Chimney (4 Inch)</t>
  </si>
  <si>
    <t>INR 592.37</t>
  </si>
  <si>
    <t>ACH-RD-CH-0560</t>
  </si>
  <si>
    <t>Black Matt Vinyl Car Wrap Sheet Roll Film Sticker Decal (12X24) Inch</t>
  </si>
  <si>
    <t>INR 184.76</t>
  </si>
  <si>
    <t>ACH-GN-IT-0015</t>
  </si>
  <si>
    <t>USB Wireless Keyboard and Mouse Set- KM3322W, Anti-Fade &amp; Spill-Resistant Keys</t>
  </si>
  <si>
    <t>INR 1048.31</t>
  </si>
  <si>
    <t>ACH-GN-IT-0016</t>
  </si>
  <si>
    <t>Mini UPS for 12V WiFi Router Broadband Modem | Backup Upto 4 Hours | WiFi Router UPS Power Backup During Power Cuts | UPS for 12V Router Broadband Modem | Current Surge &amp; Deep Discharge Protection</t>
  </si>
  <si>
    <t>INR 850.00</t>
  </si>
  <si>
    <t>ACH-EN-EQ-0019</t>
  </si>
  <si>
    <t>PC527 Platform Trolley with 150 kg Capacity, Steel Portable Foldable Multi-Functional Dolly Push Cart with 360 Degree Swivel Wheels, Yellow Colour, (73.5 x 47 x 83 cm)</t>
  </si>
  <si>
    <t>INR 3812.71</t>
  </si>
  <si>
    <t>ACH-EN-EQ-0020</t>
  </si>
  <si>
    <t>5428000010 - Centrifuge 5430 R, keypad, refrigerated, with Rotor FA-45-30-11 incl. rotor lid, 230 V/50 â€“ 60 Hz (EU)</t>
  </si>
  <si>
    <t>INR 501897.00</t>
  </si>
  <si>
    <t>ACH-EN-EQ-0021</t>
  </si>
  <si>
    <t>5427716009 -Rotor F-35-6-30, incl. rotor lid, with 6 adapters each for 15 mL/50 mL conical tubes</t>
  </si>
  <si>
    <t>INR 91254.00</t>
  </si>
  <si>
    <t>ACH-RD-CH-0561</t>
  </si>
  <si>
    <t>Flash Ready Intensity Standard Kit</t>
  </si>
  <si>
    <t>INR 56384.02</t>
  </si>
  <si>
    <t>ACH-RD-CH-0562</t>
  </si>
  <si>
    <t>24176 - Poly-Mount Xylene</t>
  </si>
  <si>
    <t>INR 0.068566</t>
  </si>
  <si>
    <t>ACH-EN-SP-0018</t>
  </si>
  <si>
    <t>0082020301 - Centrifuge Services</t>
  </si>
  <si>
    <t>ACH-EN-EL-0152</t>
  </si>
  <si>
    <t>769-AQV414EHAX - olid State Relays - PCB Mount RELAY OPTO SPST 120MA 6 SMD</t>
  </si>
  <si>
    <t>INR 266.18</t>
  </si>
  <si>
    <t>ACH-RD-CH-0563</t>
  </si>
  <si>
    <t>769-AQV414EHA - Solid State Relays - PCB Mount 120MA 400V 6PIN SPST-NC</t>
  </si>
  <si>
    <t>INR 265.36</t>
  </si>
  <si>
    <t>ACH-MF-RM-0002</t>
  </si>
  <si>
    <t>60301 - Supor 200 PES Membrane 0.2uM 47MM Plain</t>
  </si>
  <si>
    <t>ACH-RD-CM-0126</t>
  </si>
  <si>
    <t>T202070 - Cryo Box PP 1.8mL - 100 Pcs</t>
  </si>
  <si>
    <t>INR 444.00</t>
  </si>
  <si>
    <t>ACH-MF-PM-0008</t>
  </si>
  <si>
    <t>Thermocoal Box 55 L</t>
  </si>
  <si>
    <t>INR 400.00</t>
  </si>
  <si>
    <t>ACH-MF-PM-0009</t>
  </si>
  <si>
    <t>Cool Gel Pack - 500 mL</t>
  </si>
  <si>
    <t>ACH-MF-PM-0010</t>
  </si>
  <si>
    <t>Cool Gel Pack - 1000 mL</t>
  </si>
  <si>
    <t>ACH-MF-PM-0011</t>
  </si>
  <si>
    <t>Thermocoal Box 75 L</t>
  </si>
  <si>
    <t>INR 530.00</t>
  </si>
  <si>
    <t>ACH-EN-EQ-0022</t>
  </si>
  <si>
    <t>Sealed Maintenance free Batteries - Capacity: 12V 65ah</t>
  </si>
  <si>
    <t>INR 5700.00</t>
  </si>
  <si>
    <t>Zener Systems Private Limited</t>
  </si>
  <si>
    <t>ACH-EN-SP-0019</t>
  </si>
  <si>
    <t>Design Analysis + Camera Lens Designing on Zemax</t>
  </si>
  <si>
    <t>INR 51010.00</t>
  </si>
  <si>
    <t>ACH-EN-SP-0020</t>
  </si>
  <si>
    <t>Suction Cup for Design Analysis</t>
  </si>
  <si>
    <t>INR 1500.00</t>
  </si>
  <si>
    <t>ACH-GN-HK-0017</t>
  </si>
  <si>
    <t>Spray Bottles Transprent Clean Squirt Bottle For Multi-Uses</t>
  </si>
  <si>
    <t>INR 112.29</t>
  </si>
  <si>
    <t>ACH-RD-CM-0127</t>
  </si>
  <si>
    <t>Watch glass of Borosilicate glass 75 mm 3" Diameter</t>
  </si>
  <si>
    <t>INR 18.07833</t>
  </si>
  <si>
    <t>ACH-EN-EQ-0023</t>
  </si>
  <si>
    <t>P6100 100 MHz Oscilloscope Probe with BNC to Minigrabber Test Lead Accessories Kit</t>
  </si>
  <si>
    <t>INR 1174.74</t>
  </si>
  <si>
    <t>ACH-RD-CM-0128</t>
  </si>
  <si>
    <t>Glass Petri dish - 75 mm</t>
  </si>
  <si>
    <t>INR 152.372</t>
  </si>
  <si>
    <t>ACH-EN-EL-0153</t>
  </si>
  <si>
    <t>78-TCUT1630X01 - Optical Switches, Transmissive, Phototransistor Output Trple Trans Opt Snsr 3mm gap; 0.3mm aptr</t>
  </si>
  <si>
    <t>INR 139.19</t>
  </si>
  <si>
    <t>ACH-EN-EL-0154</t>
  </si>
  <si>
    <t>78-TCUT1600X01 - Optical Switches, Transmissive, Phototransistor Output Dual Chnl 1.6mA AEC-Q101 Qualified</t>
  </si>
  <si>
    <t>INR 149.78</t>
  </si>
  <si>
    <t>ACH-EN-EL-0155</t>
  </si>
  <si>
    <t>78-TCUT1800X01 - Optical Switches, Transmissive, Phototransistor Output Quad Trans Opt Snsr 3mm gap; 0.3mm aptre</t>
  </si>
  <si>
    <t>INR 295.48</t>
  </si>
  <si>
    <t>ACH-RD-CH-0564</t>
  </si>
  <si>
    <t>595-SN74HCT14DR - Inverters Hex Schmitt-Trigger Inverters</t>
  </si>
  <si>
    <t>INR 36.63</t>
  </si>
  <si>
    <t>ACH-RD-CH-0565</t>
  </si>
  <si>
    <t>771-74HCT14D-T - nverters 74HCT14D/SOT108/SO14</t>
  </si>
  <si>
    <t>INR 34.19</t>
  </si>
  <si>
    <t>ACH-RD-CH-0566</t>
  </si>
  <si>
    <t>806-KUSBVLPX-AS1N-B - USB Connectors LOW PROFILE VERT MNT USB A TH CONT BLK</t>
  </si>
  <si>
    <t>INR 78.14</t>
  </si>
  <si>
    <t>ACH-RD-CH-0567</t>
  </si>
  <si>
    <t>538-35312-0460 - Headers &amp; Wire Housings 2.5 PITCH W/B CONN WAFER ASSY</t>
  </si>
  <si>
    <t>INR 13.84</t>
  </si>
  <si>
    <t>ACH-RD-CH-0568</t>
  </si>
  <si>
    <t>941-XPEBRDL100000901 - High Power LEDs - Single Colour RED, 80.6lm</t>
  </si>
  <si>
    <t>INR 157.92</t>
  </si>
  <si>
    <t>ACH-RD-CH-0569</t>
  </si>
  <si>
    <t>932-MIKROE-3710 - Optical Sensor Development Tools Texas Instruments, Vishay Semiconductor Opto DivisionSN74LVC125ARGYR</t>
  </si>
  <si>
    <t>INR 976.80</t>
  </si>
  <si>
    <t>ACH-RD-CH-0570</t>
  </si>
  <si>
    <t>556-ATSHA204A-SSHDAT - Security ICs / Authentication ICs CryptAuthEE SHA256 TWI</t>
  </si>
  <si>
    <t>INR 50.47</t>
  </si>
  <si>
    <t>ACH-EN-EL-0156</t>
  </si>
  <si>
    <t>71-WSL2010R2500FEA - Current Sense Resistors - SMD 1/2watt .25ohms 1%</t>
  </si>
  <si>
    <t>INR 51.28</t>
  </si>
  <si>
    <t>ACH-EN-EL-0157</t>
  </si>
  <si>
    <t>71-WSL2010R2100FEA - Current Sense Resistors - SMD WSL-2010 .21 1% EA e3</t>
  </si>
  <si>
    <t>INR 62.68</t>
  </si>
  <si>
    <t>ACH-EN-EL-0158</t>
  </si>
  <si>
    <t>652-CRL2010FWR220ELF - Current Sense Resistors - SMD 0.22ohm 1%</t>
  </si>
  <si>
    <t>INR 37.44</t>
  </si>
  <si>
    <t>ACH-EN-EL-0159</t>
  </si>
  <si>
    <t>652-CRL2010FWR240ELF - Current Sense Resistors - SMD 0.24ohm 1%</t>
  </si>
  <si>
    <t>ACH-EN-OP-0019</t>
  </si>
  <si>
    <t>Bandpass Filter 650nm</t>
  </si>
  <si>
    <t>INR 2805.40</t>
  </si>
  <si>
    <t>Shenghen</t>
  </si>
  <si>
    <t>ACH-RD-CH-0571</t>
  </si>
  <si>
    <t>P045XXX250X300X - mdi Absorbent Pad -Type: AP045, Size: 250x300mm</t>
  </si>
  <si>
    <t>INR 89.00</t>
  </si>
  <si>
    <t>ACH-RD-CH-0572</t>
  </si>
  <si>
    <t>P120XXX250X300X - Absorbent Pad -Type: AP-120, Size: 250x300mm</t>
  </si>
  <si>
    <t>INR 290.00</t>
  </si>
  <si>
    <t>ACH-GN-IT-0017</t>
  </si>
  <si>
    <t>M.2 2280 - 2TB PCIe NVMe CLASS 40 SSD</t>
  </si>
  <si>
    <t>INR 8800.00</t>
  </si>
  <si>
    <t>ACH-EN-EL-0160</t>
  </si>
  <si>
    <t>4574 - SOIC20/TSSOP20/SSOP20 Adapter PCB</t>
  </si>
  <si>
    <t>INR 22.42</t>
  </si>
  <si>
    <t>ACH-RD-CH-0573</t>
  </si>
  <si>
    <t>1208 - 8 Pin 0.65/1.27mm ICs Adapter PCB</t>
  </si>
  <si>
    <t>INR 14.16</t>
  </si>
  <si>
    <t>ACH-EN-EL-0161</t>
  </si>
  <si>
    <t>4658 - SOT223 / SOT89 - SMD Adapter PCB</t>
  </si>
  <si>
    <t>INR 15.00</t>
  </si>
  <si>
    <t>ACH-EN-EL-0162</t>
  </si>
  <si>
    <t>4654 - SOT23 SMD Adapter PCB</t>
  </si>
  <si>
    <t>ACH-RD-CH-0574</t>
  </si>
  <si>
    <t>4837 - Wire Stripper</t>
  </si>
  <si>
    <t>INR 320.00</t>
  </si>
  <si>
    <t>ACH-EN-EL-0163</t>
  </si>
  <si>
    <t>6040 - Tactile Switch SMD 3x4x2.5mm ALPS SKRP Series</t>
  </si>
  <si>
    <t>INR 5.02</t>
  </si>
  <si>
    <t>ACH-EN-EL-0164</t>
  </si>
  <si>
    <t>5256 - Slide Switch - 8.6mm - Vertical 1P2T</t>
  </si>
  <si>
    <t>INR 11.80</t>
  </si>
  <si>
    <t>ACH-EN-EL-0165</t>
  </si>
  <si>
    <t>5831 - Tactile Switch 6x6x13mm</t>
  </si>
  <si>
    <t>INR 4.75</t>
  </si>
  <si>
    <t>ACH-EN-EL-0166</t>
  </si>
  <si>
    <t>5858 - Mini Toggle Switch MTS102</t>
  </si>
  <si>
    <t>ACH-EN-EL-0167</t>
  </si>
  <si>
    <t>5828 - Tactile Switch 6x6x8mm</t>
  </si>
  <si>
    <t>INR 3.54</t>
  </si>
  <si>
    <t>ACH-EN-EL-0168</t>
  </si>
  <si>
    <t>5085 - IRFZ44N TO220 N-CH MOSFET</t>
  </si>
  <si>
    <t>ACH-RD-CH-0575</t>
  </si>
  <si>
    <t>6392 - Heat Sink Compound - 10gm</t>
  </si>
  <si>
    <t>ACH-EN-EL-0169</t>
  </si>
  <si>
    <t>3871 - Relay 5V - PCB Mount</t>
  </si>
  <si>
    <t>INR 28.00</t>
  </si>
  <si>
    <t>ACH-EN-EL-0170</t>
  </si>
  <si>
    <t>5724 - LED holder for 3mm T1 LEDs - Snap Panel Mount - Black Plastic</t>
  </si>
  <si>
    <t>ACH-EN-EL-0171</t>
  </si>
  <si>
    <t>6318 - 7 pin JST PH 2.0mm Through Hole Header Vertical Straight Top Entry</t>
  </si>
  <si>
    <t>INR 6.50</t>
  </si>
  <si>
    <t>ACH-EN-EL-0172</t>
  </si>
  <si>
    <t>6324 - 4 pin JST PH 2.0mm Through Hole Header Horizontal Right Angle Side Entry</t>
  </si>
  <si>
    <t>ACH-EN-EL-0173</t>
  </si>
  <si>
    <t>6315 - 4 pin JST PH 2.0mm Through Hole Header Vertical Straight Top Entry</t>
  </si>
  <si>
    <t>ACH-EN-EL-0174</t>
  </si>
  <si>
    <t>6345 - 6 pin JST PH 2.0mm SMT Header Horizontal Right Angle Side Entry</t>
  </si>
  <si>
    <t>ACH-EN-EL-0175</t>
  </si>
  <si>
    <t>6372 - 6 pin JST PH 2.0mm One side Female 30cm</t>
  </si>
  <si>
    <t>INR 18.00</t>
  </si>
  <si>
    <t>ACH-EN-EL-0176</t>
  </si>
  <si>
    <t>42SHD4003-8B1H - NEMA 17 Stepper Motor</t>
  </si>
  <si>
    <t>INR 373.50</t>
  </si>
  <si>
    <t>ACH-EN-EL-0177</t>
  </si>
  <si>
    <t>B20SHD4359-C191 - NEMA11 Captive Linear Stepper Motor</t>
  </si>
  <si>
    <t>INR 2739.00</t>
  </si>
  <si>
    <t>Guangzhou FUDE Electronic Technology Co., Ltd</t>
  </si>
  <si>
    <t>ACH-EN-SP-0021</t>
  </si>
  <si>
    <t>Recharging of ABC 6 Kg</t>
  </si>
  <si>
    <t>INR 650.00</t>
  </si>
  <si>
    <t>Sameeksha Life Safety Equipments India Pvt. Ltd</t>
  </si>
  <si>
    <t>ACH-EN-SP-0022</t>
  </si>
  <si>
    <t>Recharging of ABC 2 Kg</t>
  </si>
  <si>
    <t>ACH-EN-SP-0023</t>
  </si>
  <si>
    <t>Recharging of ABC 1 Kg</t>
  </si>
  <si>
    <t>ACH-RD-BG-0009</t>
  </si>
  <si>
    <t>Advantage Typhi IgM &amp; IgG Card</t>
  </si>
  <si>
    <t>ACH-RD-CH-0576</t>
  </si>
  <si>
    <t>KZMC037 - Respiratory Verification Panel Quality Control Pack size 6x 1.5 ml Storage and Shipping +2Â° to +8Â° C</t>
  </si>
  <si>
    <t>INR 12200.00</t>
  </si>
  <si>
    <t>ACH-RD-CH-0577</t>
  </si>
  <si>
    <t>KZMC034 - RSV Rapid Test Control, Pack size 2x 1.5 ml, Storage and Shipping +2Â° to +8Â°</t>
  </si>
  <si>
    <t>ACH-RD-BG-0010</t>
  </si>
  <si>
    <t>18/244 Human Chorionic Gonadotropin (hCG) (6th International Standard)</t>
  </si>
  <si>
    <t>INR 15876.00</t>
  </si>
  <si>
    <t>ACH-RD-BG-0011</t>
  </si>
  <si>
    <t>16/190 Mullerian Inhibiting Substance/Anti-Mullerian Hormone, human, recombinant (WHO reference Reagent)</t>
  </si>
  <si>
    <t>ACH-RD-CH-0578</t>
  </si>
  <si>
    <t>Multi Combination Rack Polypropylene Test Tube Rack (80 Multicolor)</t>
  </si>
  <si>
    <t>ACH-RD-KT-0040</t>
  </si>
  <si>
    <t>Vidas TSH Test</t>
  </si>
  <si>
    <t>INR 68.00</t>
  </si>
  <si>
    <t>Prism Medical Services</t>
  </si>
  <si>
    <t>ACH-RD-KT-0041</t>
  </si>
  <si>
    <t>Vidas T4 Test</t>
  </si>
  <si>
    <t>ACH-RD-CH-0579</t>
  </si>
  <si>
    <t>Vidas T3 Test</t>
  </si>
  <si>
    <t>ACH-RD-KT-0042</t>
  </si>
  <si>
    <t>Vidas LH Test</t>
  </si>
  <si>
    <t>INR 128.00</t>
  </si>
  <si>
    <t>ACH-RD-CH-0580</t>
  </si>
  <si>
    <t>Vidas FSH Test</t>
  </si>
  <si>
    <t>ACH-RD-CH-0581</t>
  </si>
  <si>
    <t>Vidas PROLACTIN Test</t>
  </si>
  <si>
    <t>ACH-RD-CH-0582</t>
  </si>
  <si>
    <t>Vidas PROCALCITONIN Test</t>
  </si>
  <si>
    <t>INR 980.00</t>
  </si>
  <si>
    <t>ACH-RD-CH-0583</t>
  </si>
  <si>
    <t>CRP Tests Boditech - South Korea</t>
  </si>
  <si>
    <t>ACH-MF-LB-0002</t>
  </si>
  <si>
    <t>Sticker ACHIRA - 14.7mm Dia-DOME KEY-V200</t>
  </si>
  <si>
    <t>ACH-RD-CM-0129</t>
  </si>
  <si>
    <t>3123 000 217 -Eppendorf ResearchÂ® plus Single channel 0.1-2.5uL</t>
  </si>
  <si>
    <t>INR 15350.00</t>
  </si>
  <si>
    <t>Shree Kateel Products</t>
  </si>
  <si>
    <t>ACH-RD-CM-0130</t>
  </si>
  <si>
    <t>523090 - Cryo Tags 38 x 19 Mm</t>
  </si>
  <si>
    <t>INR 4.578</t>
  </si>
  <si>
    <t>ACH-MF-CM-0066</t>
  </si>
  <si>
    <t>CLS4151 - Corning Deckworks Low binding tips : 1-200uL low binding pipet tips - 96 tips/rack</t>
  </si>
  <si>
    <t>INR 5.61849</t>
  </si>
  <si>
    <t>ACH-RD-CH-0584</t>
  </si>
  <si>
    <t>P1754 - Tween 80</t>
  </si>
  <si>
    <t>INR 0.147408</t>
  </si>
  <si>
    <t>ACH-RD-CH-0585</t>
  </si>
  <si>
    <t>C Reactive Protein (CRP)</t>
  </si>
  <si>
    <t>INR 1.9425</t>
  </si>
  <si>
    <t>ACH-RD-CM-0131</t>
  </si>
  <si>
    <t>9914-2502 - Uniflo Syringe Filters with PES Membrane, 0.2 Î¼m, 25 mm, Sterile,</t>
  </si>
  <si>
    <t>INR 70.4444</t>
  </si>
  <si>
    <t>ACH-RD-CM-0132</t>
  </si>
  <si>
    <t>9914-2504 - Uniflo Syringe Filters with PES Membrane, 0.45 Î¼m, 25 mm, Sterile,</t>
  </si>
  <si>
    <t>ACH-RD-CM-0133</t>
  </si>
  <si>
    <t>0030076214 - epT.I.P.S.Â® Box 2.0, Eppendorf Quality, 0.1 â€“ 5 mL, 120 mm, violet, colorless tips, 1 reusable box Ã— 24 tip</t>
  </si>
  <si>
    <t>INR 3318.40</t>
  </si>
  <si>
    <t>ACH-RD-CH-0586</t>
  </si>
  <si>
    <t>GBNFWND02/02F - Nuclease Free Water (Non DEPC Treated)</t>
  </si>
  <si>
    <t>Genexis Biotech Pvt Ltd</t>
  </si>
  <si>
    <t>ACH-RD-CH-0587</t>
  </si>
  <si>
    <t>Supply Of Part Laser Cutting</t>
  </si>
  <si>
    <t>INR 11.00</t>
  </si>
  <si>
    <t>ACH-RD-CM-0134</t>
  </si>
  <si>
    <t>514-1263 - PES Syringe Filter 0.22um 25mm Sterile</t>
  </si>
  <si>
    <t>INR 42.46</t>
  </si>
  <si>
    <t>ACH-RD-CH-0588</t>
  </si>
  <si>
    <t>STHT10323-800 18 mm Plastic Slide Lock Snap-Off Knife for Home &amp; Professional Use, YELLOW &amp; BLACK</t>
  </si>
  <si>
    <t>INR 53.39</t>
  </si>
  <si>
    <t>ACH-RD-CM-0135</t>
  </si>
  <si>
    <t>Surgical Blade Carbon Steel Scalpel Blades No-11 for Medical Industrial and Craft Use</t>
  </si>
  <si>
    <t>INR 4.80</t>
  </si>
  <si>
    <t>ACH-MF-CM-0067</t>
  </si>
  <si>
    <t>KimwipesÂ® Delicate Equipment Wiping Cloth, Anti Stat, Low Lint, 280 Sheets, Labs &amp; General Purpose Wipes (34155-00)</t>
  </si>
  <si>
    <t>INR 168.64</t>
  </si>
  <si>
    <t>ACH-RD-CH-0589</t>
  </si>
  <si>
    <t>Soy Lecithin Powder</t>
  </si>
  <si>
    <t>INR 0.002097</t>
  </si>
  <si>
    <t>ACH-EN-EQ-0024</t>
  </si>
  <si>
    <t>VCX-750A-220 - â€˜â€™Sonics and Materialsâ€™â€™, U.S.A. 01 No. 6,10,000 VCX-750A-220 ULTRASONIC PROCESSOR, 750 watt Ultrasonic Processor, 220V, CV-334 Converter, probe not included</t>
  </si>
  <si>
    <t>INR 610000.00</t>
  </si>
  <si>
    <t>ACH-EN-SP-0024</t>
  </si>
  <si>
    <t>Service Contract - Spincotech Lyophilizer</t>
  </si>
  <si>
    <t>INR 100000.00</t>
  </si>
  <si>
    <t>ACH-EN-EL-0178</t>
  </si>
  <si>
    <t>Y14 - Printed Circuit Board</t>
  </si>
  <si>
    <t>INR 51.46</t>
  </si>
  <si>
    <t>ACH-RD-CH-0590</t>
  </si>
  <si>
    <t>Red l shape 90 degree Short Usb Cable type C Cable Fast Charging Type C short cable fast charging small Nylon braided cord wire 25cm for power bank smart phone android Galaxy</t>
  </si>
  <si>
    <t>INR 286.78</t>
  </si>
  <si>
    <t>ACH-RD-CH-0591</t>
  </si>
  <si>
    <t>Hammer, 100g | 45# Carbon Steel, Drop-forged Hammerhead, Heat treatment Hammer, INGCO Style Fiberglass Handle, Hand Hammer for Machinists, Carpenters, Construction, Woodworking</t>
  </si>
  <si>
    <t>INR 206.78</t>
  </si>
  <si>
    <t>ACH-RD-CH-0592</t>
  </si>
  <si>
    <t>BS-02 8-in-1 Pc Screw Driver Kit With 3 Flat Blades, 3 Phillips Head, 1 Round Poker Bar, Extension Rod| Multi-purpose Tool Set Screwdriver Set (Multicolor)</t>
  </si>
  <si>
    <t>ACH-EN-ME-0102</t>
  </si>
  <si>
    <t>MSC2.5-10 - Dowel, Positive Tolerance, End Shape: One Side Tapered, One Side Spherical, Fit Tolerance: +0.01/+0.005</t>
  </si>
  <si>
    <t>INR 48.83</t>
  </si>
  <si>
    <t>ACH-RD-CH-0593</t>
  </si>
  <si>
    <t>870205 - Sunon 6010 12VDC 1.42W Cooling Fan</t>
  </si>
  <si>
    <t>INR 299.00</t>
  </si>
  <si>
    <t>ACH-EN-EL-0179</t>
  </si>
  <si>
    <t>997534 - RP2040 Microcontroller IC by Raspberry PI</t>
  </si>
  <si>
    <t>INR 59.00</t>
  </si>
  <si>
    <t>ACH-EN-EL-0180</t>
  </si>
  <si>
    <t>615197 - 5*20mm 250V 10A Glass Tube Fuse</t>
  </si>
  <si>
    <t>INR 5.90</t>
  </si>
  <si>
    <t>ACH-RD-FL-0045</t>
  </si>
  <si>
    <t>AUCN40 - NanoXact Gold NanosPheres -</t>
  </si>
  <si>
    <t>INR 0.269</t>
  </si>
  <si>
    <t>ACH-EN-EL-0181</t>
  </si>
  <si>
    <t>Raspberry Pi Compute Module 4 - CM4108032 - 8GB RAM / 32GB MMC &amp; WiFi - CM4108032 - 8GB RAM / 32GB MMC &amp; WiFi - SBC1043</t>
  </si>
  <si>
    <t>INR 13499.99</t>
  </si>
  <si>
    <t>ACH-RD-CM-0136</t>
  </si>
  <si>
    <t>B1000D12 -BEAKER 50ML</t>
  </si>
  <si>
    <t>ACH-RD-CM-0137</t>
  </si>
  <si>
    <t>B1501006 - BOTTLE REAGENT N.M WITH SCREW CAP AND POURING RING 10ML</t>
  </si>
  <si>
    <t>ACH-RD-CM-0138</t>
  </si>
  <si>
    <t>T4111 - MAGNETIC STIRRING ROUND BAR WITH PIVOT RING 8 X 22MM PTFE/ALNICO</t>
  </si>
  <si>
    <t>INR 237.06</t>
  </si>
  <si>
    <t>ACH-RD-CM-0139</t>
  </si>
  <si>
    <t>B9910006 - CULTURE TUBES 10ML .F. B, WITH PP SCREW CAP PTFE LINER</t>
  </si>
  <si>
    <t>INR 64.00</t>
  </si>
  <si>
    <t>ACH-RD-CH-0594</t>
  </si>
  <si>
    <t>Lab reagent-Assay Diluent Buffer</t>
  </si>
  <si>
    <t>INR 4.565</t>
  </si>
  <si>
    <t>Ning Bo MaiYue Bio-technology Co.,Ltd</t>
  </si>
  <si>
    <t>ACH-RD-CH-0595</t>
  </si>
  <si>
    <t>Ms-121 Pick Up Tool Vacuum Suction Pen</t>
  </si>
  <si>
    <t>INR 586.45</t>
  </si>
  <si>
    <t>ACH-RD-CH-0596</t>
  </si>
  <si>
    <t>BS0002 - Drive Belt for PHMP</t>
  </si>
  <si>
    <t>INR 7353.00</t>
  </si>
  <si>
    <t>NucleiBio Services LLP</t>
  </si>
  <si>
    <t>ACH-RD-CH-0597</t>
  </si>
  <si>
    <t>PRS-10 - Platform for 10 x 50 ml tubes for PTR-35</t>
  </si>
  <si>
    <t>INR 9599.40</t>
  </si>
  <si>
    <t>ACH-EN-SP-0025</t>
  </si>
  <si>
    <t>003 - One Time Service Charges</t>
  </si>
  <si>
    <t>INR 7250.00</t>
  </si>
  <si>
    <t>ACH-EN-SP-0026</t>
  </si>
  <si>
    <t>Sample Collection Chagres - Malaria</t>
  </si>
  <si>
    <t>ACH-EN-SP-0027</t>
  </si>
  <si>
    <t>Usage Charges - Vertis Genesis Freeze Dryer</t>
  </si>
  <si>
    <t>INR 1100.00</t>
  </si>
  <si>
    <t>ACH-RD-CH-0598</t>
  </si>
  <si>
    <t>FAB-P005-5B2 (B) - HCG-Ab</t>
  </si>
  <si>
    <t>INR 3.32</t>
  </si>
  <si>
    <t>ACH-RD-CH-0599</t>
  </si>
  <si>
    <t>FAB-P005-5C3 (B) - HCG-Ab</t>
  </si>
  <si>
    <t>ACH-RD-CH-0600</t>
  </si>
  <si>
    <t>FAB-P012-2E3 - E2 Ab</t>
  </si>
  <si>
    <t>INR 14.11</t>
  </si>
  <si>
    <t>ACH-RD-CH-0601</t>
  </si>
  <si>
    <t>FAP-PS012 - E2 BSA Ag</t>
  </si>
  <si>
    <t>INR 33.20</t>
  </si>
  <si>
    <t>ACH-RD-CH-0602</t>
  </si>
  <si>
    <t>FAB-P010-5E4 - Prog Ag</t>
  </si>
  <si>
    <t>INR 14.525</t>
  </si>
  <si>
    <t>ACH-RD-CH-0603</t>
  </si>
  <si>
    <t>FAP-PS010 - Prog BSA Ag</t>
  </si>
  <si>
    <t>INR 29.88</t>
  </si>
  <si>
    <t>ACH-RD-BG-0012</t>
  </si>
  <si>
    <t>NR-10150 - Toxoplasma gondii -- ME49 (B7 clone)</t>
  </si>
  <si>
    <t>BEI Resources</t>
  </si>
  <si>
    <t>ACH-RD-BG-0013</t>
  </si>
  <si>
    <t>NR-10151 - Toxoplasma gondii -- CTG ARA-SNF</t>
  </si>
  <si>
    <t>ACH-RD-BG-0014</t>
  </si>
  <si>
    <t>NR-12277 - Influenza A virus -- A/Beijing/262/1995 (H1N1)</t>
  </si>
  <si>
    <t>ACH-RD-BG-0015</t>
  </si>
  <si>
    <t>NR-28528 - Human Respiratory Syncytial Virus -- A1998/12-21</t>
  </si>
  <si>
    <t>ACH-RD-BG-0016</t>
  </si>
  <si>
    <t>NR-28530 - Human Respiratory Syncytial Virus -- A2000/3-4</t>
  </si>
  <si>
    <t>ACH-RD-BG-0017</t>
  </si>
  <si>
    <t>NR-29345 - Candida albicans -- 24C</t>
  </si>
  <si>
    <t>ACH-RD-BG-0018</t>
  </si>
  <si>
    <t>NR-346- Influenza A virus -- A/Hong Kong/8/1968 (H3N2)</t>
  </si>
  <si>
    <t>ACH-RD-BG-0019</t>
  </si>
  <si>
    <t>NR-348 - Influenza A virus -- Influenza A Virus, A/Puerto Rico/8/1934 (H1N1)</t>
  </si>
  <si>
    <t>ACH-RD-BG-0020</t>
  </si>
  <si>
    <t>NR-36197 - Trypanosoma brucei subsp. brucei -- STIB 247</t>
  </si>
  <si>
    <t>ACH-RD-BG-0021</t>
  </si>
  <si>
    <t>NR-41795 - Influenza B virus -- Influenza B Virus, B/Florida/4/2006 (Yamagata Lineage)</t>
  </si>
  <si>
    <t>ACH-RD-BG-0022</t>
  </si>
  <si>
    <t>NR-41802 - Influenza B Virus -- Influenza B Virus, B/Hong Kong/330/2001 (Victoria Lineage)</t>
  </si>
  <si>
    <t>ACH-RD-BG-0023</t>
  </si>
  <si>
    <t>NR-41888 - Staphylococcus epidermidis -- M0881</t>
  </si>
  <si>
    <t>ACH-RD-BG-0024</t>
  </si>
  <si>
    <t>NR-42457 - Bordetella pertussis -- H921</t>
  </si>
  <si>
    <t>ACH-RD-BG-0025</t>
  </si>
  <si>
    <t>NR-48663 - Influenza B Virus -- B/New York/1061/2004 (Yamagata Lineage)</t>
  </si>
  <si>
    <t>ACH-RD-BG-0026</t>
  </si>
  <si>
    <t>NR-48722 - Streptococcus pyogenes -- ABC020061659</t>
  </si>
  <si>
    <t>ACH-RD-BG-0027</t>
  </si>
  <si>
    <t>NR-48822 - Leishmania donovani -- 9515 (MHOM/IN/95/9515)</t>
  </si>
  <si>
    <t>ACH-RD-BG-0028</t>
  </si>
  <si>
    <t>NR-49235 - Influenza A virus -- A/Netherlands/823/1992 (H3N2)</t>
  </si>
  <si>
    <t>ACH-RD-BG-0029</t>
  </si>
  <si>
    <t>NR-515 - Salmonella enterica subsp. enterica -- ATCC&amp;#174 9150&amp;#153 (Serovar Paratyphi-A)</t>
  </si>
  <si>
    <t>ACH-RD-BG-0030</t>
  </si>
  <si>
    <t>NR-53529 - Streptococcus pneumoniae -- STREP2</t>
  </si>
  <si>
    <t>ACH-RD-BG-0031</t>
  </si>
  <si>
    <t>NR-9723 - Influenza B virus -- B/Malaysia/2506/2004 (Victoria Lineage)</t>
  </si>
  <si>
    <t>ACH-EN-ME-0103</t>
  </si>
  <si>
    <t>SHCS - DIN-912, SS-304, M2.5 5x0.45x8</t>
  </si>
  <si>
    <t>INR 9.08</t>
  </si>
  <si>
    <t>ACH-EN-EQ-0025</t>
  </si>
  <si>
    <t>NR3060-AQC - ATC Sprindle, air filter for cooling spindle chambe</t>
  </si>
  <si>
    <t>INR 319550.00</t>
  </si>
  <si>
    <t>Minitech Machinery Corp</t>
  </si>
  <si>
    <t>ACH-EN-EQ-0026</t>
  </si>
  <si>
    <t>QC3-K - Collet Holders for 0.5mm to 6.0mm with CHK type col</t>
  </si>
  <si>
    <t>INR 114125.00</t>
  </si>
  <si>
    <t>ACH-EN-EQ-0027</t>
  </si>
  <si>
    <t>CHK - Set -Typecollet set including 1mm, 2mm, 2.5mm, 3mm st/4</t>
  </si>
  <si>
    <t>INR 31540.00</t>
  </si>
  <si>
    <t>ACH-RD-CH-0604</t>
  </si>
  <si>
    <t>ALN-01 - LOC - Line tubing with nozzle and 6mm shut off val</t>
  </si>
  <si>
    <t>ACH-EN-EQ-0028</t>
  </si>
  <si>
    <t>D5A-3300 - Omron Sensor D5A-3300 USD 375 each</t>
  </si>
  <si>
    <t>INR 31125.00</t>
  </si>
  <si>
    <t>ACH-MF-CT-0010</t>
  </si>
  <si>
    <t>Sticker ACHIRA - TFT</t>
  </si>
  <si>
    <t>ACH-RD-CH-0605</t>
  </si>
  <si>
    <t>UV lamp</t>
  </si>
  <si>
    <t>INR 6650.00</t>
  </si>
  <si>
    <t>M Stars Biomed Engineering</t>
  </si>
  <si>
    <t>ACH-MF-LB-0003</t>
  </si>
  <si>
    <t>Sticker ACHIRA - 21.5mm SINGLE KEY-DOME-V200</t>
  </si>
  <si>
    <t>INR 5.50</t>
  </si>
  <si>
    <t>ACH-EN-ME-0104</t>
  </si>
  <si>
    <t>Supply of 3D Printing Parts - SLA BACK CASING_10-09-2023</t>
  </si>
  <si>
    <t>ACH-EN-ME-0105</t>
  </si>
  <si>
    <t>Supply of 3D Printing Parts - SLA FOOT_10-09-2023</t>
  </si>
  <si>
    <t>ACH-EN-ME-0106</t>
  </si>
  <si>
    <t>Supply of 3D Printing Parts - SLA FRONT CASING_10-09-2023</t>
  </si>
  <si>
    <t>INR 1760.00</t>
  </si>
  <si>
    <t>ACH-EN-ME-0107</t>
  </si>
  <si>
    <t>Supply of 3D Printing Parts - SLA FRONT DISPLAY CASING_10-09-2023</t>
  </si>
  <si>
    <t>ACH-EN-ME-0108</t>
  </si>
  <si>
    <t>Supply of 3D Printing Parts - SLA LEFT SIDE CASING_10-09-2023</t>
  </si>
  <si>
    <t>INR 7095.00</t>
  </si>
  <si>
    <t>ACH-EN-ME-0109</t>
  </si>
  <si>
    <t>Supply of 3D Printing Parts - SLA LH-GUIDE TRAY_10-09-2023</t>
  </si>
  <si>
    <t>ACH-EN-ME-0110</t>
  </si>
  <si>
    <t>Supply of 3D Printing Parts - SLA LH-TRAY STOPER_10-09-2023</t>
  </si>
  <si>
    <t>ACH-EN-ME-0111</t>
  </si>
  <si>
    <t>Supply of 3D Printing Parts - SLA PCB_MOUNTING SPACER_10-09-2023</t>
  </si>
  <si>
    <t>ACH-EN-EL-0182</t>
  </si>
  <si>
    <t>Supply of 3D Printing Parts - SLA PHOTOTRANSISTOR MOUNT_10-09- 2023</t>
  </si>
  <si>
    <t>ACH-EN-ME-0112</t>
  </si>
  <si>
    <t>Supply of 3D Printing Parts - SLA RH-GUIDE TRAY_10-09-2023</t>
  </si>
  <si>
    <t>ACH-EN-ME-0113</t>
  </si>
  <si>
    <t>Supply of 3D Printing Parts - SLA RH-TRAY STOPER_10-09-2023</t>
  </si>
  <si>
    <t>ACH-EN-ME-0114</t>
  </si>
  <si>
    <t>Supply of 3D Printing Parts - SLA RIGHT SIDE CASING_10-09-2023</t>
  </si>
  <si>
    <t>INR 7040.00</t>
  </si>
  <si>
    <t>ACH-EN-ME-0115</t>
  </si>
  <si>
    <t>Supply of 3D Printing Parts - SLA TOP CASING_10-09-2023</t>
  </si>
  <si>
    <t>INR 4510.00</t>
  </si>
  <si>
    <t>ACH-EN-ME-0116</t>
  </si>
  <si>
    <t>Supply of 3D Printing Parts - SLA TRAY _CARTRIDGE_10-09-2023</t>
  </si>
  <si>
    <t>INR 2365.00</t>
  </si>
  <si>
    <t>ACH-EN-ME-0117</t>
  </si>
  <si>
    <t>Supply of 3D Printing Parts - SLA TRAY EJECTOR_10-09-2023</t>
  </si>
  <si>
    <t>ACH-EN-ME-0118</t>
  </si>
  <si>
    <t>Supply of 3D Printing Parts - SLA Z-AXIS SUPPORT_10-09-2023</t>
  </si>
  <si>
    <t>ACH-MF-CT-0011</t>
  </si>
  <si>
    <t>Adhesive - 3M - 300 LSE - 93010LE</t>
  </si>
  <si>
    <t>ACH-MF-PM-0012</t>
  </si>
  <si>
    <t>Silica Gel 1 Gram Pouch</t>
  </si>
  <si>
    <t>INR 1.4011</t>
  </si>
  <si>
    <t>ACH-EN-EQ-0029</t>
  </si>
  <si>
    <t>8 Inch Sealing Machine with 1 Year Warranty, Beep Sound Function, Plastic Packing Machine, Pepsi Pouch Sealing Machine, Heat Sealer Machine, Plastic Pouch Sealing Machine (Blue)</t>
  </si>
  <si>
    <t>INR 926.27</t>
  </si>
  <si>
    <t>ACH-RD-CH-0606</t>
  </si>
  <si>
    <t>A4 Full Page Large Magnifying Glass Hands-Free Full-Page 3X Magnifier 4 LED Lighted Illuminated Foldable Desktop Portable for Elder Kids</t>
  </si>
  <si>
    <t>INR 996.51</t>
  </si>
  <si>
    <t>ACH-RD-CH-0607</t>
  </si>
  <si>
    <t>Fibreglass Handle Club Hammer, 800g</t>
  </si>
  <si>
    <t>INR 634.75</t>
  </si>
  <si>
    <t>ACH-EN-ME-0119</t>
  </si>
  <si>
    <t>70-482 8'' Sturdy Steel Combination Plier with Anti-Rust properties for gripping, holding and cutting wires, YELLOW &amp; BLACK</t>
  </si>
  <si>
    <t>INR 211.86</t>
  </si>
  <si>
    <t>ACH-RD-CH-0608</t>
  </si>
  <si>
    <t>High Quality Oxygen Gas Cylinder Valve Key and Wrenchã€_x0090_Spannerã€‘ Industrial and Medical Purpose</t>
  </si>
  <si>
    <t>INR 384.75</t>
  </si>
  <si>
    <t>ACH-RD-CH-0609</t>
  </si>
  <si>
    <t>Wide Jaw Adjustable Wrench, with Chrome Vanadium Steel, phosphate coated finish (10 inch)</t>
  </si>
  <si>
    <t>INR 506.78</t>
  </si>
  <si>
    <t>ACH-GN-IT-0018</t>
  </si>
  <si>
    <t>Crucial BX500 240GB 3D NAND SATA 6.35 cm (2.5-inch) SSD (CT240BX500SSD1</t>
  </si>
  <si>
    <t>INR 1266.95</t>
  </si>
  <si>
    <t>ACH-RD-KT-0043</t>
  </si>
  <si>
    <t>SOFTEC Combo Test Kit- (Covid-19+ Flu A/B + RSV test kit)</t>
  </si>
  <si>
    <t>INR 136.95</t>
  </si>
  <si>
    <t>ZET medik al tekstil dÄ±ÅŸ tic ltd sti</t>
  </si>
  <si>
    <t>ACH-MF-CT-0012</t>
  </si>
  <si>
    <t>Base Lower Lamination - Material 3M - 9793R Sz. 40*35</t>
  </si>
  <si>
    <t>Image Labels Pvt. Ltd</t>
  </si>
  <si>
    <t>ACH-MF-CT-0013</t>
  </si>
  <si>
    <t>Top Plate Lamination - Material 3M - 9793R Sz. 70*40</t>
  </si>
  <si>
    <t>ACH-RD-CH-0610</t>
  </si>
  <si>
    <t>Dome Double Sided Sticker 2 - Material 3M - F412 Sz. 14.7*14.7</t>
  </si>
  <si>
    <t>ACH-MF-CT-0014</t>
  </si>
  <si>
    <t>PMMA Plates Lamination Double Sided - Material 3M - F412 Sz. 74*40</t>
  </si>
  <si>
    <t>ACH-MF-CT-0015</t>
  </si>
  <si>
    <t>Base Upper Lamination - Material 3M - 9793R Sz. 74*40</t>
  </si>
  <si>
    <t>ACH-MF-CT-0016</t>
  </si>
  <si>
    <t>Base Lower Lamination - Die Cut</t>
  </si>
  <si>
    <t>ACH-MF-CT-0017</t>
  </si>
  <si>
    <t>Top Plate Lamination - Die Cut</t>
  </si>
  <si>
    <t>ACH-RD-CH-0611</t>
  </si>
  <si>
    <t>Dome Double Sided Sticker 2 - Die Cut</t>
  </si>
  <si>
    <t>ACH-RD-CH-0612</t>
  </si>
  <si>
    <t>PMMA Plates Laimination Double Sided - Die Cut</t>
  </si>
  <si>
    <t>ACH-MF-CT-0018</t>
  </si>
  <si>
    <t>Base Upper Lamination - Die Cut</t>
  </si>
  <si>
    <t>ACH-RD-CH-0613</t>
  </si>
  <si>
    <t>12x12 Strong-Grip Craft Cutting Mat for Silhouette Cameo 3/2/1(3 Pack), Monicut Cut Mats with Durable Adhesive Non-Slip PVC Perfect for Quilting, Scrapbooking, Sewing and All Arts</t>
  </si>
  <si>
    <t>INR 1061.553333</t>
  </si>
  <si>
    <t>ACH-EN-EQ-0030</t>
  </si>
  <si>
    <t>ADP-S3EL-EVA-X - AdVantage Pro Freeze Dryer</t>
  </si>
  <si>
    <t>INR 3427900.00</t>
  </si>
  <si>
    <t>Genevac Limited</t>
  </si>
  <si>
    <t>ACH-EN-EQ-0031</t>
  </si>
  <si>
    <t>AVP-HP - High Performance rotary vane vacuum pump kit,</t>
  </si>
  <si>
    <t>INR 351920.00</t>
  </si>
  <si>
    <t>ACH-EN-EQ-0032</t>
  </si>
  <si>
    <t>ADP-TRB-LP - Removable bottom 316 stainless steel trays 10" (25.4) x 14" (35.6 cm) x 0.75" (1.91cm)</t>
  </si>
  <si>
    <t>INR 33034.00</t>
  </si>
  <si>
    <t>ACH-EN-EQ-0033</t>
  </si>
  <si>
    <t>ADP-SL3-2 - AdVantage Pro Shelf Latching kit converts system from 3 shelf to 2 shelf with shelf inter distance of 2.56" (65 mm). Stoppering only</t>
  </si>
  <si>
    <t>INR 19090.00</t>
  </si>
  <si>
    <t>ACH-RD-CH-0614</t>
  </si>
  <si>
    <t>Western Digital WD Green SATA 240GB, Up to 545MB/s, 2.5 Inch/7 mm, 3Y Warranty, Internal Solid State Drive (SSD) (WDS240G3G0A)</t>
  </si>
  <si>
    <t>INR 1138.14</t>
  </si>
  <si>
    <t>ACH-RD-CH-0615</t>
  </si>
  <si>
    <t>Car Brake Bleeder Clutch Bleed Bleeding One Way Valve Tube Kit Practical</t>
  </si>
  <si>
    <t>INR 2690.00</t>
  </si>
  <si>
    <t>ACH-RD-CH-0616</t>
  </si>
  <si>
    <t>SW-40 4-AT Full Synthetic Engine Oil for Scooter (800 ML) | BS VI Ready &amp; Castrol Engine Shampoo for Two Wheelers (70 ML) Super Saver Pack with free engine shampoo Visit the Castrol Store</t>
  </si>
  <si>
    <t>INR 481.25</t>
  </si>
  <si>
    <t>ACH-RD-CH-0617</t>
  </si>
  <si>
    <t>1 Set Metric Feeler Filler Gauge with 20 Blades Feeler Valves Measure Tool</t>
  </si>
  <si>
    <t>INR 241.53</t>
  </si>
  <si>
    <t>ACH-RD-CM-0140</t>
  </si>
  <si>
    <t>Dispovan 22Gx1 Needle/medical needle/hypodermic needle</t>
  </si>
  <si>
    <t>INR 1.9464</t>
  </si>
  <si>
    <t>ACH-GN-IT-0019</t>
  </si>
  <si>
    <t>3M Computer Power Cable Cord for Desktops PC and Printers/Monitor SMPS Power Cable IEC Mains Power Cable Black</t>
  </si>
  <si>
    <t>INR 239.83</t>
  </si>
  <si>
    <t>ACH-RD-CH-0618</t>
  </si>
  <si>
    <t>All Gear EP 80W90 Gear Oil for Cars</t>
  </si>
  <si>
    <t>INR 294.92</t>
  </si>
  <si>
    <t>ACH-RD-CM-0141</t>
  </si>
  <si>
    <t>Scalpel Handle/BP HANDLE/Surgical Blade Handle 4 NO</t>
  </si>
  <si>
    <t>INR 177.68</t>
  </si>
  <si>
    <t>ACH-RD-CM-0142</t>
  </si>
  <si>
    <t>3123000225 - Eppendorf ResearchÂ® plus BASIC, 1-channel, variable, without epT.I.P.S.Â® Box, 0.5 â€“ 10 Î¼L, gray.</t>
  </si>
  <si>
    <t>ACH-RD-CM-0143</t>
  </si>
  <si>
    <t>3123000241 - Eppendorf ResearchÂ® plus BASIC, 1-channel, variable, without epT.I.P.S.Â® Box, 10 â€“ 100 Î¼L, yellow</t>
  </si>
  <si>
    <t>ACH-RD-CM-0144</t>
  </si>
  <si>
    <t>3123000250 - Eppendorf ResearchÂ® plus BASIC, 1-channel, variable, without epT.I.P.S.Â® Box, 20 â€“ 200 Î¼L, yellow</t>
  </si>
  <si>
    <t>ACH-RD-CM-0145</t>
  </si>
  <si>
    <t>3123000268 - Eppendorf ResearchÂ® plus BASIC, 1-channel, variable, without epT.I.P.S.Â® Box, 100 â€“ 1,000 Î¼L,</t>
  </si>
  <si>
    <t>ACH-EN-EQ-0034</t>
  </si>
  <si>
    <t>4987000371 - Multipette E3 bundle with charger, stand 1-channel incl. charging cable, charger stand 2 and Combtips advanced assortment pack (1 tip of each size) 1ul - 50mL</t>
  </si>
  <si>
    <t>INR 75790.00</t>
  </si>
  <si>
    <t>ACH-RD-CH-0619</t>
  </si>
  <si>
    <t>0030089650 - CombitipsÂ® advanced, BiopurÂ®, green, colorless tips, individually blister-wrapped</t>
  </si>
  <si>
    <t>INR 125.255</t>
  </si>
  <si>
    <t>ACH-RD-CH-0620</t>
  </si>
  <si>
    <t>0030089677 - CombitipsÂ® advanced, BiopurÂ®, orange, colorless tips, individually blisterwrapped</t>
  </si>
  <si>
    <t>ACH-EN-EQ-0035</t>
  </si>
  <si>
    <t>FKG 1000SG - (1020 ltrs, 47x28x78, 2Â°C ~ 8Â°C, 550 Watts, 10 Baskets, 2 Doors, R 134a)</t>
  </si>
  <si>
    <t>INR 91000.00</t>
  </si>
  <si>
    <t>ACH-RD-CH-0621</t>
  </si>
  <si>
    <t>SRL-60452 - Acrylic acid (pure)</t>
  </si>
  <si>
    <t>INR 0.001185</t>
  </si>
  <si>
    <t>ACH-EN-EL-0183</t>
  </si>
  <si>
    <t>Y17 - Printed Circuit Board</t>
  </si>
  <si>
    <t>ACH-EN-EL-0184</t>
  </si>
  <si>
    <t>Y18 - Printed Circuit Board</t>
  </si>
  <si>
    <t>INR 83.00</t>
  </si>
  <si>
    <t>ACH-EN-EL-0185</t>
  </si>
  <si>
    <t>Y22 - Printed Circuit Board</t>
  </si>
  <si>
    <t>INR 529.54</t>
  </si>
  <si>
    <t>ACH-EN-EL-0186</t>
  </si>
  <si>
    <t>SMT02309151395322 - Circuit Board Assembly Module</t>
  </si>
  <si>
    <t>INR 425.292</t>
  </si>
  <si>
    <t>ACH-EN-EL-0187</t>
  </si>
  <si>
    <t>SMT02309151395449- Circuit Board Assembly Module</t>
  </si>
  <si>
    <t>INR 474.262</t>
  </si>
  <si>
    <t>ACH-EN-EL-0188</t>
  </si>
  <si>
    <t>SMT02309151395645- Circuit Board Assembly Module</t>
  </si>
  <si>
    <t>INR 1024.552</t>
  </si>
  <si>
    <t>ACH-EN-EL-0189</t>
  </si>
  <si>
    <t>SMT02309151395803- Circuit Board Assembly Module</t>
  </si>
  <si>
    <t>INR 4610.982</t>
  </si>
  <si>
    <t>ACH-EN-EL-0190</t>
  </si>
  <si>
    <t>81-BLM31PG330SZ1L - Ferrite Beads</t>
  </si>
  <si>
    <t>ACH-RD-CH-0622</t>
  </si>
  <si>
    <t>454-W25Q16JVSNIQ - NOR Flash spiFlash, 3V, 16M-bit, 4Kb Uniform Sector</t>
  </si>
  <si>
    <t>INR 36.87</t>
  </si>
  <si>
    <t>ACH-EN-EL-0191</t>
  </si>
  <si>
    <t>621-AZ1117CH2-33TRG1 - LDO Voltage Regulators LDO BJT HiCurr SOT223 T&amp;R 4K</t>
  </si>
  <si>
    <t>INR 21.16</t>
  </si>
  <si>
    <t>ACH-EN-EL-0192</t>
  </si>
  <si>
    <t>652-CR0603FX-1002ELF - Thick Film Resistors - SMD 10K 1% 1/10W</t>
  </si>
  <si>
    <t>INR 0.407</t>
  </si>
  <si>
    <t>ACH-EN-EL-0193</t>
  </si>
  <si>
    <t>660-RK73B1JTTD151J - Thick Film Resistors - SMD 1/8watts 150ohms 5%</t>
  </si>
  <si>
    <t>INR 0.326</t>
  </si>
  <si>
    <t>ACH-RD-CH-0623</t>
  </si>
  <si>
    <t>640-USB4145-3-0230-C - USB Connectors USB-C Rec 3u" Vert 16P SMT 2.3mm TH stakes H7.46mm T+R+Cap</t>
  </si>
  <si>
    <t>INR 70.98</t>
  </si>
  <si>
    <t>ACH-RD-CH-0624</t>
  </si>
  <si>
    <t>571-440055-3 - Headers &amp; Wire Housings 3 POS HDR R/A 2.0mm</t>
  </si>
  <si>
    <t>INR 16.69</t>
  </si>
  <si>
    <t>ACH-EN-EL-0194</t>
  </si>
  <si>
    <t>497-IE122305-7 - Piezo Buzzers &amp; Audio Indicators Electro-Mechanical Indicato</t>
  </si>
  <si>
    <t>INR 159.94</t>
  </si>
  <si>
    <t>ACH-RD-CH-0625</t>
  </si>
  <si>
    <t>621-AL8843SP-13 - LED Lighting Drivers LED MV Int Switch</t>
  </si>
  <si>
    <t>INR 70.00</t>
  </si>
  <si>
    <t>ACH-RD-CH-0626</t>
  </si>
  <si>
    <t>621-B360B-F - Schottky Diodes &amp; Rectifiers 60V 3A</t>
  </si>
  <si>
    <t>INR 30.93</t>
  </si>
  <si>
    <t>ACH-EN-EL-0195</t>
  </si>
  <si>
    <t>710-744770182 - Power Inductors - SMD WE-PD 82uH 2.25A DCR=160mOhms AEC-Q200</t>
  </si>
  <si>
    <t>INR 195.36</t>
  </si>
  <si>
    <t>ACH-EN-EL-0196</t>
  </si>
  <si>
    <t>80-C0805X104J1RCAUTO - Multilayer Ceramic Capacitors MLCC - SMD/SMT 100V 0.1uF X7R 0805 5% AEC-Q200</t>
  </si>
  <si>
    <t>INR 30.28</t>
  </si>
  <si>
    <t>ACH-EN-EL-0197</t>
  </si>
  <si>
    <t>80-C1206X105J1R - Multilayer Ceramic Capacitors MLCC - SMD/SMT 100V 1uF X7R 1206 5% Flex Soft</t>
  </si>
  <si>
    <t>INR 22.22</t>
  </si>
  <si>
    <t>ACH-EN-EL-0198</t>
  </si>
  <si>
    <t>187-CL32B475KBUYNNE - Multilayer Ceramic Capacitors MLCC - SMD/SMT 4.7uF+/-10% 50V X7R 1210</t>
  </si>
  <si>
    <t>INR 20.68</t>
  </si>
  <si>
    <t>ACH-EN-EL-0199</t>
  </si>
  <si>
    <t>603-RC1206FR-070RL - Thick Film Resistors - SMD 0 Ohms 250 mW 1206 1%</t>
  </si>
  <si>
    <t>INR 2.69</t>
  </si>
  <si>
    <t>ACH-EN-EL-0200</t>
  </si>
  <si>
    <t>603-AC0805JR-070RL - Thick Film Resistors - SMD 0 Ohms 125mW (1/8 W) 0805 5% AEC-Q200 Standard Power Version</t>
  </si>
  <si>
    <t>ACH-EN-EL-0201</t>
  </si>
  <si>
    <t>71-RCWE2010R560FKEA - Current Sense Resistors - SMD 1watt .56ohms 1% 100ppm</t>
  </si>
  <si>
    <t>INR 31.75</t>
  </si>
  <si>
    <t>ACH-EN-EL-0202</t>
  </si>
  <si>
    <t>667-ERJ-14BQFR82U - Current Sense Resistors - SMD 1210 0.82ohm 1% Curr Sense AEC-Q200</t>
  </si>
  <si>
    <t>ACH-RD-CH-0627</t>
  </si>
  <si>
    <t>967810 - Original JHD 16Ã—2 Character LCD Display With Yellow Backlight</t>
  </si>
  <si>
    <t>INR 199.00</t>
  </si>
  <si>
    <t>ACH-EN-EL-0203</t>
  </si>
  <si>
    <t>616166 - 5V Active Electromagnetic Buzzer</t>
  </si>
  <si>
    <t>ACH-EN-EL-0204</t>
  </si>
  <si>
    <t>1496174 - 10mm LDR Sensor Photoresistor Photo Cell 50-100k â€“ GL10539</t>
  </si>
  <si>
    <t>INR 39.00</t>
  </si>
  <si>
    <t>ACH-RD-CH-0628</t>
  </si>
  <si>
    <t>857298 - Kamoer 12V 0.25A 37ml/min Silicone Tube Liquid Pump</t>
  </si>
  <si>
    <t>INR 379.00</t>
  </si>
  <si>
    <t>ACH-RD-CH-0629</t>
  </si>
  <si>
    <t>857300 - Kamoer 6V 0.35A 10.5ml/min silicone tube liquid pump</t>
  </si>
  <si>
    <t>INR 399.00</t>
  </si>
  <si>
    <t>ACH-EN-EL-0205</t>
  </si>
  <si>
    <t>5941 - 7 pin JST XH, 2.5mm, Both side Female 30cm (300mm)</t>
  </si>
  <si>
    <t>INR 27.90</t>
  </si>
  <si>
    <t>ACH-EN-EL-0206</t>
  </si>
  <si>
    <t>7147 - 4 pin JST XH, 2.5mm, Both side Female 10cm</t>
  </si>
  <si>
    <t>INR 16.74</t>
  </si>
  <si>
    <t>ACH-EN-EL-0207</t>
  </si>
  <si>
    <t>6380 - 5 pin JST PH 2.0mm Both side Female 30cm</t>
  </si>
  <si>
    <t>INR 23.25</t>
  </si>
  <si>
    <t>ACH-EN-EL-0208</t>
  </si>
  <si>
    <t>6378 - 3 pin JST PH 2.0mm Both side Female 30cm</t>
  </si>
  <si>
    <t>INR 14.25</t>
  </si>
  <si>
    <t>ACH-EN-EL-0209</t>
  </si>
  <si>
    <t>3903 - Laser Diode - 5mW 650nm Red</t>
  </si>
  <si>
    <t>INR 42.50</t>
  </si>
  <si>
    <t>ACH-EN-EL-0210</t>
  </si>
  <si>
    <t>5524 - LDR - Photosensitive Resistor - Waterproof - GL5528 - JST PH 2.0mm 2P</t>
  </si>
  <si>
    <t>ACH-RD-CH-0630</t>
  </si>
  <si>
    <t>AT-B778 - ATTEN ANTISTATIC MANUAL VACUUM SUCTION SUCKER PEN FOR BGA CHIP IC</t>
  </si>
  <si>
    <t>G2 Mark</t>
  </si>
  <si>
    <t>ACH-EN-ME-0120</t>
  </si>
  <si>
    <t>5 Inch DIS Mounting Plate</t>
  </si>
  <si>
    <t>INR 450.00</t>
  </si>
  <si>
    <t>ACH-EN-ME-0121</t>
  </si>
  <si>
    <t>Left Side Casing Bracket</t>
  </si>
  <si>
    <t>ACH-EN-ME-0122</t>
  </si>
  <si>
    <t>Optical Block Mounting Sheet Metal</t>
  </si>
  <si>
    <t>ACH-EN-ME-0123</t>
  </si>
  <si>
    <t>Peripheral Board L-Clamp</t>
  </si>
  <si>
    <t>ACH-EN-ME-0124</t>
  </si>
  <si>
    <t>Pi4 Mounting Clamp</t>
  </si>
  <si>
    <t>ACH-EN-ME-0125</t>
  </si>
  <si>
    <t>Right Side Casing Bracket</t>
  </si>
  <si>
    <t>ACH-EN-ME-0126</t>
  </si>
  <si>
    <t>Top Casing Mounting Bracket</t>
  </si>
  <si>
    <t>ACH-RD-CH-0631</t>
  </si>
  <si>
    <t>Actuator Mounting Block</t>
  </si>
  <si>
    <t>ACH-EN-ME-0127</t>
  </si>
  <si>
    <t>Camera Filter Retainer 3.65mm</t>
  </si>
  <si>
    <t>ACH-EN-ME-0128</t>
  </si>
  <si>
    <t>Camera Filter Retainer 4mm</t>
  </si>
  <si>
    <t>ACH-EN-ME-0129</t>
  </si>
  <si>
    <t>Filter Retainer 2</t>
  </si>
  <si>
    <t>ACH-RD-CH-0632</t>
  </si>
  <si>
    <t>L Bracket Casing</t>
  </si>
  <si>
    <t>ACH-EN-ME-0130</t>
  </si>
  <si>
    <t>Lens Retainer Top</t>
  </si>
  <si>
    <t>ACH-EN-ME-0131</t>
  </si>
  <si>
    <t>Lens Supporting Ring</t>
  </si>
  <si>
    <t>ACH-EN-ME-0132</t>
  </si>
  <si>
    <t>LED Mount 2</t>
  </si>
  <si>
    <t>ACH-EN-ME-0133</t>
  </si>
  <si>
    <t>Rotary Spindle 27.09.023</t>
  </si>
  <si>
    <t>ACH-EN-ME-0134</t>
  </si>
  <si>
    <t>Optical Tube - 2</t>
  </si>
  <si>
    <t>ACH-RD-CH-0633</t>
  </si>
  <si>
    <t>53409 - Hybrid Solutions Ceramic Spray Coating</t>
  </si>
  <si>
    <t>INR 948.31</t>
  </si>
  <si>
    <t>ACH-EN-ME-0135</t>
  </si>
  <si>
    <t>Supply of Prototype Parts BACK CASING SLA - 2700.00 SRM - 6578 PU - 405</t>
  </si>
  <si>
    <t>INR 1024.00</t>
  </si>
  <si>
    <t>ACH-EN-ME-0136</t>
  </si>
  <si>
    <t>Supply of Prototype Parts FRONT CASING SLA - 1920 SRM - 7724 PU -288</t>
  </si>
  <si>
    <t>INR 931.00</t>
  </si>
  <si>
    <t>ACH-EN-ME-0137</t>
  </si>
  <si>
    <t>Supply of Prototype Parts FRONT DISPLAY CASING SLA - 1680 SRM - 11415 PU -252</t>
  </si>
  <si>
    <t>INR 1125.00</t>
  </si>
  <si>
    <t>ACH-EN-ME-0138</t>
  </si>
  <si>
    <t>Supply of Prototype Parts LEFT SIDE CASING SLA - 7740 SRM - 18131 PU -1161</t>
  </si>
  <si>
    <t>INR 2886.00</t>
  </si>
  <si>
    <t>ACH-EN-ME-0139</t>
  </si>
  <si>
    <t>Supply of Prototype Parts RIGHT SIDE CASING SLA - 7680 SRM - 18131 PU -1152</t>
  </si>
  <si>
    <t>INR 2873.00</t>
  </si>
  <si>
    <t>ACH-EN-ME-0140</t>
  </si>
  <si>
    <t>Supply of Prototype Parts TOP CASING SLA - 4920 SRM - 18169 PU -738</t>
  </si>
  <si>
    <t>INR 2277.00</t>
  </si>
  <si>
    <t>ACH-EN-ME-0141</t>
  </si>
  <si>
    <t>Supply of Prototype Parts TRAY EJECTOR SLA - 540 SRM - 2412 PU -240</t>
  </si>
  <si>
    <t>INR 437.00</t>
  </si>
  <si>
    <t>ACH-EN-EL-0211</t>
  </si>
  <si>
    <t>Solder Paste Stencil</t>
  </si>
  <si>
    <t>INR 889.76</t>
  </si>
  <si>
    <t>ACH-EN-EQ-0036</t>
  </si>
  <si>
    <t>Clean Room Improvement</t>
  </si>
  <si>
    <t>INR 1962780.00</t>
  </si>
  <si>
    <t>Air Maintain Solution</t>
  </si>
  <si>
    <t>ACH-EN-EQ-0037</t>
  </si>
  <si>
    <t>1+1 Manifold with Copper pipeline system - Nitrous oxide manifold</t>
  </si>
  <si>
    <t>INR 120450.00</t>
  </si>
  <si>
    <t>Vigneshwara Enterprises</t>
  </si>
  <si>
    <t>ACH-EN-ME-0142</t>
  </si>
  <si>
    <t>Supply of 3D Printing Parts - SLA Cartridge stand_04-10-2023</t>
  </si>
  <si>
    <t>INR 2900.00</t>
  </si>
  <si>
    <t>ACH-EN-EL-0212</t>
  </si>
  <si>
    <t>EC-10532 - 30cm 15 Pin FFC Ribbon Flexible Flat Cable For Raspberry Pi Camera</t>
  </si>
  <si>
    <t>ACH-GN-IT-0020</t>
  </si>
  <si>
    <t>1/8" 17mm Ball Nose End Mill CNC Router Bits Double Flute Spiral Set Tool Cutting</t>
  </si>
  <si>
    <t>INR 1514.36</t>
  </si>
  <si>
    <t>ACH-RD-CH-0634</t>
  </si>
  <si>
    <t>Sylix High Pressure Braided Clear Flexible PVC Tubing Heavy Duty pipe</t>
  </si>
  <si>
    <t>INR 381.36</t>
  </si>
  <si>
    <t>ACH-RD-CH-0635</t>
  </si>
  <si>
    <t>Brake Bleeder Hose- One Way Check Valve Tube Bleeding Tool Kit for Motorcycle Car Clutch</t>
  </si>
  <si>
    <t>INR 2375.80</t>
  </si>
  <si>
    <t>ACH-RD-CH-0636</t>
  </si>
  <si>
    <t>Self-Adhesive Wallpaper for Kitchen Vinyl Wallpaper Oil Proof Wallpaper Waterproof and Heat Resistant (2 M Cream XOX)</t>
  </si>
  <si>
    <t>INR 253.39</t>
  </si>
  <si>
    <t>ACH-RD-CM-0146</t>
  </si>
  <si>
    <t>Surgical Tourniquet Elastic Belt for Blood Collection with Plastic Buckle set of 2 Multi Color</t>
  </si>
  <si>
    <t>INR 209.82</t>
  </si>
  <si>
    <t>ACH-EN-ME-0143</t>
  </si>
  <si>
    <t>Adjustable Stainless Steel Hose Clamp, 0.5 inch, 0.75 inch and 1 inch</t>
  </si>
  <si>
    <t>INR 28.96375</t>
  </si>
  <si>
    <t>ACH-MF-CM-0068</t>
  </si>
  <si>
    <t>Absorbent Cotton Wool Roll for Makeup Remover, Surgical, First Aid, Beauty, Adult and Baby Care, (Set of 2), White</t>
  </si>
  <si>
    <t>INR 0.82858</t>
  </si>
  <si>
    <t>ACH-RD-CH-0637</t>
  </si>
  <si>
    <t>non mercury glass thermometer -10 to110 degrees celsius pack of 4 with inbuilt glass hole for hanging,300mm alcohol for laboratory industrial purpose, Yellow</t>
  </si>
  <si>
    <t>INR 295.76</t>
  </si>
  <si>
    <t>ACH-EN-EQ-0038</t>
  </si>
  <si>
    <t>Oil Free Air Compressor - 30L 550W - XLNT</t>
  </si>
  <si>
    <t>INR 9374.11</t>
  </si>
  <si>
    <t>ACH-RD-CH-0638</t>
  </si>
  <si>
    <t>Polypropylene Hanger, Blue and Red</t>
  </si>
  <si>
    <t>INR 17.034</t>
  </si>
  <si>
    <t>ACH-GN-HK-0018</t>
  </si>
  <si>
    <t>Cello Plastic Storage Bucket With Lid, Red, 40 Litre</t>
  </si>
  <si>
    <t>INR 678.81</t>
  </si>
  <si>
    <t>ACH-RD-CH-0639</t>
  </si>
  <si>
    <t>FYPower 1/4 inch x 25 ft Recoil Poly Air Hose Kit, 20 Pieces Air Compressor Accessories Set, 1/4" NPT Quick Connect Air Fittings, Blow Gun, Chuck, Safety and Tapered Nozzles, Couplings, Orange PU Hose</t>
  </si>
  <si>
    <t>INR 5042.97</t>
  </si>
  <si>
    <t>ACH-EN-ME-0144</t>
  </si>
  <si>
    <t>3D Printer Nozzle Wrench Cleaning Kit,10 Nozzle Cleaning Pins with Storage Box 2 Tweezers 2 Cleaning Copper Wire Brushes 2 L-Shaped Wrench Tool for 3D Printer Accessories</t>
  </si>
  <si>
    <t>INR 126.641875</t>
  </si>
  <si>
    <t>ACH-RD-CH-0640</t>
  </si>
  <si>
    <t>AS-300 -Steel Angle Square (Trisquare)</t>
  </si>
  <si>
    <t>INR 561.28</t>
  </si>
  <si>
    <t>ACH-RD-CH-0641</t>
  </si>
  <si>
    <t>Plastic Individual Lids From Outside Four Compartment Storage Box, Box With Compartments, Earring Container â€“ Pack of Two, Rectangular, Beige</t>
  </si>
  <si>
    <t>INR 266.96</t>
  </si>
  <si>
    <t>ACH-RD-CH-0642</t>
  </si>
  <si>
    <t>G1253 - Xanthan gum from Xanthomonas campestris</t>
  </si>
  <si>
    <t>INR 0.0962</t>
  </si>
  <si>
    <t>ACH-RD-CH-0643</t>
  </si>
  <si>
    <t>Sample Collection Charges - Typhoid - 0.8 - 1.0mL</t>
  </si>
  <si>
    <t>Fugen Biomed</t>
  </si>
  <si>
    <t>ACH-EN-ME-0145</t>
  </si>
  <si>
    <t>323846 - eSun PETG 1.75mm 3D Printing Filament Solid Black</t>
  </si>
  <si>
    <t>INR 1249.00</t>
  </si>
  <si>
    <t>ACH-EN-EL-0213</t>
  </si>
  <si>
    <t>Phototransistor Plate - 0.15 mm s.steel 304 grade</t>
  </si>
  <si>
    <t>Galvonics</t>
  </si>
  <si>
    <t>ACH-EN-SP-0028</t>
  </si>
  <si>
    <t>Development Charges</t>
  </si>
  <si>
    <t>ACH-RD-CH-0644</t>
  </si>
  <si>
    <t>Article of Plastic - PC 23(D.No.mm 2) 5mm</t>
  </si>
  <si>
    <t>Sets</t>
  </si>
  <si>
    <t>INR 1.40</t>
  </si>
  <si>
    <t>Tonisha Electronics Corporation</t>
  </si>
  <si>
    <t>ACH-RD-CM-0147</t>
  </si>
  <si>
    <t>P10238-Non-printed, nonassembled Screw Cap Tube, Coloured, Self-Standing, PP, 2.0 mL, Sterile, with EPDM ring Cap, Red, Yellow, Blue, Green, Orange, Purple, White, Pack of 1000</t>
  </si>
  <si>
    <t>INR 5082.00</t>
  </si>
  <si>
    <t>Junipher Life Sciences Pvt. Ltd</t>
  </si>
  <si>
    <t>ACH-RD-CM-0148</t>
  </si>
  <si>
    <t>P10404-Centrifuge Tube Conical Bottom, PP/HDPE 50 ml, Blue Cap, sterile, Pack of 500</t>
  </si>
  <si>
    <t>INR 5894.40</t>
  </si>
  <si>
    <t>ACH-RD-CM-0149</t>
  </si>
  <si>
    <t>P10402-Centrifuge Tube Conical Bottom, PP/HDPE 15 ml, Blue Cap, sterile, Pack of 500</t>
  </si>
  <si>
    <t>INR 3995.20</t>
  </si>
  <si>
    <t>ACH-EN-ME-0146</t>
  </si>
  <si>
    <t>Supply of 3D Printing Parts - SLA DOME PUSHING PARTS</t>
  </si>
  <si>
    <t>INR 110.00</t>
  </si>
  <si>
    <t>ACH-EN-ME-0147</t>
  </si>
  <si>
    <t>Supply of 3D Printing Parts - SLA FOOT</t>
  </si>
  <si>
    <t>ACH-EN-ME-0148</t>
  </si>
  <si>
    <t>Supply of 3D Printing Parts - SLA LH-TRAY GUIDE</t>
  </si>
  <si>
    <t>ACH-EN-ME-0149</t>
  </si>
  <si>
    <t>Supply of 3D Printing Parts - SLA PCB SPACER</t>
  </si>
  <si>
    <t>ACH-EN-EL-0214</t>
  </si>
  <si>
    <t>Supply of 3D Printing Parts - SLA PHOTOTRANSISTOR MOUNT</t>
  </si>
  <si>
    <t>ACH-EN-ME-0150</t>
  </si>
  <si>
    <t>Supply of 3D Printing Parts - SLA RH-TRAY GUIDE</t>
  </si>
  <si>
    <t>ACH-EN-ME-0151</t>
  </si>
  <si>
    <t>Supply of 3D Printing Parts - SLA TRAY CARTRIDGE - BLACK SMOKE</t>
  </si>
  <si>
    <t>ACH-EN-ME-0152</t>
  </si>
  <si>
    <t>Supply of 3D Printing Parts - SLA TRAY STOPER_LH</t>
  </si>
  <si>
    <t>ACH-EN-ME-0153</t>
  </si>
  <si>
    <t>Supply of 3D Printing Parts - SLA Z-AXIS SUPPORT</t>
  </si>
  <si>
    <t>ACH-EN-EL-0215</t>
  </si>
  <si>
    <t>Phototransistor Plate</t>
  </si>
  <si>
    <t>INR 46.00</t>
  </si>
  <si>
    <t>ACH-GN-HK-0019</t>
  </si>
  <si>
    <t>Hand Sanitizer Dispenser Steel Stand Wall Mount Type</t>
  </si>
  <si>
    <t>ACH-GN-IT-0021</t>
  </si>
  <si>
    <t>Laptop -ASUS</t>
  </si>
  <si>
    <t>INR 96500.00</t>
  </si>
  <si>
    <t>ACH-RD-CH-0645</t>
  </si>
  <si>
    <t>Microfluidic Cartridge Assembly Line - Phase 1</t>
  </si>
  <si>
    <t>INR 14400000.00</t>
  </si>
  <si>
    <t>NextFirst Engineering Technologies Pvt. Ltd</t>
  </si>
  <si>
    <t>ACH-MF-RM-0003</t>
  </si>
  <si>
    <t>PMMAMS-1.2 480-520um</t>
  </si>
  <si>
    <t>INR 24.91272</t>
  </si>
  <si>
    <t>Cospheric LLC</t>
  </si>
  <si>
    <t>ACH-EN-EQ-0039</t>
  </si>
  <si>
    <t>Test Sieve 8 inch (Diameter 200 mm) 2 MM Stainless Steel Mesh with Brass Frame (ASTM No. 10)</t>
  </si>
  <si>
    <t>INR 893.00</t>
  </si>
  <si>
    <t>ACH-EN-EQ-0040</t>
  </si>
  <si>
    <t>Test Sieve 8 inch (Diameter 200 mm) 1.77 MM Stainless Steel Mesh with Brass Frame (ASTM No. 12)</t>
  </si>
  <si>
    <t>INR 920.00</t>
  </si>
  <si>
    <t>ACH-EN-EQ-0041</t>
  </si>
  <si>
    <t>Test Sieve 8 inch (Diameter 200 mm) 1.44 MM Stainless Steel Mesh with Brass Frame (ASTM No. 14)</t>
  </si>
  <si>
    <t>ACH-EN-EQ-0042</t>
  </si>
  <si>
    <t>1200W High speed Bench Drill Machine with 90Â°Rotation 6 Level Speed Variable Drilling Chuck size 13 millimeters Mini Bench Press drill</t>
  </si>
  <si>
    <t>INR 6227.97</t>
  </si>
  <si>
    <t>ACH-GN-IT-0022</t>
  </si>
  <si>
    <t>WM118 Wireless Mouse, 2.4 Ghz with USB Nano Receiver, Optical Tracking, 12-Months Battery Life, Ambidextrous, Pc/Mac/Laptop - Black.</t>
  </si>
  <si>
    <t>INR 507.63</t>
  </si>
  <si>
    <t>ACH-EN-EL-0216</t>
  </si>
  <si>
    <t>Stainless Steel Hot Pot | 5 L | 100% Puff Insulation, Bacteria Free, Leak-Proof Design| Award-Winning Crystal DÃ©cor Insulated Hot Pot</t>
  </si>
  <si>
    <t>INR 2141.96</t>
  </si>
  <si>
    <t>ACH-GN-IT-0023</t>
  </si>
  <si>
    <t>SanDisk SDCZ50-128G-I35 USB2.0 128 GB Pen Drive (Red and Black)</t>
  </si>
  <si>
    <t>INR 609.32</t>
  </si>
  <si>
    <t>ACH-GN-HK-0020</t>
  </si>
  <si>
    <t>Multi Purpose Spray Bottle 500ml</t>
  </si>
  <si>
    <t>INR 94.6833</t>
  </si>
  <si>
    <t>ACH-RD-CH-0646</t>
  </si>
  <si>
    <t>Super Round Sieve 3mm Colander</t>
  </si>
  <si>
    <t>ACH-EN-EQ-0043</t>
  </si>
  <si>
    <t>Stainless steel lab stool back support modification</t>
  </si>
  <si>
    <t>INR 5265.00</t>
  </si>
  <si>
    <t>ACH-EN-EQ-0044</t>
  </si>
  <si>
    <t>Stainless steel lab stool with back support (size 12â€_x009d_ Dia X 25â€_x009d_ Hight)</t>
  </si>
  <si>
    <t>INR 12705.00</t>
  </si>
  <si>
    <t>ACH-GN-SF-0001</t>
  </si>
  <si>
    <t>ESD Apron - Blue</t>
  </si>
  <si>
    <t>Inotech Supplies Pvt. Ltd</t>
  </si>
  <si>
    <t>ACH-EN-ME-0154</t>
  </si>
  <si>
    <t>TR-2-0600-S 2 FL .0600 X .180 LOC SQ End Mill</t>
  </si>
  <si>
    <t>INR 1100.40</t>
  </si>
  <si>
    <t>Performance Micro Tool</t>
  </si>
  <si>
    <t>ACH-EN-ME-0155</t>
  </si>
  <si>
    <t>TR-2-0400-S 2 FL .0400 X .120 LOC SQ End Mill</t>
  </si>
  <si>
    <t>ACH-EN-ME-0156</t>
  </si>
  <si>
    <t>TR-2-0040-S 2 FL .0040 X .012 LOC SQ End Mill</t>
  </si>
  <si>
    <t>INR 3136.00</t>
  </si>
  <si>
    <t>ACH-EN-ME-0157</t>
  </si>
  <si>
    <t>TR-2-0060-S 2 FL .0060 X .018 LOC SQ End Mill</t>
  </si>
  <si>
    <t>INR 2925.00</t>
  </si>
  <si>
    <t>ACH-EN-ME-0158</t>
  </si>
  <si>
    <t>TR-2-0030-S 2 FL .0030 X .009 LOC SQ End Mill</t>
  </si>
  <si>
    <t>INR 3586.00</t>
  </si>
  <si>
    <t>ACH-EN-ME-0159</t>
  </si>
  <si>
    <t>TR-2-0080-S 2 FL .0080 X .024 LOC SQ End Mill</t>
  </si>
  <si>
    <t>INR 2659.00</t>
  </si>
  <si>
    <t>ACH-EN-ME-0160</t>
  </si>
  <si>
    <t>TR-2-0200-S 2 FL .0200 X .060 LOC SQ End Mill</t>
  </si>
  <si>
    <t>INR 1520.00</t>
  </si>
  <si>
    <t>ACH-EN-ME-0161</t>
  </si>
  <si>
    <t>TR-2-0120-S 2 FL .0120 X .036 LOC SQ End Mill</t>
  </si>
  <si>
    <t>INR 2233.00</t>
  </si>
  <si>
    <t>ACH-RD-CH-0647</t>
  </si>
  <si>
    <t>JBL Tranz 710, 72 Hrs Playtime with Quick Charge, Wireless On Ear Headphone with Mic, Deep Bass, Dual Equalizer, Bluetooth 5.0 with Voice Assistant Support (Black)</t>
  </si>
  <si>
    <t>INR 1269.49</t>
  </si>
  <si>
    <t>ACH-RD-CH-0648</t>
  </si>
  <si>
    <t>06104-500 -Poly(ethylene oxide) [MW 100,000]</t>
  </si>
  <si>
    <t>INR 0.04569</t>
  </si>
  <si>
    <t>ACH-EN-SP-0029</t>
  </si>
  <si>
    <t>Interior Works</t>
  </si>
  <si>
    <t>INR 856000.00</t>
  </si>
  <si>
    <t>Siri Indecor LLP</t>
  </si>
  <si>
    <t>ACH-RD-CM-0150</t>
  </si>
  <si>
    <t>Stainless Steel Container 200mL</t>
  </si>
  <si>
    <t>INR 138.39</t>
  </si>
  <si>
    <t>ACH-RD-CM-0151</t>
  </si>
  <si>
    <t>Stainless Steel Container 380mL</t>
  </si>
  <si>
    <t>ACH-RD-CM-0152</t>
  </si>
  <si>
    <t>Stainless Steel Container 650mL</t>
  </si>
  <si>
    <t>INR 282.14</t>
  </si>
  <si>
    <t>ACH-RD-CM-0153</t>
  </si>
  <si>
    <t>Stainless Steel Container 550mL</t>
  </si>
  <si>
    <t>INR 311.61</t>
  </si>
  <si>
    <t>ACH-RD-CH-0649</t>
  </si>
  <si>
    <t>Bio-Medical Sharps Container Waste Box, Glass Waste and Metallic Implants, Bio-hazard, Bio-Medical Sharps Container Puncture Proof Box 5 LTR</t>
  </si>
  <si>
    <t>INR 485.71</t>
  </si>
  <si>
    <t>ACH-EN-EQ-0045</t>
  </si>
  <si>
    <t>Waste Dustbin - 32 Ltrs</t>
  </si>
  <si>
    <t>INR 464.29</t>
  </si>
  <si>
    <t>ACH-EN-EQ-0046</t>
  </si>
  <si>
    <t>Waste Dustbin - 22 Ltrs</t>
  </si>
  <si>
    <t>INR 925.00</t>
  </si>
  <si>
    <t>ACH-RD-CH-0650</t>
  </si>
  <si>
    <t>Power Plate 6 with 4 USB Port + 5 Power Sockets Extension Board, 2500W Power Converter, Cord Length 3Mtr (Black)</t>
  </si>
  <si>
    <t>INR 575.42</t>
  </si>
  <si>
    <t>ACH-GN-OF-0006</t>
  </si>
  <si>
    <t>Acrylic Name Badge and Name Plate with Pin Easy to Insert Paper for Office Staff Uniform Badge</t>
  </si>
  <si>
    <t>INR 29.37866</t>
  </si>
  <si>
    <t>ACH-EN-EQ-0047</t>
  </si>
  <si>
    <t>Walk in Cold Room - 139 X 127.5 X 96 INCHES.</t>
  </si>
  <si>
    <t>INR 490688.00</t>
  </si>
  <si>
    <t>Cold Rooms India Inc</t>
  </si>
  <si>
    <t>ACH-RD-CH-0651</t>
  </si>
  <si>
    <t>SRL-52046 - Hydroxypropyl-B-Cyclodextrin (HPBCD)ExiPlus, Multi -Compendial, 98%</t>
  </si>
  <si>
    <t>INR 0.01008</t>
  </si>
  <si>
    <t>ACH-EN-SP-0030</t>
  </si>
  <si>
    <t>0082000142 - ISO 8655 including Preventive Maintenance, pipette maintenance and calibration service, single-channel pipettes and dispensers</t>
  </si>
  <si>
    <t>INR 1055.50</t>
  </si>
  <si>
    <t>ACH-RD-CH-0652</t>
  </si>
  <si>
    <t>NCX-Custom C</t>
  </si>
  <si>
    <t>INR 22825.00</t>
  </si>
  <si>
    <t>NanoComposix, Inc.</t>
  </si>
  <si>
    <t>ACH-RD-AB-0116</t>
  </si>
  <si>
    <t>Ready to use Vitally stained WIDAL antigen set for tube test - pack 4x10 mL</t>
  </si>
  <si>
    <t>INR 625.00</t>
  </si>
  <si>
    <t>Tulip Diagnostics Pvt. Ltd</t>
  </si>
  <si>
    <t>ACH-RD-BG-0032</t>
  </si>
  <si>
    <t>Covid 19 - VTM Sample</t>
  </si>
  <si>
    <t>INR 600.00</t>
  </si>
  <si>
    <t>Sandip Bhavini Research Institute</t>
  </si>
  <si>
    <t>ACH-RD-BG-0033</t>
  </si>
  <si>
    <t>Influenza A - VTM Sample</t>
  </si>
  <si>
    <t>ACH-RD-BG-0034</t>
  </si>
  <si>
    <t>Influenza B - VTM Sample</t>
  </si>
  <si>
    <t>m</t>
  </si>
  <si>
    <t>ACH-RD-BG-0035</t>
  </si>
  <si>
    <t>RSV - VTM Sample</t>
  </si>
  <si>
    <t>ACH-RD-BG-0036</t>
  </si>
  <si>
    <t>Typhi IGM - Serum Sample</t>
  </si>
  <si>
    <t>ACH-RD-BG-0037</t>
  </si>
  <si>
    <t>Typhi IGG - Serum Sample</t>
  </si>
  <si>
    <t>ACH-RD-BG-0038</t>
  </si>
  <si>
    <t>Dengue IGM - Serum Sample</t>
  </si>
  <si>
    <t>INR 700.00</t>
  </si>
  <si>
    <t>ACH-RD-BG-0039</t>
  </si>
  <si>
    <t>Dengue IGG - Serum Sample</t>
  </si>
  <si>
    <t>ACH-RD-BG-0040</t>
  </si>
  <si>
    <t>Dengue NS1 - Serum Sample</t>
  </si>
  <si>
    <t>ACH-RD-BG-0041</t>
  </si>
  <si>
    <t>Malaria PV - Serum Sample</t>
  </si>
  <si>
    <t>ACH-RD-BG-0042</t>
  </si>
  <si>
    <t>Malaria PF - Blood Sample</t>
  </si>
  <si>
    <t>ACH-RD-BG-0043</t>
  </si>
  <si>
    <t>PCT - Serum Sample</t>
  </si>
  <si>
    <t>ACH-RD-CH-0653</t>
  </si>
  <si>
    <t>Negative sample - Serum/Blood/Plasma</t>
  </si>
  <si>
    <t>INR 250.00</t>
  </si>
  <si>
    <t>ACH-EN-EQ-0048</t>
  </si>
  <si>
    <t>-40 ~ -80 Plasma Freezer Sz. 100x2000 Ltrs</t>
  </si>
  <si>
    <t>INR 450000.00</t>
  </si>
  <si>
    <t>ACH-EN-EL-0217</t>
  </si>
  <si>
    <t>Y25 - Printed Circuit Board</t>
  </si>
  <si>
    <t>INR 49.80</t>
  </si>
  <si>
    <t>ACH-EN-EL-0218</t>
  </si>
  <si>
    <t>Y26 - Printed Circuit Board</t>
  </si>
  <si>
    <t>ACH-EN-EL-0219</t>
  </si>
  <si>
    <t>Y27 - Printed Circuit Board</t>
  </si>
  <si>
    <t>INR 25.73</t>
  </si>
  <si>
    <t>ACH-EN-EL-0220</t>
  </si>
  <si>
    <t>Y35 - Printed Circuit Board</t>
  </si>
  <si>
    <t>ACH-EN-EL-0221</t>
  </si>
  <si>
    <t>SMT02310171436159 - Circuit Board Assembly Module</t>
  </si>
  <si>
    <t>INR 1002.97</t>
  </si>
  <si>
    <t>ACH-EN-EL-0222</t>
  </si>
  <si>
    <t>SMT0231027451138 - Circuit Board Assembly Module</t>
  </si>
  <si>
    <t>INR 247.09</t>
  </si>
  <si>
    <t>ACH-EN-EL-0223</t>
  </si>
  <si>
    <t>SMT02310301453883 - Circuit Board Assembly Module</t>
  </si>
  <si>
    <t>INR 4934.18</t>
  </si>
  <si>
    <t>ACH-RD-CH-0654</t>
  </si>
  <si>
    <t>325623 - eSun eFlex TPU 87A Flexible Filament 1.75mm 1Kg-Natural</t>
  </si>
  <si>
    <t>INR 1744.00</t>
  </si>
  <si>
    <t>ACH-EN-ME-0162</t>
  </si>
  <si>
    <t>3D Printer Nozzles 50PCS Hardened Steel and Brass MK8 Nozzle 0.2mm, 0.3mm, 0.4mm, 0.5mm, 0.6mm, 0.8mm, 1.0mm with Cleaning Tool Kit for Makerbot Creality CR-10/ Ender 3/5</t>
  </si>
  <si>
    <t>INR 2005.69</t>
  </si>
  <si>
    <t>ACH-RD-CH-0655</t>
  </si>
  <si>
    <t>Plastic Eye Loupe Loop Magnifier Magnifying Glass for Watchmakers Repair Eye Set of 4 Pc with Plastic Box</t>
  </si>
  <si>
    <t>ACH-MF-CM-0069</t>
  </si>
  <si>
    <t>Hand Sanitizer</t>
  </si>
  <si>
    <t>INR 334.5975</t>
  </si>
  <si>
    <t>ACH-GN-IT-0024</t>
  </si>
  <si>
    <t>N301 RJ45 Wireless-N300 Mbps Single_Band Easy Setup Router (White, Not a Modem)</t>
  </si>
  <si>
    <t>INR 787.29</t>
  </si>
  <si>
    <t>ACH-GN-IT-0025</t>
  </si>
  <si>
    <t>6 Angles Adjustable Aluminum Ergonomic Foldable Portable Tabletop Laptop/Desktop Riser Stand Holder Compatible for MacBook, HP, Dell, Lenovo &amp; All Other Notebook (Silver)</t>
  </si>
  <si>
    <t>ACH-EN-ME-0163</t>
  </si>
  <si>
    <t>Premium TPU 1.75mm 3D Printing Filament | Dimensional Accuracy +/- 0.03mm | Compatible with Most FDM Printers | 1 KG 3D Printer Filament - TPU Natural/Clear</t>
  </si>
  <si>
    <t>INR 1905.93</t>
  </si>
  <si>
    <t>ACH-RD-CH-0656</t>
  </si>
  <si>
    <t>TL-PoE150S PoE Injector Adapter, IEEE 802.3af Compliant, up to 100 Meters (325 Feet),Gigabit -10/100/1000,Black</t>
  </si>
  <si>
    <t>INR 1058.47</t>
  </si>
  <si>
    <t>ACH-EN-EQ-0049</t>
  </si>
  <si>
    <t>Instrument USB RH-Temp Data Logger Easy Log, Temperature and Humidity (Multicolour)</t>
  </si>
  <si>
    <t>INR 4194.92</t>
  </si>
  <si>
    <t>ACH-RD-CH-0657</t>
  </si>
  <si>
    <t>XSeries Earmuff Over-the-Head</t>
  </si>
  <si>
    <t>INR 1966.10</t>
  </si>
  <si>
    <t>ACH-GN-IT-0026</t>
  </si>
  <si>
    <t>USB 3.0 sata Cable for 2.5 inch SSD and HDD, USB 3.0 to SATA III Hard Driver Adapter, sata to USB Cable-(Blue)</t>
  </si>
  <si>
    <t>ACH-RD-CH-0658</t>
  </si>
  <si>
    <t>Plastic Multipurpose Modular Drawer, 4 Racks, Small, Transparent</t>
  </si>
  <si>
    <t>INR 1287.89</t>
  </si>
  <si>
    <t>ACH-EN-ME-0164</t>
  </si>
  <si>
    <t>Camera Filter Retainer 2mm</t>
  </si>
  <si>
    <t>ACH-EN-ME-0165</t>
  </si>
  <si>
    <t>Camera Lens Support Ring</t>
  </si>
  <si>
    <t>ACH-EN-ME-0166</t>
  </si>
  <si>
    <t>Lens Retainer</t>
  </si>
  <si>
    <t>ACH-EN-ME-0167</t>
  </si>
  <si>
    <t>Pocketed Camera Filter Retainer</t>
  </si>
  <si>
    <t>ACH-EN-EL-0224</t>
  </si>
  <si>
    <t>FX888D-13BY - HAKKO FX-888D 230V W/3 Wired Cord &amp; BS Plug (Blue/Yellow) Soldering Station</t>
  </si>
  <si>
    <t>INR 10780.00</t>
  </si>
  <si>
    <t>Sumitron Exports Private Limited</t>
  </si>
  <si>
    <t>ACH-EN-EL-0225</t>
  </si>
  <si>
    <t>T18-BL - Soldering Tip Shape-BL for FX-8801</t>
  </si>
  <si>
    <t>INR 737.00</t>
  </si>
  <si>
    <t>ACH-EN-EL-0226</t>
  </si>
  <si>
    <t>T18-S6 - Soldering Tip Shape-S6 for FX-8801</t>
  </si>
  <si>
    <t>ACH-EN-EL-0227</t>
  </si>
  <si>
    <t>T18-CF4 - Soldering Tip Shape-4C Tinned Surface Only for FX-8801</t>
  </si>
  <si>
    <t>ACH-EN-EL-0228</t>
  </si>
  <si>
    <t>9076 - Raspberry Pi 4 Model B - 8GB RAM</t>
  </si>
  <si>
    <t>INR 6125.00</t>
  </si>
  <si>
    <t>Thingbits Electronics Pvt. Ltd.</t>
  </si>
  <si>
    <t>ACH-RD-CH-0659</t>
  </si>
  <si>
    <t>NCZ - Polystyrene Powder (10-30 micron)</t>
  </si>
  <si>
    <t>Aritech Chemazone</t>
  </si>
  <si>
    <t>ACH-RD-CM-0154</t>
  </si>
  <si>
    <t>50mL Bottle with screw cap and pouring ring</t>
  </si>
  <si>
    <t>ACH-RD-CM-0155</t>
  </si>
  <si>
    <t>100mL Bottle with screw cap and pouring ring</t>
  </si>
  <si>
    <t>ACH-RD-CM-0156</t>
  </si>
  <si>
    <t>250mL Bottle with screw cap and pouring ring</t>
  </si>
  <si>
    <t>INR 340.30</t>
  </si>
  <si>
    <t>ACH-RD-CM-0157</t>
  </si>
  <si>
    <t>500mL Bottle with screw cap and pouring ring</t>
  </si>
  <si>
    <t>ACH-RD-CH-0660</t>
  </si>
  <si>
    <t>1165430 - G1200 1200 x 12MP Multipurpose Digital Electronic Microscope with 7â€³ LCD Display</t>
  </si>
  <si>
    <t>INR 6900.85</t>
  </si>
  <si>
    <t>ACH-RD-CH-0661</t>
  </si>
  <si>
    <t>520-120-18-33JGN-TR3 - Crystals 12MHz,CL 18,TOL +/-20 ppm ,STAB +/-30 ppm,-40 +85 C,ESR 100O</t>
  </si>
  <si>
    <t>INR 24.568</t>
  </si>
  <si>
    <t>ACH-EN-EL-0229</t>
  </si>
  <si>
    <t>610-CMPT3904E - Bipolar Transistors - BJT NPN Enhanced Complimentary</t>
  </si>
  <si>
    <t>INR 24.817</t>
  </si>
  <si>
    <t>ACH-EN-EL-0230</t>
  </si>
  <si>
    <t>863-NTD5867NLT4G - MOSFET NFET DPAK 60V 18A 43 MOHM</t>
  </si>
  <si>
    <t>INR 72.21</t>
  </si>
  <si>
    <t>ACH-EN-EL-0231</t>
  </si>
  <si>
    <t>621-DMG2302UK-7 - MOSFET MOSFET BVDSS: 8V-24V</t>
  </si>
  <si>
    <t>INR 15.11</t>
  </si>
  <si>
    <t>ACH-EN-EL-0232</t>
  </si>
  <si>
    <t>942-IRFR5505TRPBF - MOSFET 1 P-CH -55V HEXFET 110mOhms 21.3nC</t>
  </si>
  <si>
    <t>INR 87.98</t>
  </si>
  <si>
    <t>ACH-RD-CH-0662</t>
  </si>
  <si>
    <t>358-SC09147 - ARM Microcontrollers - MCU IC RP2040 (RP2B2) T&amp;R, 500 (7" reel)</t>
  </si>
  <si>
    <t>INR 66.40</t>
  </si>
  <si>
    <t>ACH-RD-CH-0663</t>
  </si>
  <si>
    <t>798-DF1B-8S-2.5R - Headers &amp; Wire Housings 2.5MM SINGLE ROW SKT 8P HOUSING</t>
  </si>
  <si>
    <t>INR 17.43</t>
  </si>
  <si>
    <t>ACH-RD-CH-0664</t>
  </si>
  <si>
    <t>538-15020-0852 - FFC / FPC Jumper Cables PREMO-FLEX 0.50 (AU) LGT 305 TYPED 15CKT</t>
  </si>
  <si>
    <t>INR 368.52</t>
  </si>
  <si>
    <t>ACH-EN-EL-0233</t>
  </si>
  <si>
    <t>621-DMN6040SK3-13 - MOSFET 60V N-CH MOSFET</t>
  </si>
  <si>
    <t>ACH-RD-CH-0665</t>
  </si>
  <si>
    <t>Oxygen</t>
  </si>
  <si>
    <t>ACH-RD-KT-0044</t>
  </si>
  <si>
    <t>370x - Immunoassay Trilevel Control â€“ Mini pack</t>
  </si>
  <si>
    <t>INR 0.353333</t>
  </si>
  <si>
    <t>Kothari Distributors</t>
  </si>
  <si>
    <t>ACH-EN-EL-0234</t>
  </si>
  <si>
    <t>DB25 Male to DB25 Male Pin Serial Port Cable RS232-3 Meter for Printer - White</t>
  </si>
  <si>
    <t>INR 783.90</t>
  </si>
  <si>
    <t>ACH-GN-IT-0027</t>
  </si>
  <si>
    <t>82RK0062IN - SmartChoice IdeaPad Slim 3 Intel Core i5 12th Gen 15.6" (39.62cm) FHD Thin &amp; Light Laptop (8GB/512GB SSD/Win 11/MSO 2021/Backlit/2Yr Warranty/3months Game Pass/Arctic Grey/1.63Kg</t>
  </si>
  <si>
    <t>INR 41516.95</t>
  </si>
  <si>
    <t>ACH-RD-AB-0117</t>
  </si>
  <si>
    <t>A63690574P - Malaria pLDH Mab, Pan Specific</t>
  </si>
  <si>
    <t>INR 16.66</t>
  </si>
  <si>
    <t>Biospacific</t>
  </si>
  <si>
    <t>ACH-RD-KT-0045</t>
  </si>
  <si>
    <t>Dengue Card test</t>
  </si>
  <si>
    <t>ACH-RD-CH-0666</t>
  </si>
  <si>
    <t>Malaria pan + Pf</t>
  </si>
  <si>
    <t>ACH-RD-CH-0667</t>
  </si>
  <si>
    <t>EDTA Capillaries 75mm</t>
  </si>
  <si>
    <t>INR 0.90</t>
  </si>
  <si>
    <t>Top Syringe</t>
  </si>
  <si>
    <t>ACH-RD-CH-0668</t>
  </si>
  <si>
    <t>Bulb Dispenser (Dropper)</t>
  </si>
  <si>
    <t>ACH-RD-CH-0669</t>
  </si>
  <si>
    <t>Cartridge Parts Mold</t>
  </si>
  <si>
    <t>INR 354000.00</t>
  </si>
  <si>
    <t>Andhra Pradesh Med Tech Zone Limited</t>
  </si>
  <si>
    <t>ACH-RD-CH-0670</t>
  </si>
  <si>
    <t>Parts of Top and Bottom_inj_cost - Set</t>
  </si>
  <si>
    <t>INR 112.32</t>
  </si>
  <si>
    <t>ACH-EN-SP-0031</t>
  </si>
  <si>
    <t>Service Charges for Vacuum Oven</t>
  </si>
  <si>
    <t>ACH-RD-CH-0671</t>
  </si>
  <si>
    <t>Brushes Round and Flat</t>
  </si>
  <si>
    <t>INR 18.2871</t>
  </si>
  <si>
    <t>ACH-MF-CT-0019</t>
  </si>
  <si>
    <t>Dome</t>
  </si>
  <si>
    <t>ACH-MF-JG-0002</t>
  </si>
  <si>
    <t>Achira MFG Jig - Part 1</t>
  </si>
  <si>
    <t>Rajini Industries</t>
  </si>
  <si>
    <t>ACH-MF-JG-0003</t>
  </si>
  <si>
    <t>Achira MFG Jig - Part 2</t>
  </si>
  <si>
    <t>INR 2300.00</t>
  </si>
  <si>
    <t>ACH-MF-JG-0004</t>
  </si>
  <si>
    <t>Achira MFG Jig - Part 3</t>
  </si>
  <si>
    <t>ACH-RD-CH-0672</t>
  </si>
  <si>
    <t>USB 2.0 Cable - A-Male to B-Male - for Personal Computer, Printer- 6 Feet (1.8 Meters), Black</t>
  </si>
  <si>
    <t>INR 236.44</t>
  </si>
  <si>
    <t>ACH-GN-IT-0028</t>
  </si>
  <si>
    <t>HDMI to VGA Cable, UVOOI HDMI to VGA Adapter for Monitor 3.3 Feet Cord Male to Male Video Cable Compatible with Raspberry Pi, Roku, Computer, Laptop, Monitor, Projector, HDTV</t>
  </si>
  <si>
    <t>INR 356.57</t>
  </si>
  <si>
    <t>ACH-RD-CH-0673</t>
  </si>
  <si>
    <t>Professional Stylish Hair Dryers For Womens And Men Hot And Cold DRYER (2000 W BLACK)</t>
  </si>
  <si>
    <t>INR 695.00</t>
  </si>
  <si>
    <t>ACH-RD-CH-0674</t>
  </si>
  <si>
    <t>Vidas - AMH Kit</t>
  </si>
  <si>
    <t>INR 475.00</t>
  </si>
  <si>
    <t>ACH-RD-CH-0675</t>
  </si>
  <si>
    <t>126609 - Albumin, Bovine Serum, Fraction V, Fatty Acid-Free, Nuclease- and Protease-Free</t>
  </si>
  <si>
    <t>INR 2.664</t>
  </si>
  <si>
    <t>ACH-RD-AB-0118</t>
  </si>
  <si>
    <t>40588-V08B - SARS-CoV-2 (2019-nCoV) 30.00 Nucleocapsid-His recombinant Protein</t>
  </si>
  <si>
    <t>INR 417.20</t>
  </si>
  <si>
    <t>ACH-RD-CH-0676</t>
  </si>
  <si>
    <t>40832-V08B - Human respiratory syncytial virus 30.00 (RSV) (B, strain 18537) Fusion glycoprotein F0 / RSV-F Protein (His Tag)</t>
  </si>
  <si>
    <t>INR 461.30</t>
  </si>
  <si>
    <t>ACH-EN-ME-0168</t>
  </si>
  <si>
    <t>Supply of 3D Printing Parts Tray Cartiridge 30 Nov 2023 (Includes Black Matte)</t>
  </si>
  <si>
    <t>Fillet Engineering Services</t>
  </si>
  <si>
    <t>ACH-EN-ME-0169</t>
  </si>
  <si>
    <t>Supply of 3D Printing Parts Tray Guide 30 Nov 2024 (Includes Black Matte)</t>
  </si>
  <si>
    <t>ACH-MF-JG-0005</t>
  </si>
  <si>
    <t>Insert cost (8 inserts per set)</t>
  </si>
  <si>
    <t>ACH-EN-SP-0032</t>
  </si>
  <si>
    <t>Harware Design Review</t>
  </si>
  <si>
    <t>CAPUF Embedded Private Limited</t>
  </si>
  <si>
    <t>ACH-RD-CH-0677</t>
  </si>
  <si>
    <t>Synthesis of Chemiluminescent Luminol based Acrylamide</t>
  </si>
  <si>
    <t>INR 116820.00</t>
  </si>
  <si>
    <t>Vellore Institute of Technology</t>
  </si>
  <si>
    <t>ACH-EN-SP-0033</t>
  </si>
  <si>
    <t>Contractual Deployment of Resources - Manufacturing Manager</t>
  </si>
  <si>
    <t>INR 350000.00</t>
  </si>
  <si>
    <t>ACH-MF-RM-0004</t>
  </si>
  <si>
    <t>304 S S Mesh 1 m x 1m - 150 microns</t>
  </si>
  <si>
    <t>Raj WireMesh</t>
  </si>
  <si>
    <t>ACH-RD-CH-0678</t>
  </si>
  <si>
    <t>Labolene Neutral</t>
  </si>
  <si>
    <t>INR 345.00</t>
  </si>
  <si>
    <t>ACH-MF-RM-0005</t>
  </si>
  <si>
    <t>Mesh_221H (1)(1)</t>
  </si>
  <si>
    <t>Magod Laser Machining Pvt Ltd</t>
  </si>
  <si>
    <t>ACH-RD-CM-0158</t>
  </si>
  <si>
    <t>Beaker 500mL PP</t>
  </si>
  <si>
    <t>INR 82.3333</t>
  </si>
  <si>
    <t>ACH-RD-CM-0159</t>
  </si>
  <si>
    <t>Beaker 250mL PP</t>
  </si>
  <si>
    <t>INR 57.8333</t>
  </si>
  <si>
    <t>ACH-RD-CH-0679</t>
  </si>
  <si>
    <t>Sodium Hypochlorite Solutions</t>
  </si>
  <si>
    <t>INR 141.60</t>
  </si>
  <si>
    <t>ACH-MF-CT-0020</t>
  </si>
  <si>
    <t>Rotary valve &amp; Rubber Valve</t>
  </si>
  <si>
    <t>Sai Rubber Industries</t>
  </si>
  <si>
    <t>ACH-EN-ME-0170</t>
  </si>
  <si>
    <t>PC Block</t>
  </si>
  <si>
    <t>INR 22.00</t>
  </si>
  <si>
    <t>ACH-MF-CT-0021</t>
  </si>
  <si>
    <t>Cartridge Assembly Part 1 - Rotary valve &amp; Rubber Valve</t>
  </si>
  <si>
    <t>ACH-RD-CH-0680</t>
  </si>
  <si>
    <t>Cartridge Assembly Part 2 - Mesh</t>
  </si>
  <si>
    <t>ACH-GN-IT-0029</t>
  </si>
  <si>
    <t>Device Monitoring Dashboard - Phase 1</t>
  </si>
  <si>
    <t>ACH-RD-CH-0681</t>
  </si>
  <si>
    <t>Product Videos for Achira Thyroid Function Test Device</t>
  </si>
  <si>
    <t>INR 85000.00</t>
  </si>
  <si>
    <t>Mathew Dominic</t>
  </si>
  <si>
    <t>ACH-EN-ME-0171</t>
  </si>
  <si>
    <t>SS Allen Bolt M2.5 x 6</t>
  </si>
  <si>
    <t>Blue Nile Trading Corporation</t>
  </si>
  <si>
    <t>ACH-RD-CM-0160</t>
  </si>
  <si>
    <t>Plastic Containers - 1500mL</t>
  </si>
  <si>
    <t>INR 45.70</t>
  </si>
  <si>
    <t>ACH-RD-CM-0161</t>
  </si>
  <si>
    <t>Plastic Containers - 2500mL</t>
  </si>
  <si>
    <t>INR 80.66</t>
  </si>
  <si>
    <t>ACH-RD-CH-0682</t>
  </si>
  <si>
    <t>Tool Kit for Home Use Tools Kit Spanner Set Socket Set Wrench Set Tools Set Hand Tools Bike Tool Kit Set Socket Wrench Set Spanner Set All Size Tool Kit Goti Pana Set - Box End</t>
  </si>
  <si>
    <t>INR 549.00</t>
  </si>
  <si>
    <t>ACH-RD-CH-0683</t>
  </si>
  <si>
    <t>encoder_1 80_pos - Material: stainless steel 304 180CPR thickness:0.10mm Î¦43.5*Î¦25.0mm</t>
  </si>
  <si>
    <t>INR 697.20</t>
  </si>
  <si>
    <t>Vantech Precision Technology Co. Ltd</t>
  </si>
  <si>
    <t>ACH-RD-CH-0684</t>
  </si>
  <si>
    <t>encoder_2 34.70 268.20 40_pos Material: stainless steel 304 240CPR thickness:0.15mm Î¦53.5*Î¦25.0mm</t>
  </si>
  <si>
    <t>INR 1402.70</t>
  </si>
  <si>
    <t>ACH-EN-ME-0172</t>
  </si>
  <si>
    <t>mesh Material: stainless steel 304 thickness:0.10mm Î¦6.8*Î¦0.15mm</t>
  </si>
  <si>
    <t>INR 269.75</t>
  </si>
  <si>
    <t>ACH-RD-CH-0685</t>
  </si>
  <si>
    <t>Measuring Insrument - LABK1/MicropumpB10TYR</t>
  </si>
  <si>
    <t>INR 12450.00</t>
  </si>
  <si>
    <t>Tianjin Horizon Import and Export Co., Ltd</t>
  </si>
  <si>
    <t>ACH-RD-CH-0686</t>
  </si>
  <si>
    <t>Measuring Instrument - MicropumpB06TYR</t>
  </si>
  <si>
    <t>ACH-EN-EL-0235</t>
  </si>
  <si>
    <t>2151-RH100-12.000-12-1010-X-TR-NS2CT-ND - CRYSTAL 12.0MHZ 12PF SMD</t>
  </si>
  <si>
    <t>INR 14.09</t>
  </si>
  <si>
    <t>ACH-RD-CH-0687</t>
  </si>
  <si>
    <t>469-1020-ND - MAGNET 0.079"D X 0.315"THICK CYL</t>
  </si>
  <si>
    <t>INR 16.4072</t>
  </si>
  <si>
    <t>ACH-RD-CH-0688</t>
  </si>
  <si>
    <t>475-GWJTLPS1.EM-KKLN-XX51-1-150-C-R33CT-ND - LED DURIS E2835 WHITE 6500K 1411</t>
  </si>
  <si>
    <t>INR 7.587</t>
  </si>
  <si>
    <t>ACH-EN-EL-0236</t>
  </si>
  <si>
    <t>1510-SPMWH1228MD5WARMVLCT-ND - LED LM281B+ COOL WHT 5000K 1411</t>
  </si>
  <si>
    <t>INR 13.923</t>
  </si>
  <si>
    <t>ACH-EN-EL-0237</t>
  </si>
  <si>
    <t>2138-JB2835BWT-N-U57EA0000-N000P001CT-ND - LED J COOL WHITE 5700K 1411</t>
  </si>
  <si>
    <t>INR 7.086</t>
  </si>
  <si>
    <t>ACH-RD-CH-0689</t>
  </si>
  <si>
    <t>732-153283367A212CT-ND - WL-SUTW SMT ULTRAVIOLET TOPLED W</t>
  </si>
  <si>
    <t>INR 28.346</t>
  </si>
  <si>
    <t>ACH-RD-CH-0690</t>
  </si>
  <si>
    <t>1080-ELUA2016OGB-P6070Q43040020-VA1MCT-ND - UV 2016 PACKAGE, 0.08W 365NM</t>
  </si>
  <si>
    <t>INR 84.204</t>
  </si>
  <si>
    <t>ACH-RD-CH-0691</t>
  </si>
  <si>
    <t>2725-K12MT-12A-PCT-ND - NON-ISOLATED POL MODULE DC DC CO</t>
  </si>
  <si>
    <t>INR 499.39</t>
  </si>
  <si>
    <t>ACH-EN-EL-0238</t>
  </si>
  <si>
    <t>296-22673-ND - DC DC CONVERTER 0.6-5.5V</t>
  </si>
  <si>
    <t>INR 847.04</t>
  </si>
  <si>
    <t>ACH-EN-EL-0239</t>
  </si>
  <si>
    <t>1080-1481-1-ND - LED COOL WHITE 5000K 2PLCC</t>
  </si>
  <si>
    <t>INR 20.342</t>
  </si>
  <si>
    <t>ACH-RD-CH-0692</t>
  </si>
  <si>
    <t>296-34806-1-ND - IC MOTOR DRIVER PAR 8WSON</t>
  </si>
  <si>
    <t>INR 85.04</t>
  </si>
  <si>
    <t>ACH-RD-CH-0693</t>
  </si>
  <si>
    <t>1670-VC1434B002U-ND - VIBRATION ERM MOTOR 9K RPM 3.0G</t>
  </si>
  <si>
    <t>INR 295.96</t>
  </si>
  <si>
    <t>ACH-RD-CH-0694</t>
  </si>
  <si>
    <t>1670-VZ7AL2B1692082-ND - VIBRATION ERM MTR 12K RPM 5.1G</t>
  </si>
  <si>
    <t>INR 314.30</t>
  </si>
  <si>
    <t>ACH-RD-CH-0695</t>
  </si>
  <si>
    <t>1670-VJQ24-35K270B-ND - VIBRATION ERM MTR 3400 RPM 8.4G</t>
  </si>
  <si>
    <t>INR 532.73</t>
  </si>
  <si>
    <t>ACH-RD-CH-0696</t>
  </si>
  <si>
    <t>1670-VZ7AL2B1692612-ND - VIBRATION ERM MTR 12K RPM 5.1G</t>
  </si>
  <si>
    <t>INR 343.48</t>
  </si>
  <si>
    <t>ACH-EN-SP-0034</t>
  </si>
  <si>
    <t>Proofing Charges</t>
  </si>
  <si>
    <t>Babu Printers</t>
  </si>
  <si>
    <t>ACH-EN-EQ-0050</t>
  </si>
  <si>
    <t>pH electrode - pH range â€“ 0 to 13pH</t>
  </si>
  <si>
    <t>INR 15150.00</t>
  </si>
  <si>
    <t>ACH-MF-RM-0006</t>
  </si>
  <si>
    <t>Mesh_221H</t>
  </si>
  <si>
    <t>INR 17.00</t>
  </si>
  <si>
    <t>Balambiga Metal Finishers</t>
  </si>
  <si>
    <t>ACH-RD-CH-0697</t>
  </si>
  <si>
    <t>SRL - 56043 - -Hydroxypropyl-B-Cyclod6nr(HPBCD)</t>
  </si>
  <si>
    <t>INR 0.1008</t>
  </si>
  <si>
    <t>ACH-RD-CH-0698</t>
  </si>
  <si>
    <t>Final Plate Lamination Job Work (3M 9793R) 74*40</t>
  </si>
  <si>
    <t>ACH-RD-AB-0119</t>
  </si>
  <si>
    <t>HM654 - Estradiol (E2) Antibody</t>
  </si>
  <si>
    <t>INR 38.18</t>
  </si>
  <si>
    <t>ACH-RD-AB-0120</t>
  </si>
  <si>
    <t>HM1225 - Progesterone Antibody</t>
  </si>
  <si>
    <t>ACH-RD-AB-0121</t>
  </si>
  <si>
    <t>LA330 - Progesterone-3-BSA Antigen</t>
  </si>
  <si>
    <t>INR 23.655</t>
  </si>
  <si>
    <t>ACH-RD-AB-0122</t>
  </si>
  <si>
    <t>100756 - Anti-h AMH 11301 SPTN-5</t>
  </si>
  <si>
    <t>INR 20.74</t>
  </si>
  <si>
    <t>ACH-RD-AB-0123</t>
  </si>
  <si>
    <t>100758 - Anti-h AMH 11303 SPTN-5</t>
  </si>
  <si>
    <t>ACH-RD-AB-0124</t>
  </si>
  <si>
    <t>700011 - Anti-h E2 (Estradiol) 10450</t>
  </si>
  <si>
    <t>INR 31.365</t>
  </si>
  <si>
    <t>ACH-EN-EQ-0051</t>
  </si>
  <si>
    <t>12002 - Abet Technologies 4 x 4 Inch 200W lamp 350-450 nm</t>
  </si>
  <si>
    <t>INR 2022969.00</t>
  </si>
  <si>
    <t>Aeronics eMaROh LLP</t>
  </si>
  <si>
    <t>ACH-EN-EQ-0052</t>
  </si>
  <si>
    <t>12002-ND0.5</t>
  </si>
  <si>
    <t>INR 25445.00</t>
  </si>
  <si>
    <t>ACH-EN-EQ-0053</t>
  </si>
  <si>
    <t>12002-ND1.0</t>
  </si>
  <si>
    <t>ACH-EN-EQ-0054</t>
  </si>
  <si>
    <t>12002-ND2.0</t>
  </si>
  <si>
    <t>ACH-RD-CH-0699</t>
  </si>
  <si>
    <t>Aluminium Silver foil Pouches "9x12" Inches Bags</t>
  </si>
  <si>
    <t>INR 2.1186</t>
  </si>
  <si>
    <t>ACH-RD-CH-0700</t>
  </si>
  <si>
    <t>Aluminium Silver foil Pouches "4x6" Inches Bags</t>
  </si>
  <si>
    <t>INR 1.4407</t>
  </si>
  <si>
    <t>ACH-RD-CH-0701</t>
  </si>
  <si>
    <t>Aluminium Silver foil Pouches "5x7" Inches Bags</t>
  </si>
  <si>
    <t>INR 1.5254</t>
  </si>
  <si>
    <t>ACH-EN-EQ-0055</t>
  </si>
  <si>
    <t>9618S-10D - Glass body Micro ToupH Electrodes</t>
  </si>
  <si>
    <t>INR 77000.00</t>
  </si>
  <si>
    <t>ACH-RD-CH-0702</t>
  </si>
  <si>
    <t>Sheep Blood Agar Plate</t>
  </si>
  <si>
    <t>INR 62.00</t>
  </si>
  <si>
    <t>ACH-RD-CM-0162</t>
  </si>
  <si>
    <t>Micro Pipette variable 20-200ul</t>
  </si>
  <si>
    <t>INR 2820.00</t>
  </si>
  <si>
    <t>ACH-RD-CM-0163</t>
  </si>
  <si>
    <t>Micro Pipette variable 200ul-1000ul</t>
  </si>
  <si>
    <t>INR 2850.00</t>
  </si>
  <si>
    <t>ACH-RD-CM-0164</t>
  </si>
  <si>
    <t>Micro pipette tips 200ul</t>
  </si>
  <si>
    <t>ACH-RD-CM-0165</t>
  </si>
  <si>
    <t>Micro pipette tips 1ml</t>
  </si>
  <si>
    <t>INR 0.65</t>
  </si>
  <si>
    <t>ACH-EN-EQ-0056</t>
  </si>
  <si>
    <t>Orbital Shaker 6 position RPM-0-200</t>
  </si>
  <si>
    <t>INR 18250.00</t>
  </si>
  <si>
    <t>ACH-RD-CM-0166</t>
  </si>
  <si>
    <t>P1549 - Microcapillary tube Drummond Microcaps</t>
  </si>
  <si>
    <t>INR 0.01182</t>
  </si>
  <si>
    <t>ACH-RD-CM-0167</t>
  </si>
  <si>
    <t>P1924 - Microcapillary tube Drummond Microcaps</t>
  </si>
  <si>
    <t>INR 271.95</t>
  </si>
  <si>
    <t>ACH-RD-CH-0703</t>
  </si>
  <si>
    <t>30R Fiolax Amber Tubular Glass Vials - 20mm Collar - (Body Dia: 30.00mm, WT: 1.20mm, TH - 75.00mm)</t>
  </si>
  <si>
    <t>INR 10.10</t>
  </si>
  <si>
    <t>Borosil Scientific Limited</t>
  </si>
  <si>
    <t>ACH-RD-CH-0704</t>
  </si>
  <si>
    <t>03660 - Ethylenediaminetetraacetic acid dipotassium salt dihydrate</t>
  </si>
  <si>
    <t>INR 0.05238</t>
  </si>
  <si>
    <t>ACH-RD-CH-0705</t>
  </si>
  <si>
    <t>2MM THICK EPOXY SCREEED + 2MM THICK EPOXY FFLOOR</t>
  </si>
  <si>
    <t>Sqft</t>
  </si>
  <si>
    <t>INR 165.00</t>
  </si>
  <si>
    <t>Sri Tulasi Technical &amp; Engineering Services</t>
  </si>
  <si>
    <t>ACH-RD-CH-0706</t>
  </si>
  <si>
    <t>COVING LAYERING &amp; FINISHING WITH POLYURTHANE PAINT</t>
  </si>
  <si>
    <t>Rft</t>
  </si>
  <si>
    <t>INR 95.00</t>
  </si>
  <si>
    <t>ACH-MF-CT-0022</t>
  </si>
  <si>
    <t>Top Plate</t>
  </si>
  <si>
    <t>ACH-EN-ME-0173</t>
  </si>
  <si>
    <t>3mm 2Flat Carbide End Mill</t>
  </si>
  <si>
    <t>Champion Toolings</t>
  </si>
  <si>
    <t>ACH-RD-AB-0125</t>
  </si>
  <si>
    <t>FrPCAL0002- Recombinant Procalcitonin</t>
  </si>
  <si>
    <t>INR 15090.00</t>
  </si>
  <si>
    <t>ACH-RD-CH-0707</t>
  </si>
  <si>
    <t>TruCal PCT - 173109910082</t>
  </si>
  <si>
    <t>INR 3.37</t>
  </si>
  <si>
    <t>DiaSys Diagnostics India Private Limited</t>
  </si>
  <si>
    <t>ACH-RD-CH-0708</t>
  </si>
  <si>
    <t>TruLab PCT Level 2 - 599809910046</t>
  </si>
  <si>
    <t>INR 4.177</t>
  </si>
  <si>
    <t>ACH-RD-CH-0709</t>
  </si>
  <si>
    <t>TruLab PCT Level1 - 599709910046</t>
  </si>
  <si>
    <t>ACH-RD-CH-0710</t>
  </si>
  <si>
    <t>A8312 - m-Aminophenylboronic acidâ€“Agarose</t>
  </si>
  <si>
    <t>INR 5.94072</t>
  </si>
  <si>
    <t>ACH-RD-CH-0711</t>
  </si>
  <si>
    <t>FLE2 - Fly's Eye Homogenizer, Uncoated: 350 - 1600 nm, WD = 95 mm</t>
  </si>
  <si>
    <t>INR 67558.68</t>
  </si>
  <si>
    <t>ACH-EN-ME-0174</t>
  </si>
  <si>
    <t>SM2A6 - Adapter with External SM2 Threads and Internal SM1 Threads</t>
  </si>
  <si>
    <t>INR 2415.30</t>
  </si>
  <si>
    <t>ACH-EN-ME-0175</t>
  </si>
  <si>
    <t>LCP45/M - 60 mm Removable Segment Cage Plate, 0.50" Thick, Metric</t>
  </si>
  <si>
    <t>INR 4910.28</t>
  </si>
  <si>
    <t>ACH-EN-ME-0176</t>
  </si>
  <si>
    <t>ER6 - Cage Assembly Rod, 6" Long, Ã˜6 mm</t>
  </si>
  <si>
    <t>INR 776.88</t>
  </si>
  <si>
    <t>ACH-RD-CH-0712</t>
  </si>
  <si>
    <t>2 inch Glue Roller Black Handle for Ink Paint Block Stamping, Printmaking Wallpaper Arts Crafts</t>
  </si>
  <si>
    <t>INR 317.18</t>
  </si>
  <si>
    <t>ACH-RD-CH-0713</t>
  </si>
  <si>
    <t>OPFBJW000 11 - Glass Slicing of Dia 25mm to Dia 11mm and Edge Blackening</t>
  </si>
  <si>
    <t>INR 2800.00</t>
  </si>
  <si>
    <t>ACH-RD-CH-0714</t>
  </si>
  <si>
    <t>G7021 - D-(+)-Glucose</t>
  </si>
  <si>
    <t>INR 5.36</t>
  </si>
  <si>
    <t>ACH-RD-CH-0715</t>
  </si>
  <si>
    <t>Multiplexed PCR kit for screening RSV, Influenza A, Influenza B, and COVID-19 RUO Reagents</t>
  </si>
  <si>
    <t>ACH-GN-IT-0030</t>
  </si>
  <si>
    <t>Dp To Vga Cable, Displayport To Vga Adapter, Connects From Desktop Or Laptop To Monitor Or Projector (1.8 M), Black</t>
  </si>
  <si>
    <t>INR 465.25</t>
  </si>
  <si>
    <t>ACH-RD-CH-0716</t>
  </si>
  <si>
    <t>Multipurpose 5 Shelves Shoe Rack With Zip Door Cover &amp; Side Pockets, Multiuse Storage Rack For Footwear, Toys, Clothes With Dustproof Cover (5 Shelves, Brown, Plastic)</t>
  </si>
  <si>
    <t>ACH-EN-ME-0177</t>
  </si>
  <si>
    <t>1/4 inch Drive Socket Set Combination Plier Metric Ratchet Wrench Set with 4-14mm CR-V Sockets,S2 Bits,Extension Bars,Mechanic Tool Kits for Household Auto Repair</t>
  </si>
  <si>
    <t>INR 618.10</t>
  </si>
  <si>
    <t>ACH-EN-EQ-0057</t>
  </si>
  <si>
    <t>25Ltrs R.O +Alkaline with S.S.Tank 50Ltrs</t>
  </si>
  <si>
    <t>INR 23500.00</t>
  </si>
  <si>
    <t>Unique Airconditioning</t>
  </si>
  <si>
    <t>ACH-EN-EQ-0058</t>
  </si>
  <si>
    <t>IZF10-B - SMC Ionizer</t>
  </si>
  <si>
    <t>INR 21075.00</t>
  </si>
  <si>
    <t>Frontier process controls</t>
  </si>
  <si>
    <t>ACH-EN-EQ-0059</t>
  </si>
  <si>
    <t>IZF21-B - SMC Ionizer</t>
  </si>
  <si>
    <t>INR 39185.00</t>
  </si>
  <si>
    <t>ACH-EN-EQ-0060</t>
  </si>
  <si>
    <t>750mm Impact Resistant Road Traffic Safety Cones with Reflective Strips Collar</t>
  </si>
  <si>
    <t>INR 258.2625</t>
  </si>
  <si>
    <t>ACH-RD-CH-0717</t>
  </si>
  <si>
    <t>5 meter, S Hook Type Plastic Safety Barrier Cone Chain for Construction with 6mm Thickness â€“ (Red &amp; White)</t>
  </si>
  <si>
    <t>INR 244.92</t>
  </si>
  <si>
    <t>ACH-EN-EQ-0061</t>
  </si>
  <si>
    <t>Continuous Air Suction Band Sealer LF1080B</t>
  </si>
  <si>
    <t>INR 780000.00</t>
  </si>
  <si>
    <t>Power Pack Systems</t>
  </si>
  <si>
    <t>ACH-EN-ME-0178</t>
  </si>
  <si>
    <t>Supply of 3D Printing Parts - SLA BOTTOM BOX_V1</t>
  </si>
  <si>
    <t>INR 3618.00</t>
  </si>
  <si>
    <t>ACH-EN-ME-0179</t>
  </si>
  <si>
    <t>Supply of 3D Printing Parts - SLA CASING _BACK_V1</t>
  </si>
  <si>
    <t>INR 2345.00</t>
  </si>
  <si>
    <t>ACH-EN-ME-0180</t>
  </si>
  <si>
    <t>Supply of 3D Printing Parts - SLA CASING _LH_V1</t>
  </si>
  <si>
    <t>INR 2613.00</t>
  </si>
  <si>
    <t>ACH-EN-ME-0181</t>
  </si>
  <si>
    <t>Supply of 3D Printing Parts - SLA CASING _RH_V1</t>
  </si>
  <si>
    <t>ACH-EN-ME-0182</t>
  </si>
  <si>
    <t>Supply of 3D Printing Parts - SLA CASING_BOTTOM_V1</t>
  </si>
  <si>
    <t>INR 2077.00</t>
  </si>
  <si>
    <t>ACH-EN-ME-0183</t>
  </si>
  <si>
    <t>Supply of 3D Printing Parts - SLA DISPLAY BRACKET_V1</t>
  </si>
  <si>
    <t>INR 938.00</t>
  </si>
  <si>
    <t>ACH-EN-ME-0184</t>
  </si>
  <si>
    <t>Supply of 3D Printing Parts - SLA FRONT CASING_V1</t>
  </si>
  <si>
    <t>INR 1943.00</t>
  </si>
  <si>
    <t>ACH-EN-ME-0185</t>
  </si>
  <si>
    <t>Supply of 3D Printing Parts - SLA TOP CASING_V1</t>
  </si>
  <si>
    <t>INR 2278.00</t>
  </si>
  <si>
    <t>ACH-EN-ME-0186</t>
  </si>
  <si>
    <t>Supply of 3D Printing Parts - SLA TOP DOME_V1</t>
  </si>
  <si>
    <t>ACH-EN-ME-0187</t>
  </si>
  <si>
    <t>Supply of 3D Printing Parts - SLA TRAY BASE _V1</t>
  </si>
  <si>
    <t>INR 3015.00</t>
  </si>
  <si>
    <t>ACH-EN-ME-0188</t>
  </si>
  <si>
    <t>Supply of 3D Printing Parts - SLA TRAY HANDLE_V1</t>
  </si>
  <si>
    <t>INR 603.00</t>
  </si>
  <si>
    <t>ACH-EN-ME-0189</t>
  </si>
  <si>
    <t>Supply of 3D Printing Parts - SLA TRAY_V1</t>
  </si>
  <si>
    <t>INR 1876.00</t>
  </si>
  <si>
    <t>ACH-EN-ME-0190</t>
  </si>
  <si>
    <t>Supply of 3D Printing Parts - SLA CRADDLE</t>
  </si>
  <si>
    <t>ACH-EN-ME-0191</t>
  </si>
  <si>
    <t>Supply of 3D Printing Parts - SLA OUTER BODY</t>
  </si>
  <si>
    <t>INR 455.00</t>
  </si>
  <si>
    <t>ACH-EN-ME-0192</t>
  </si>
  <si>
    <t>Supply of 3D Printing Parts - SLA TRAY GUIDE - M3 * 5 INSERT</t>
  </si>
  <si>
    <t>INR 3120.00</t>
  </si>
  <si>
    <t>ACH-EN-ME-0193</t>
  </si>
  <si>
    <t>Supply of 3D Printing Parts - SLA TRAY - M3* 5 INSERT</t>
  </si>
  <si>
    <t>INR 1430.00</t>
  </si>
  <si>
    <t>ACH-EN-EQ-0062</t>
  </si>
  <si>
    <t>Infusion Syringe Pump</t>
  </si>
  <si>
    <t>INR 76200.00</t>
  </si>
  <si>
    <t>ACH-RD-CH-0718</t>
  </si>
  <si>
    <t>20mm rubber</t>
  </si>
  <si>
    <t>ACH-RD-CH-0719</t>
  </si>
  <si>
    <t>instrument packing box with inside fitments in EPE Foam, Top Printed Sticker, Top Plastic Handle, multiple Dies for box &amp;amp; Foam</t>
  </si>
  <si>
    <t>INR 1450.00</t>
  </si>
  <si>
    <t>Mangalam Creations</t>
  </si>
  <si>
    <t>ACH-RD-CH-0720</t>
  </si>
  <si>
    <t>94IDA-42-001 - Sartobind IDA, 1 A4 sheet</t>
  </si>
  <si>
    <t>INR 17595.00</t>
  </si>
  <si>
    <t>Sartorius Stedim Biotech GmbH</t>
  </si>
  <si>
    <t>ACH-RD-CM-0168</t>
  </si>
  <si>
    <t>Polypropylene Microcentrifuge Tube Rack, Double Panel 60-Well Centrifuge Test Tube Holder for Chemistry Laboratory</t>
  </si>
  <si>
    <t>INR 985.80</t>
  </si>
  <si>
    <t>ACH-RD-CH-0721</t>
  </si>
  <si>
    <t>Stainless Steel Bottle/Bar/Beer/Soda Opener</t>
  </si>
  <si>
    <t>INR 45.90333</t>
  </si>
  <si>
    <t>ACH-GN-HK-0021</t>
  </si>
  <si>
    <t>Professional Microfiber Dust Mop for Floor Cleaning with Extendable Aluminum Handle for Wood, Tile, Laminate, Vinyl 24 INCH (Blue) (with 1 reffil)</t>
  </si>
  <si>
    <t>INR 643.26</t>
  </si>
  <si>
    <t>ACH-EN-EQ-0063</t>
  </si>
  <si>
    <t>SJP Taiwan Make 15kHz 2600W Ultrasonic Welding Machine (KWB 2615 Model)</t>
  </si>
  <si>
    <t>INR 534500.00</t>
  </si>
  <si>
    <t>SJP Ultrasonics Pvt. Ltd</t>
  </si>
  <si>
    <t>ACH-EN-EQ-0064</t>
  </si>
  <si>
    <t>1.5 Ton 3 Star Inverter Split AC (Copper, Smart Ready, 5 in 1 Convertible, Turbo Cool, ID318YKU, 2023 Model, White)</t>
  </si>
  <si>
    <t>INR 28117.19</t>
  </si>
  <si>
    <t>ACH-RD-AB-0126</t>
  </si>
  <si>
    <t>2T6 1H1cc Anti-Thyroxine</t>
  </si>
  <si>
    <t>INR 9.09</t>
  </si>
  <si>
    <t>ACH-RD-FL-0046</t>
  </si>
  <si>
    <t>Supply of 3D Printing Parts - SLA OUTER BODY- M3*5mm INSERTS - 4 NOS</t>
  </si>
  <si>
    <t>INR 525.00</t>
  </si>
  <si>
    <t>ACH-EN-ME-0194</t>
  </si>
  <si>
    <t>Supply of 3D Printing Parts - SLA TRAY GUIDE - M3*5mm INSERTS - 8 NOS</t>
  </si>
  <si>
    <t>ACH-EN-ME-0195</t>
  </si>
  <si>
    <t>Supply of 3D Printing Parts - SLA TRAY</t>
  </si>
  <si>
    <t>INR 1650.00</t>
  </si>
  <si>
    <t>ACH-EN-ME-0196</t>
  </si>
  <si>
    <t>Supply of 3D Printing Parts - SLA Z LOCK BLOCK</t>
  </si>
  <si>
    <t>ACH-RD-CH-0722</t>
  </si>
  <si>
    <t>Anti-DenguE IGG</t>
  </si>
  <si>
    <t>ACH-RD-CH-0723</t>
  </si>
  <si>
    <t>Anti-Dengue IGM</t>
  </si>
  <si>
    <t>ACH-RD-CH-0724</t>
  </si>
  <si>
    <t>Anti-Dengue INS1 Ag</t>
  </si>
  <si>
    <t>ACH-RD-AB-0127</t>
  </si>
  <si>
    <t>FAR-601-G - PCT Rapid Test Uncut Sheetï¼ˆcassette-Gï¼‰</t>
  </si>
  <si>
    <t>INR 765.00</t>
  </si>
  <si>
    <t>ACH-EN-SP-0035</t>
  </si>
  <si>
    <t>Network Solutions</t>
  </si>
  <si>
    <t>INR 35250.00</t>
  </si>
  <si>
    <t>Mac Data Solutions</t>
  </si>
  <si>
    <t>ACH-EN-ME-0197</t>
  </si>
  <si>
    <t>Drill Bit Set, Metal Countersink Bit, 6 Piece In 1 Set Hexagonal Shank Chamfer For Wood Metal Working Chamfer And Deburring</t>
  </si>
  <si>
    <t>INR 356.25</t>
  </si>
  <si>
    <t>ACH-EN-EQ-0065</t>
  </si>
  <si>
    <t>Orbital Shaker 9 position RPM-0-200</t>
  </si>
  <si>
    <t>INR 25400.00</t>
  </si>
  <si>
    <t>ACH-MF-JG-0006</t>
  </si>
  <si>
    <t>Base Plate Mould - M M Polymers</t>
  </si>
  <si>
    <t>INR 52000.00</t>
  </si>
  <si>
    <t>ACH-MF-JG-0007</t>
  </si>
  <si>
    <t>Top Plate Mould - M M Polymers</t>
  </si>
  <si>
    <t>INR 45000.00</t>
  </si>
  <si>
    <t>ACH-GN-IT-0031</t>
  </si>
  <si>
    <t>Acer ZPLU 15 Aspire 5 Laptop</t>
  </si>
  <si>
    <t>INR 39056.68</t>
  </si>
  <si>
    <t>Infiniti Retail Ltd (chroma)</t>
  </si>
  <si>
    <t>ACH-RD-CH-0725</t>
  </si>
  <si>
    <t>D (+)- Trehalose dihydrate</t>
  </si>
  <si>
    <t>INR 0.084746</t>
  </si>
  <si>
    <t>Boffin Butler Pvt Ltd</t>
  </si>
  <si>
    <t>ACH-MF-LB-0004</t>
  </si>
  <si>
    <t>SMP-DS-2324-03547 Label</t>
  </si>
  <si>
    <t>ACH-EN-EQ-0066</t>
  </si>
  <si>
    <t>Dining Table PRW</t>
  </si>
  <si>
    <t>INR 2500.00</t>
  </si>
  <si>
    <t>Mayur Tex</t>
  </si>
  <si>
    <t>ACH-EN-EQ-0067</t>
  </si>
  <si>
    <t>Chairs - 4002 PRW</t>
  </si>
  <si>
    <t>INR 466.10</t>
  </si>
  <si>
    <t>ACH-MF-PM-0013</t>
  </si>
  <si>
    <t>0.5 CILICANT SGO DESICCANT Pouch (GDT3) 0203020.500CP1</t>
  </si>
  <si>
    <t>Cilicant Private Limited</t>
  </si>
  <si>
    <t>ACH-EN-EQ-0068</t>
  </si>
  <si>
    <t>8975011754 - G4 FF 10BAR TM AIR COMPRESSOR</t>
  </si>
  <si>
    <t>INR 215000.00</t>
  </si>
  <si>
    <t>ASG Energy Solutions Pvt Ltd.</t>
  </si>
  <si>
    <t>ACH-EN-EQ-0069</t>
  </si>
  <si>
    <t>8102264978 - Filter PD12 (G 1/2)</t>
  </si>
  <si>
    <t>ACH-EN-EL-0240</t>
  </si>
  <si>
    <t>6V Vibration motor mini micro DC Motor DC 20x15x25mm 7100 rpm 0.17A for Toys DIY Projects</t>
  </si>
  <si>
    <t>INR 47.67</t>
  </si>
  <si>
    <t>ACH-EN-EQ-0070</t>
  </si>
  <si>
    <t>ULV Fogger Machine with Timer (SS-304), Capacity 5 Litre Approx.</t>
  </si>
  <si>
    <t>INR 12627.27</t>
  </si>
  <si>
    <t>ACH-RD-CH-0726</t>
  </si>
  <si>
    <t>Gel Vaccum Tube (Yellow, 13X75 Mm)</t>
  </si>
  <si>
    <t>INR 7.5046</t>
  </si>
  <si>
    <t>ACH-RD-CH-0727</t>
  </si>
  <si>
    <t>Sterile Disposable Single-Use Safety Glucometer Lancet-</t>
  </si>
  <si>
    <t>INR 5.1339</t>
  </si>
  <si>
    <t>ACH-GN-HK-0022</t>
  </si>
  <si>
    <t>Spin Mop with Plastic Bucket Set, Blue</t>
  </si>
  <si>
    <t>INR 677.12</t>
  </si>
  <si>
    <t>ACH-RD-CH-0728</t>
  </si>
  <si>
    <t>Vacuum Blood Collection Tube EDTA K2-3ml Double Cap</t>
  </si>
  <si>
    <t>INR 5.3125</t>
  </si>
  <si>
    <t>ACH-EN-EQ-0071</t>
  </si>
  <si>
    <t>Mini Magnetic Stirrer (Model No. HV-MS-10)</t>
  </si>
  <si>
    <t>INR 7049.00</t>
  </si>
  <si>
    <t>Hover Labs</t>
  </si>
  <si>
    <t>ACH-RD-CH-0729</t>
  </si>
  <si>
    <t>Silicon wafer intrinsic 4 Inch for Scientific Uses</t>
  </si>
  <si>
    <t>INR 8288.00</t>
  </si>
  <si>
    <t>ACH-RD-CH-0730</t>
  </si>
  <si>
    <t>L10005 - LEYBONOL LVO 100,</t>
  </si>
  <si>
    <t>Leybold India Private Limited</t>
  </si>
  <si>
    <t>ACH-EN-EQ-0072</t>
  </si>
  <si>
    <t>Hb 201 Analyzer</t>
  </si>
  <si>
    <t>INR 17820.00</t>
  </si>
  <si>
    <t>Greenwell Speciality Healthcare Pvt. Ltd</t>
  </si>
  <si>
    <t>ACH-RD-CH-0731</t>
  </si>
  <si>
    <t>Hb 201 Cuvettes</t>
  </si>
  <si>
    <t>INR 24.05</t>
  </si>
  <si>
    <t>ACH-EN-EL-0241</t>
  </si>
  <si>
    <t>SMT02401251574670 - Circuit Board Assembly Module</t>
  </si>
  <si>
    <t>INR 380.12</t>
  </si>
  <si>
    <t>ACH-EN-EL-0242</t>
  </si>
  <si>
    <t>SMT02401251574674 - Circuit Board Assembly Module</t>
  </si>
  <si>
    <t>INR 252.79</t>
  </si>
  <si>
    <t>ACH-EN-SP-0036</t>
  </si>
  <si>
    <t>Software Service &amp; Support</t>
  </si>
  <si>
    <t>INR 95000.00</t>
  </si>
  <si>
    <t>Baluns Technologies</t>
  </si>
  <si>
    <t>ACH-RD-CH-0732</t>
  </si>
  <si>
    <t>LR2X-500-02 - Lyophilization Reagent</t>
  </si>
  <si>
    <t>INR 0.024776</t>
  </si>
  <si>
    <t>De-Luxe Trading Company</t>
  </si>
  <si>
    <t>ACH-RD-CH-0733</t>
  </si>
  <si>
    <t>786-2013 - Recombinant Protien AG</t>
  </si>
  <si>
    <t>M &amp; K Biosolution</t>
  </si>
  <si>
    <t>ACH-EN-EQ-0073</t>
  </si>
  <si>
    <t>1 Ton 3 Star Convertible 5 in 1 Cooling Inverter Split AC (Copper, Multi Sensors, Dust Filters, Smart Ready, Blue Fins, Self Diagnosis, 2023Model, IC312YNU,White)</t>
  </si>
  <si>
    <t>INR 24664.92</t>
  </si>
  <si>
    <t>ACH-EN-SP-0037</t>
  </si>
  <si>
    <t>Annual Maintenance Contract - Laser Machine</t>
  </si>
  <si>
    <t>Unique Laser Engravers</t>
  </si>
  <si>
    <t>ACH-RD-CH-0734</t>
  </si>
  <si>
    <t>S S Blade</t>
  </si>
  <si>
    <t>INR 4.90</t>
  </si>
  <si>
    <t>ACH-MF-CM-0070</t>
  </si>
  <si>
    <t>Shoe Cover</t>
  </si>
  <si>
    <t>ACH-EN-EL-0243</t>
  </si>
  <si>
    <t>004-MD-10118 - 7semi vikram 1101 11V 1A 1-Ch DC Motor Driver</t>
  </si>
  <si>
    <t>ACH-RD-CH-0735</t>
  </si>
  <si>
    <t>Screw Driver Set with Bulb - 840</t>
  </si>
  <si>
    <t>ACH-GN-IT-0032</t>
  </si>
  <si>
    <t>TP-Link UE300C USB Type-C to RJ45 Gigabit Ethernet Network Adapter/RJ45 LAN Wired Adapter for Ultrabook, Chromebook, Laptop, Desktop, Plug &amp; Play, USB 3.0, Foldable and Portable Design</t>
  </si>
  <si>
    <t>ACH-EN-ME-0198</t>
  </si>
  <si>
    <t>Pneumatic connector Push In Fittings For Air Hose and Tube Connector BUC Valve (8MM)</t>
  </si>
  <si>
    <t>INR 210.17</t>
  </si>
  <si>
    <t>ACH-RD-CH-0736</t>
  </si>
  <si>
    <t>Quick Connector Pneumatic Air Fittings 5pcs (6MM Pipe x 1/4" Thread)</t>
  </si>
  <si>
    <t>INR 166.10</t>
  </si>
  <si>
    <t>ACH-EN-ME-0199</t>
  </si>
  <si>
    <t>1/4" Inch Pneumatic Air Filter Regulator (FR Unit) With Pressure Gauge and Plastic Guard Air Compressor Unit</t>
  </si>
  <si>
    <t>INR 713.14</t>
  </si>
  <si>
    <t>ACH-EN-ME-0200</t>
  </si>
  <si>
    <t>teel Feeler Gauge Dual Marked Metric and Imperial Measuring Tool (32 Blades Feeler Gauge, 16 Blades Feeler Gauge), Dual Marked Gap Measuring Tool Kit for Repair, Bass Guitar, Spark Plug</t>
  </si>
  <si>
    <t>INR 253.815</t>
  </si>
  <si>
    <t>ACH-RD-CM-0169</t>
  </si>
  <si>
    <t>Transparent Goggle Style Face Shield | Anti-Fog, Scratch Resistant Clear Face, Cover Glasses, Crystal Clarity, Transparent, Breathable and Comfortable (Single)</t>
  </si>
  <si>
    <t>ACH-GN-IT-0033</t>
  </si>
  <si>
    <t>Vivo AiO V222, 4 core Intel Pentium Silver J5040, 21.5" (54.61cm), All-in-One Desktop (8GB/256GB SSD/Win11/1Year McAfee Security/Wired Keyboard &amp; Mouse Included/Black/4.8 kg), V222GAK-BA034W</t>
  </si>
  <si>
    <t>INR 25415.25</t>
  </si>
  <si>
    <t>ACH-RD-CH-0737</t>
  </si>
  <si>
    <t>4.0â€_x009d_x4.0â€_x009d_x0.060â€_x009d_ Soda Lime Glass with Low Reflective Chrome CD: 50.0um +/-0.50um</t>
  </si>
  <si>
    <t>INR 41500.00</t>
  </si>
  <si>
    <t>HTA Enterprisess</t>
  </si>
  <si>
    <t>ACH-EN-EQ-0074</t>
  </si>
  <si>
    <t>ThinkPad E16 40.64cms - 13th Gen Intel I3</t>
  </si>
  <si>
    <t>INR 50492.00</t>
  </si>
  <si>
    <t>Savex Tecnologies Private Limited</t>
  </si>
  <si>
    <t>ACH-RD-CM-0170</t>
  </si>
  <si>
    <t>Micropipette Variable basic model 100uL - 1000 uL</t>
  </si>
  <si>
    <t>INR 1350.00</t>
  </si>
  <si>
    <t>ACH-RD-CM-0171</t>
  </si>
  <si>
    <t>Micro Tips 1000UL</t>
  </si>
  <si>
    <t>ACH-EN-ME-0201</t>
  </si>
  <si>
    <t>Pneumatic Tubing</t>
  </si>
  <si>
    <t>ACH-MF-CT-0023</t>
  </si>
  <si>
    <t>Rubber Mounting 44x42x12</t>
  </si>
  <si>
    <t>ACH-MF-CT-0024</t>
  </si>
  <si>
    <t>Rubber Mounting 44x42x12 Parts</t>
  </si>
  <si>
    <t>ACH-MF-CT-0025</t>
  </si>
  <si>
    <t>Over Moulding on Rotary Shart</t>
  </si>
  <si>
    <t>INR 34200.00</t>
  </si>
  <si>
    <t>ACH-EN-EQ-0075</t>
  </si>
  <si>
    <t>18 inch Mark-II Pedestal Fan</t>
  </si>
  <si>
    <t>INR 5083.90</t>
  </si>
  <si>
    <t>ACH-RD-CH-0738</t>
  </si>
  <si>
    <t>Silicone Tube, 0.5mm ID x 1.5mm OD Flexible Silicone Rubber Tube Air Hose Water Pipe for Pump Transfer</t>
  </si>
  <si>
    <t>INR 330.54</t>
  </si>
  <si>
    <t>ACH-GN-IT-0034</t>
  </si>
  <si>
    <t>14s, 11th Gen Intel Core i3-1115G4, 8GB RAM/256GB SSD 14-inch(35.6 cm) Micro-Edge, Anti-Glare, FHD Laptop/Alexa Built-in/Win 11/Intel UHD Graphics/Dual Speakers/MSO 2021/1.41 Kg, 14s-dy2507TU</t>
  </si>
  <si>
    <t>INR 27957.63</t>
  </si>
  <si>
    <t>ACH-EN-EQ-0076</t>
  </si>
  <si>
    <t>2 Ton 3 Star, 5-In-1 Convertible Cooling, Inverter Split AC (Copper, I-Sense Technology, 2023 Model, AC 2T EI 24IINV3R32-WWA Split, White)</t>
  </si>
  <si>
    <t>INR 31632.81</t>
  </si>
  <si>
    <t>ACH-GN-FA-0001</t>
  </si>
  <si>
    <t>Air Handling Unit - 6100 CFM</t>
  </si>
  <si>
    <t>INR 492265.00</t>
  </si>
  <si>
    <t>ACH-GN-FA-0002</t>
  </si>
  <si>
    <t>15 TR Air Conditioning Equipment - for Air Handling Unit</t>
  </si>
  <si>
    <t>INR 428400.00</t>
  </si>
  <si>
    <t>ACH-GN-FA-0003</t>
  </si>
  <si>
    <t>Air Handling Unit - Other items - Ducting, installation, civil work etc</t>
  </si>
  <si>
    <t>INR 1495370.00</t>
  </si>
  <si>
    <t>ACH-MF-PM-0014</t>
  </si>
  <si>
    <t>Plain Sample Box</t>
  </si>
  <si>
    <t>ACH-MF-CT-0026</t>
  </si>
  <si>
    <t>Dropper 25ul</t>
  </si>
  <si>
    <t>INR 0.52</t>
  </si>
  <si>
    <t>Ajosha Bio Teknik Pvt. Ltd</t>
  </si>
  <si>
    <t>ACH-RD-CH-0739</t>
  </si>
  <si>
    <t>Ultra Clear Self-Adhesive Cold Lamination Roll 12" x 60 FT, Scratch and Water Resistant, Decals, Stencils, Easy Peel and Stick(Clear Laminate Sticker Vinyl, Glossy) (12" x 60FT)</t>
  </si>
  <si>
    <t>INR 872.29</t>
  </si>
  <si>
    <t>ACH-RD-CH-0740</t>
  </si>
  <si>
    <t>PET Aluminium Foil Poly Laminated Heat Seal (Easy Tear) Pouch-12cmX18cm Packaging/Parcel bags/Momo's Pouch/Protiene Powder Pouch/Multipurpose Packaging/Grocery-</t>
  </si>
  <si>
    <t>INR 2.4576</t>
  </si>
  <si>
    <t>ACH-RD-CH-0741</t>
  </si>
  <si>
    <t>32 Hydraulic Oil For JCB LIFTALL 1202 Machines (1 Ltr W_Multicolor)</t>
  </si>
  <si>
    <t>INR 249.15</t>
  </si>
  <si>
    <t>ACH-RD-CH-0742</t>
  </si>
  <si>
    <t>PHR1353 - Estradiol</t>
  </si>
  <si>
    <t>INR 13.7751</t>
  </si>
  <si>
    <t>ACH-RD-CH-0743</t>
  </si>
  <si>
    <t>PHR-1142 - Progesterone</t>
  </si>
  <si>
    <t>INR 9.8235</t>
  </si>
  <si>
    <t>ACH-RD-CH-0744</t>
  </si>
  <si>
    <t>K2126 - Î²-Estradiol-6-one 6-(O-carboxymethyloxime)</t>
  </si>
  <si>
    <t>INR 2.92818</t>
  </si>
  <si>
    <t>ACH-RD-CM-0172</t>
  </si>
  <si>
    <t>Liquid Nitrogen Container IX35</t>
  </si>
  <si>
    <t>ACH-RD-CH-0745</t>
  </si>
  <si>
    <t>FCFR001 - PS-COOH Â·(660,690)</t>
  </si>
  <si>
    <t>INR 120.96</t>
  </si>
  <si>
    <t>Bangs Laboratories, Inc.</t>
  </si>
  <si>
    <t>ACH-RD-CH-0746</t>
  </si>
  <si>
    <t>DDCR-E001 - DiagPolyâ„¢ Red Colored, Carboxyl Polystyrene Particles, 0.05 Î¼m</t>
  </si>
  <si>
    <t>INR 8798.00</t>
  </si>
  <si>
    <t>ACH-RD-CM-0173</t>
  </si>
  <si>
    <t>Reagent Bottle Wide Moutn (HDPE) 1000 mL</t>
  </si>
  <si>
    <t>ACH-RD-CH-0747</t>
  </si>
  <si>
    <t>BP Blade Swan</t>
  </si>
  <si>
    <t>ACH-RD-CM-0174</t>
  </si>
  <si>
    <t>Micro pipette tips 1000 uL</t>
  </si>
  <si>
    <t>ACH-RD-CM-0175</t>
  </si>
  <si>
    <t>PES Syringe Filter Sterile 25mm dia 0.45 Micron</t>
  </si>
  <si>
    <t>INR 67.90</t>
  </si>
  <si>
    <t>ACH-RD-CM-0176</t>
  </si>
  <si>
    <t>PES Syringe Filter Non Sterile 25mm dia 0.2 Micron</t>
  </si>
  <si>
    <t>INR 39.97</t>
  </si>
  <si>
    <t>ACH-MF-PM-0015</t>
  </si>
  <si>
    <t>Corrugated Box</t>
  </si>
  <si>
    <t>A-One Packaging</t>
  </si>
  <si>
    <t>ACH-MF-CT-0027</t>
  </si>
  <si>
    <t>Lancing Device (Multicolor)</t>
  </si>
  <si>
    <t>INR 375.00</t>
  </si>
  <si>
    <t>ACH-RD-CH-0748</t>
  </si>
  <si>
    <t>Lancet, (Multicolor)</t>
  </si>
  <si>
    <t>ACH-GN-IT-0035</t>
  </si>
  <si>
    <t>MSI GF63 Thin, Intel Core i5-11260H, 40CM FHD 144Hz Gaming Laptop (8GBx2 RAM/512GB NVMe SSD/Windows 11 Home/Nvidia GeForce RTX 3050, GDDR6 4GB/Black/1.8Kg), 11UC-1474IN</t>
  </si>
  <si>
    <t>INR 42364.41</t>
  </si>
  <si>
    <t>ACH-RD-CH-0749</t>
  </si>
  <si>
    <t>AutoBlade 2- Pack of 3 Blades for Use with Cameo 4</t>
  </si>
  <si>
    <t>INR 8270.34</t>
  </si>
  <si>
    <t>ACH-GN-IT-0036</t>
  </si>
  <si>
    <t>rucial RAM 8GB DDR4 3200MHz CL22 (or 2933MHz or 2666MHz) Laptop Memory CT8G4SFRA32A</t>
  </si>
  <si>
    <t>INR 1483.05</t>
  </si>
  <si>
    <t>ACH-RD-CH-0750</t>
  </si>
  <si>
    <t>Nozzles 3D Printer Extruder Nozzles Hardened Steel, Stainless Steel, Brass High Temperature Pointed Wear Resistant Nozzle 0.4mm Compatible with CR-10 Ender 3/ V2 Ender3 pro</t>
  </si>
  <si>
    <t>INR 22.93</t>
  </si>
  <si>
    <t>ACH-EN-ME-0202</t>
  </si>
  <si>
    <t>51898 - 0.1-1.0mm Mixed 3D Printer Nozzle Cleaning Drill Bit Kit for MK7 MK8RepRap</t>
  </si>
  <si>
    <t>INR 24.60</t>
  </si>
  <si>
    <t>ACH-EN-ME-0203</t>
  </si>
  <si>
    <t>323865 - eSun PETG 1.75mm 3D Printing Filament -Solid White</t>
  </si>
  <si>
    <t>ACH-EN-ME-0204</t>
  </si>
  <si>
    <t>Supply of Prototype Parts - Vibration Plates</t>
  </si>
  <si>
    <t>INR 430.00</t>
  </si>
  <si>
    <t>ACH-RD-AB-0128</t>
  </si>
  <si>
    <t>Testo101 - Anti-Testosterone(TESTO) McAb</t>
  </si>
  <si>
    <t>INR 8.30</t>
  </si>
  <si>
    <t>Huizhou Konshen Glass Co. Ltd</t>
  </si>
  <si>
    <t>ACH-RD-AB-0129</t>
  </si>
  <si>
    <t>Testo403 - Testosterone(TESTO)-BSA Antigen</t>
  </si>
  <si>
    <t>INR 18.26</t>
  </si>
  <si>
    <t>ACH-RD-AB-0130</t>
  </si>
  <si>
    <t>Testo423 - Testosterone(TESTO)-BSA Antigen</t>
  </si>
  <si>
    <t>ACH-RD-AB-0131</t>
  </si>
  <si>
    <t>E2401 - Estradiol (E2)-BSA Antigen</t>
  </si>
  <si>
    <t>ACH-RD-AB-0132</t>
  </si>
  <si>
    <t>TB-HCG101 - Anti-Total Î²-HCG McAb</t>
  </si>
  <si>
    <t>ACH-RD-AB-0133</t>
  </si>
  <si>
    <t>TB-HCG102 - Anti-Total Î²-HCG McAb</t>
  </si>
  <si>
    <t>ACH-RD-CH-0751</t>
  </si>
  <si>
    <t>T3101 - Anti-T3 McAb</t>
  </si>
  <si>
    <t>ACH-RD-AB-0134</t>
  </si>
  <si>
    <t>T3421 - T3-BSA Antigen</t>
  </si>
  <si>
    <t>ACH-RD-CH-0752</t>
  </si>
  <si>
    <t>T4101 - Anti-T4 McAb</t>
  </si>
  <si>
    <t>ACH-RD-AB-0135</t>
  </si>
  <si>
    <t>T4421 - T4-BSA Antigen</t>
  </si>
  <si>
    <t>ACH-RD-CH-0753</t>
  </si>
  <si>
    <t>AT1012 : Unistik 3 Extra</t>
  </si>
  <si>
    <t>Clinicare (India) Pvt. Ltd.</t>
  </si>
  <si>
    <t>ACH-RD-CH-0754</t>
  </si>
  <si>
    <t>AT1004 : Unistik 3 Normal</t>
  </si>
  <si>
    <t>ACH-RD-CH-0755</t>
  </si>
  <si>
    <t>AT1052 : Unistik 3 Neonatal</t>
  </si>
  <si>
    <t>ACH-RD-AB-0136</t>
  </si>
  <si>
    <t>BMGMAPM01 - Malaria antibody(Pan)</t>
  </si>
  <si>
    <t>ACH-RD-AB-0137</t>
  </si>
  <si>
    <t>BMGMAPM02 - Malaria antibody(Pan)</t>
  </si>
  <si>
    <t>ACH-RD-CH-0756</t>
  </si>
  <si>
    <t>D-073 - 5alpha Dihydrotestosterone (DHT) solution</t>
  </si>
  <si>
    <t>INR 13.9416</t>
  </si>
  <si>
    <t>ACH-RD-CH-0757</t>
  </si>
  <si>
    <t>900988 - 3-Aminophenylboronic acid</t>
  </si>
  <si>
    <t>INR 0.0109</t>
  </si>
  <si>
    <t>ACH-RD-CH-0758</t>
  </si>
  <si>
    <t>Beta Cartridge plate V4 + Modified retainer for USW (To Suit V4)</t>
  </si>
  <si>
    <t>ACH-RD-CH-0759</t>
  </si>
  <si>
    <t>Beta Cartridge plate V5 + Modified retainer for USW (To suit V6)</t>
  </si>
  <si>
    <t>ACH-RD-CH-0760</t>
  </si>
  <si>
    <t>Beta Cartridge plate + Modified retainer for USW</t>
  </si>
  <si>
    <t>ACH-RD-CH-0761</t>
  </si>
  <si>
    <t>Strong &amp; Heavy 35 Litres Water/Petrol/Diesel white dispenser Ca</t>
  </si>
  <si>
    <t>INR 534.82</t>
  </si>
  <si>
    <t>ACH-EN-ME-0205</t>
  </si>
  <si>
    <t>26-in-1 Pcs Hex/Allen Key Set | Carbon Steel with Rust &amp; Corrosion Resistant | Chrome Plating &amp; Satin Finish | Multipurpose Tool Kit with 25Â° Ball-End Angle</t>
  </si>
  <si>
    <t>ACH-GN-FA-0004</t>
  </si>
  <si>
    <t>Wall Stickers Wood Wallpaper DIY PVC Shelf Liner, Furniture, Almirah, Table Top, Wardrobe, Kitchen Cupboard Decal, Mahogany Brown</t>
  </si>
  <si>
    <t>ACH-EN-ME-0206</t>
  </si>
  <si>
    <t>Heavy duty 9pc Hex Allen key set Packet size Allen Key Set</t>
  </si>
  <si>
    <t>INR 126.27</t>
  </si>
  <si>
    <t>ACH-GN-SF-0002</t>
  </si>
  <si>
    <t>Mens And Womens Cotton Full Sleeves Lab Coat Medical Coat Doctor Coat Doctor Apron For Students And Doctors(Pack Of 1).</t>
  </si>
  <si>
    <t>ACH-RD-CH-0762</t>
  </si>
  <si>
    <t>Universal Stylus Pens High Sensitivity &amp; Precision Capacitive Stylus For Andriod Phone/iPhone//Ipad Pro/Tablets and All Touch Screens Devices</t>
  </si>
  <si>
    <t>INR 846.61</t>
  </si>
  <si>
    <t>ACH-EN-EL-0244</t>
  </si>
  <si>
    <t>40724-V08B - Influenza A H1N1 (A/Hawaii/70/2019) 30.00 Nucleoprotein / NP Protein (His Tag)</t>
  </si>
  <si>
    <t>INR 371.10</t>
  </si>
  <si>
    <t>ACH-EN-EL-0245</t>
  </si>
  <si>
    <t>40438-V08B -Nucleoprotein / NP Protein (His Tag)</t>
  </si>
  <si>
    <t>INR 373.10</t>
  </si>
  <si>
    <t>ACH-RD-BG-0044</t>
  </si>
  <si>
    <t>Rhinovirus</t>
  </si>
  <si>
    <t>ACH-RD-BG-0045</t>
  </si>
  <si>
    <t>Adenovirus</t>
  </si>
  <si>
    <t>ACH-RD-CH-0763</t>
  </si>
  <si>
    <t>395072 - Ethylamine Solution</t>
  </si>
  <si>
    <t>INR 0.089717</t>
  </si>
  <si>
    <t>ACH-RD-CH-0764</t>
  </si>
  <si>
    <t>TruCal One HbA1c Liquid - 133209910043</t>
  </si>
  <si>
    <t>ACH-EN-EL-0246</t>
  </si>
  <si>
    <t>1486388 - Waveshare CM4 To Pi 4B Adapter for Raspberry Pi Alternative Solution for Raspberry Pi 4B, CM4 optional</t>
  </si>
  <si>
    <t>INR 2129.00</t>
  </si>
  <si>
    <t>ACH-MF-CM-0071</t>
  </si>
  <si>
    <t>2mm Black - 8x4</t>
  </si>
  <si>
    <t>INR 2760.00</t>
  </si>
  <si>
    <t>Acrylic House</t>
  </si>
  <si>
    <t>ACH-GN-HK-0023</t>
  </si>
  <si>
    <t>Adhesive Toilet Paper Holder with Shelf Tissue Paper Roll Towel Holder Storage Rack - (Standard Size, Black)</t>
  </si>
  <si>
    <t>ACH-RD-CH-0765</t>
  </si>
  <si>
    <t>Cooling Rack, 39x28 cm (15x11")</t>
  </si>
  <si>
    <t>INR 1199.14</t>
  </si>
  <si>
    <t>ACH-MF-CT-0028</t>
  </si>
  <si>
    <t>PP Bags 12x18 inches</t>
  </si>
  <si>
    <t>INR 442.88</t>
  </si>
  <si>
    <t>ACH-MF-CT-0029</t>
  </si>
  <si>
    <t>PP Bags 4x5 inches</t>
  </si>
  <si>
    <t>INR 953.68</t>
  </si>
  <si>
    <t>ACH-RD-CH-0766</t>
  </si>
  <si>
    <t>oval shape flexible self adhesive mirror Sticker for wall on tiles bathroom bedroom living room Basin Mirror Bathroom Wall Mirror Stickers unbreakable plastic wall mirror 20 * 30</t>
  </si>
  <si>
    <t>INR 141.90</t>
  </si>
  <si>
    <t>ACH-RD-CH-0767</t>
  </si>
  <si>
    <t>8 Pin Bathroom Cloth Hooks Hanger Wall Bedroom Bathroom Robe Hooks Rail for Hanging Keys,Clothes,Towel Steel Hook (Silver,3)</t>
  </si>
  <si>
    <t>INR 588.98</t>
  </si>
  <si>
    <t>ACH-RD-CH-0768</t>
  </si>
  <si>
    <t>3mm Black - 8x4</t>
  </si>
  <si>
    <t>INR 3640.00</t>
  </si>
  <si>
    <t>ACH-RD-CH-0769</t>
  </si>
  <si>
    <t>GLIS Box with Lid 17x10 transparent</t>
  </si>
  <si>
    <t>INR 74.50</t>
  </si>
  <si>
    <t>IKEA India Private Limited</t>
  </si>
  <si>
    <t>ACH-EN-EL-0247</t>
  </si>
  <si>
    <t>Y46 - Printed Circuit Board</t>
  </si>
  <si>
    <t>INR 30.4278</t>
  </si>
  <si>
    <t>ACH-EN-EL-0248</t>
  </si>
  <si>
    <t>SMT02403081637564 - Rigid Populated Printed Circuit Board</t>
  </si>
  <si>
    <t>INR 418.32</t>
  </si>
  <si>
    <t>ACH-EN-EL-0249</t>
  </si>
  <si>
    <t>SMT02403081637565 - Rigid Populated Printed Circuit Board</t>
  </si>
  <si>
    <t>INR 249.00</t>
  </si>
  <si>
    <t>ACH-EN-EL-0250</t>
  </si>
  <si>
    <t>SMT02403081637567 - Rigid Populated Printed Circuit Board</t>
  </si>
  <si>
    <t>INR 1060.24</t>
  </si>
  <si>
    <t>ACH-EN-EL-0251</t>
  </si>
  <si>
    <t>SMT02403111641118 - Rigid Populated Printed Circuit Board</t>
  </si>
  <si>
    <t>INR 508.13</t>
  </si>
  <si>
    <t>ACH-EN-EL-0252</t>
  </si>
  <si>
    <t>SMT02403111641120 - Rigid Populated Printed Circuit Board</t>
  </si>
  <si>
    <t>INR 435.92</t>
  </si>
  <si>
    <t>ACH-EN-EL-0253</t>
  </si>
  <si>
    <t>SMT02403111641497 - Rigid Populated Printed Circuit Board</t>
  </si>
  <si>
    <t>INR 4546.57</t>
  </si>
  <si>
    <t>ACH-EN-EL-0254</t>
  </si>
  <si>
    <t>SMT02403111641504 - Rigid Populated Printed Circuit Board</t>
  </si>
  <si>
    <t>INR 5109.81</t>
  </si>
  <si>
    <t>ACH-EN-EQ-0077</t>
  </si>
  <si>
    <t>10 kVA - SP 170-270/220V</t>
  </si>
  <si>
    <t>INR 23870.00</t>
  </si>
  <si>
    <t>Atandra Energy Pvt. Ltd</t>
  </si>
  <si>
    <t>ACH-RD-CH-0770</t>
  </si>
  <si>
    <t>XPEBRD-L1-0000-00801CT-ND</t>
  </si>
  <si>
    <t>INR 128.40</t>
  </si>
  <si>
    <t>ACH-RD-CH-0771</t>
  </si>
  <si>
    <t>160-1935-ND</t>
  </si>
  <si>
    <t>INR 73.206</t>
  </si>
  <si>
    <t>ACH-RD-CH-0772</t>
  </si>
  <si>
    <t>TCUT1630X01CT-ND</t>
  </si>
  <si>
    <t>INR 143.8224</t>
  </si>
  <si>
    <t>ACH-RD-CH-0773</t>
  </si>
  <si>
    <t>95-N204-S01-BL-UD-ND</t>
  </si>
  <si>
    <t>INR 300.211</t>
  </si>
  <si>
    <t>ACH-RD-CH-0774</t>
  </si>
  <si>
    <t>31-AP64501SP-13CT-ND</t>
  </si>
  <si>
    <t>INR 171.561</t>
  </si>
  <si>
    <t>ACH-RD-CH-0775</t>
  </si>
  <si>
    <t>732-3924-1-ND</t>
  </si>
  <si>
    <t>INR 181.936</t>
  </si>
  <si>
    <t>ACH-RD-CH-0776</t>
  </si>
  <si>
    <t>490-GCM1555C1H150FA16JCT-ND</t>
  </si>
  <si>
    <t>INR 3.486</t>
  </si>
  <si>
    <t>ACH-RD-CH-0777</t>
  </si>
  <si>
    <t>1292-1485-1-ND</t>
  </si>
  <si>
    <t>INR 3.2702</t>
  </si>
  <si>
    <t>ACH-RD-CH-0778</t>
  </si>
  <si>
    <t>1292-WR06X103JTLCT-ND</t>
  </si>
  <si>
    <t>INR 0.4316</t>
  </si>
  <si>
    <t>ACH-RD-CH-0779</t>
  </si>
  <si>
    <t>13-RC0402JR-7W10KLCT-ND</t>
  </si>
  <si>
    <t>INR 0.7055</t>
  </si>
  <si>
    <t>ACH-RD-CH-0780</t>
  </si>
  <si>
    <t>283-SDCHA1V6045-3R3-RCT-ND</t>
  </si>
  <si>
    <t>INR 31.706</t>
  </si>
  <si>
    <t>ACH-MF-CM-0072</t>
  </si>
  <si>
    <t>3123000217 - Research plus G basic 0.1-2.5Î¼L d-gray</t>
  </si>
  <si>
    <t>INR 23400.00</t>
  </si>
  <si>
    <t>ACH-EN-SP-0038</t>
  </si>
  <si>
    <t>0082000143 - Calibration ISO 17025 incl. PM</t>
  </si>
  <si>
    <t>INR 1690.00</t>
  </si>
  <si>
    <t>ACH-RD-CH-0781</t>
  </si>
  <si>
    <t>12x12x12mm m5 Nut</t>
  </si>
  <si>
    <t>INR 28.71</t>
  </si>
  <si>
    <t>Wuxi Ling dao Automation Technology Co. Ltd</t>
  </si>
  <si>
    <t>ACH-RD-CH-0782</t>
  </si>
  <si>
    <t>72199013 - SS 304 Cross over bench with 4 compartments Incl. nylon bush Front side -2 ; Back side - 2 compartments Size : 1425*310*648mm</t>
  </si>
  <si>
    <t>Exeliq Engineering</t>
  </si>
  <si>
    <t>ACH-RD-CH-0783</t>
  </si>
  <si>
    <t>72199013 - SS 304 Cross over bench (RH Room) Incl. nylon bush Size : 990*310*648mm</t>
  </si>
  <si>
    <t>INR 14000.00</t>
  </si>
  <si>
    <t>ACH-RD-CH-0784</t>
  </si>
  <si>
    <t>7206 - MS Industrial cupboard Incl. Powder coating and nylon bush Size : 2500*850*330mm</t>
  </si>
  <si>
    <t>INR 33000.00</t>
  </si>
  <si>
    <t>ACH-RD-CH-0785</t>
  </si>
  <si>
    <t>7206 - MS Industrial cupboard Incl. powder coating and nylon bush Size : 1050*1850*330mm</t>
  </si>
  <si>
    <t>ACH-EN-EQ-0078</t>
  </si>
  <si>
    <t>X-Y-Z &amp; Theta Stage</t>
  </si>
  <si>
    <t>Opto Electronics Private LImited</t>
  </si>
  <si>
    <t>ACH-EN-ME-0207</t>
  </si>
  <si>
    <t>Z LOCK BLOCK (DOM)</t>
  </si>
  <si>
    <t>Recnaile Private Limited</t>
  </si>
  <si>
    <t>ACH-RD-CH-0786</t>
  </si>
  <si>
    <t>500 RE Corded-Electric Drill Tool Set, 10 mm (Blue), 500 Watt, (100 Pc Accessory Set) Visit the Bosch Store</t>
  </si>
  <si>
    <t>INR 3558.47</t>
  </si>
  <si>
    <t>ACH-EN-ME-0208</t>
  </si>
  <si>
    <t>70-964E 12-piece Chrome Vanadium Steel Combination Spanner Set with Maxi-Drive System, Anti-Slip &amp; Anti-Corrosion properties, GREY</t>
  </si>
  <si>
    <t>INR 499.15</t>
  </si>
  <si>
    <t>ACH-RD-CH-0787</t>
  </si>
  <si>
    <t>3P Black Vinyl Powder-Free Blended Medical Examination Disposable Gloves, Food Gloves Grade</t>
  </si>
  <si>
    <t>INR 3.8051</t>
  </si>
  <si>
    <t>ACH-RD-CM-0177</t>
  </si>
  <si>
    <t>Stainless Steel Luer Lock Dispensing Needle Tip, 12 Gauge, 2.05mm ID x 2.8 T6F6</t>
  </si>
  <si>
    <t>ACH-EN-OP-0020</t>
  </si>
  <si>
    <t>Norland Optical Adhesive NOA 68, 1 oz. Application Bottle (#36-427)</t>
  </si>
  <si>
    <t>INR 3480.00</t>
  </si>
  <si>
    <t>ACH-RD-AB-0138</t>
  </si>
  <si>
    <t>SOFTEC Combo Antigen Test Kit - ( Sars Cov 2 + Inf A/B + RSV)</t>
  </si>
  <si>
    <t>ACH-RD-KT-0046</t>
  </si>
  <si>
    <t>abx150341 - Estradiol (E2) ELISA Kit</t>
  </si>
  <si>
    <t>INR 525.02</t>
  </si>
  <si>
    <t>ACH-RD-CH-0788</t>
  </si>
  <si>
    <t>A-LNXTK-5 - AnteoBind NXT evaluation kit - 5 Ml</t>
  </si>
  <si>
    <t>INR 6997.80</t>
  </si>
  <si>
    <t>ACH-MF-CT-0030</t>
  </si>
  <si>
    <t>C2632 - Caps</t>
  </si>
  <si>
    <t>INR 0.149192</t>
  </si>
  <si>
    <t>ACH-RD-CH-0789</t>
  </si>
  <si>
    <t>21G*2.2mm - Disposable Safety Lancets</t>
  </si>
  <si>
    <t>INR 1.66</t>
  </si>
  <si>
    <t>ACH-RD-CH-0790</t>
  </si>
  <si>
    <t>23G*2.2mm - Disposable Safety Lancets</t>
  </si>
  <si>
    <t>ACH-RD-CH-0791</t>
  </si>
  <si>
    <t>26G*1.8mm - Disposable Safety Lancets</t>
  </si>
  <si>
    <t>ACH-RD-CH-0792</t>
  </si>
  <si>
    <t>28G*1.8mm - Disposable Safety Lancets</t>
  </si>
  <si>
    <t>ACH-RD-CH-0793</t>
  </si>
  <si>
    <t>30G*1.5mm - Disposable Safety Lancets</t>
  </si>
  <si>
    <t>ACH-GN-HK-0024</t>
  </si>
  <si>
    <t>Ply Kitchen Tissue/Towel Paper Roll, soft and highly absorbent - 2 Rolls (60 Pulls Per Roll, 120 Sheets)</t>
  </si>
  <si>
    <t>INR 120.05</t>
  </si>
  <si>
    <t>ACH-EN-EQ-0079</t>
  </si>
  <si>
    <t>Finnipette FV Fixed Vol 5000 Ul</t>
  </si>
  <si>
    <t>INR 23700.00</t>
  </si>
  <si>
    <t>ACH-EN-ME-0209</t>
  </si>
  <si>
    <t>Combination Spanner Set 12 pcs Long Combination Spanner Set. Wrench Set/Spanner Set Tools kit/Set of 12 Piece/Tools kit for Home use. - Professional Spanners</t>
  </si>
  <si>
    <t>INR 21.349</t>
  </si>
  <si>
    <t>ACH-EN-EQ-0080</t>
  </si>
  <si>
    <t>LCD Display Digital Multi-meter Digital Multimeter (Yellow Color)</t>
  </si>
  <si>
    <t>INR 164.41</t>
  </si>
  <si>
    <t>ACH-RD-CH-0794</t>
  </si>
  <si>
    <t>Microgenic Blood Agar Plate</t>
  </si>
  <si>
    <t>ACH-MF-CM-0073</t>
  </si>
  <si>
    <t>SG2605 - Syringe Disposable with needle 20mL</t>
  </si>
  <si>
    <t>INR 14.22</t>
  </si>
  <si>
    <t>ACH-RD-CH-0795</t>
  </si>
  <si>
    <t>Sterillium, 500ml</t>
  </si>
  <si>
    <t>INR 282.20</t>
  </si>
  <si>
    <t>ACH-RD-AB-0139</t>
  </si>
  <si>
    <t>CYSC Recombinant</t>
  </si>
  <si>
    <t>Auker Biotech Co., Ltd</t>
  </si>
  <si>
    <t>ACH-RD-AB-0140</t>
  </si>
  <si>
    <t>CYSC Monoclonal antibody 3G3</t>
  </si>
  <si>
    <t>INR 0.83</t>
  </si>
  <si>
    <t>ACH-RD-AB-0141</t>
  </si>
  <si>
    <t>CYSC Monoclonal antibody 2D11</t>
  </si>
  <si>
    <t>ACH-RD-AB-0142</t>
  </si>
  <si>
    <t>CYSC Monoclonal antibody 1E2</t>
  </si>
  <si>
    <t>ACH-RD-AB-0143</t>
  </si>
  <si>
    <t>CYSC Monoclonal antibody 4E3</t>
  </si>
  <si>
    <t>ACH-RD-AB-0144</t>
  </si>
  <si>
    <t>TSH Monoclonal antibody 1H8</t>
  </si>
  <si>
    <t>ACH-RD-AB-0145</t>
  </si>
  <si>
    <t>TSH Monoclonal antibody 9D10</t>
  </si>
  <si>
    <t>ACH-RD-AB-0146</t>
  </si>
  <si>
    <t>TSH Monoclonal antibody 10E3</t>
  </si>
  <si>
    <t>ACH-RD-AB-0147</t>
  </si>
  <si>
    <t>PCT Monoclonal antibody 7B7</t>
  </si>
  <si>
    <t>ACH-RD-AB-0148</t>
  </si>
  <si>
    <t>PCT Monoclonal antibody 11A9</t>
  </si>
  <si>
    <t>ACH-RD-AB-0149</t>
  </si>
  <si>
    <t>PCT Monoclonal antibody 12D12</t>
  </si>
  <si>
    <t>ACH-RD-AB-0150</t>
  </si>
  <si>
    <t>Goat anti-mouse IgG Polyclonal antibody A8003</t>
  </si>
  <si>
    <t>INR 0.166</t>
  </si>
  <si>
    <t>ACH-RD-CH-0796</t>
  </si>
  <si>
    <t>HBA1C FIA uncut sheet</t>
  </si>
  <si>
    <t>ACH-RD-CH-0797</t>
  </si>
  <si>
    <t>Diluent</t>
  </si>
  <si>
    <t>INR 0.000083</t>
  </si>
  <si>
    <t>ACH-MF-JG-0008</t>
  </si>
  <si>
    <t>P 20 Core and Cavity - Mould</t>
  </si>
  <si>
    <t>INR 260000.00</t>
  </si>
  <si>
    <t>SRP Synthetic Rubber Products Pvt. Ltd</t>
  </si>
  <si>
    <t>ACH-MF-CT-0031</t>
  </si>
  <si>
    <t>9795R - Diagnostic Sensor (spacer / lid)</t>
  </si>
  <si>
    <t>INR 128718.45</t>
  </si>
  <si>
    <t>Parafix Tapes &amp; Conversions Ltd.</t>
  </si>
  <si>
    <t>ACH-RD-CH-0798</t>
  </si>
  <si>
    <t>BBC25D013 - NBY VIBRATION ISOLATION (88g) NABEYA</t>
  </si>
  <si>
    <t>INR 975.35</t>
  </si>
  <si>
    <t>ACH-EN-ME-0210</t>
  </si>
  <si>
    <t>C-30-RK-16-EP-UL-BLACK - Flame-Retardant Rubber Foot (With Stainless Steel Washer) C-30-RK (C-30-RK-16-EP-UL-BLACK)</t>
  </si>
  <si>
    <t>ACH-EN-ME-0211</t>
  </si>
  <si>
    <t>HCBV5 - Panel Brackets - Steel/ Stainless Steel</t>
  </si>
  <si>
    <t>INR 106.00</t>
  </si>
  <si>
    <t>ACH-EN-ME-0212</t>
  </si>
  <si>
    <t>HCBA5 - Panel Brackets - Aluminum Type</t>
  </si>
  <si>
    <t>INR 132.27</t>
  </si>
  <si>
    <t>ACH-EN-ME-0213</t>
  </si>
  <si>
    <t>LBIS6-20-5 - Blind Brackets Zinc Alloy</t>
  </si>
  <si>
    <t>ACH-EN-ME-0214</t>
  </si>
  <si>
    <t>FIAI-CAM-A-001 - Single retainer</t>
  </si>
  <si>
    <t>ACH-EN-ME-0215</t>
  </si>
  <si>
    <t>FIAI-CAM-B-001 - PHX-S-MOUNT- LENGTHEND</t>
  </si>
  <si>
    <t>ACH-EN-ME-0216</t>
  </si>
  <si>
    <t>FIAI-DA-A-001 - Actuator A mounting block</t>
  </si>
  <si>
    <t>ACH-EN-ME-0217</t>
  </si>
  <si>
    <t>FIAI-FRM-A-001 - Base Plate</t>
  </si>
  <si>
    <t>INR 4050.00</t>
  </si>
  <si>
    <t>ACH-EN-ME-0218</t>
  </si>
  <si>
    <t>FIAI-FRM-B-001 - Side Plate</t>
  </si>
  <si>
    <t>INR 3150.00</t>
  </si>
  <si>
    <t>ACH-EN-ME-0219</t>
  </si>
  <si>
    <t>FIAI-FRM-C-001 - Pi Plate</t>
  </si>
  <si>
    <t>ACH-EN-ME-0220</t>
  </si>
  <si>
    <t>FIAI-FRM-D-001 - Optical block A plate</t>
  </si>
  <si>
    <t>ACH-EN-ME-0221</t>
  </si>
  <si>
    <t>FIAI-FRM-E-001 - Fan Plate</t>
  </si>
  <si>
    <t>ACH-EN-ME-0222</t>
  </si>
  <si>
    <t>FIAI-FRM-F-001 - Screen mounting A plate</t>
  </si>
  <si>
    <t>ACH-EN-OP-0021</t>
  </si>
  <si>
    <t>FIAI-OH-A-001 - Optical block</t>
  </si>
  <si>
    <t>INR 9000.00</t>
  </si>
  <si>
    <t>ACH-EN-ME-0223</t>
  </si>
  <si>
    <t>FIAI-OH-B-001 - Optical tube</t>
  </si>
  <si>
    <t>ACH-EN-ME-0224</t>
  </si>
  <si>
    <t>FIAI-OH-C-001 - Filter retainer</t>
  </si>
  <si>
    <t>ACH-EN-ME-0225</t>
  </si>
  <si>
    <t>FIAI-OH-D-001 - FIlter retainer ring</t>
  </si>
  <si>
    <t>ACH-EN-ME-0226</t>
  </si>
  <si>
    <t>FIAI-OH-E-001 - LED mount with A heat sink</t>
  </si>
  <si>
    <t>INR 1080.00</t>
  </si>
  <si>
    <t>ACH-EN-ME-0227</t>
  </si>
  <si>
    <t>FIAI-OH-F-001 - Lens Retainer</t>
  </si>
  <si>
    <t>ACH-EN-ME-0228</t>
  </si>
  <si>
    <t>FIAI-VIB-D-001 - Vibrator top plate</t>
  </si>
  <si>
    <t>ACH-EN-ME-0229</t>
  </si>
  <si>
    <t>FIAI-VIB-E-001 - Vibrator bottom A plate</t>
  </si>
  <si>
    <t>ACH-GN-IT-0037</t>
  </si>
  <si>
    <t>MSI PRO MP241X 24-Inch Full HD Computer Monitor - Professional LED Monitor with 75Hz Refresh Rate, Anti-Glare &amp; Anti-Flicker Technology PC Monitor for Desktop (Black)</t>
  </si>
  <si>
    <t>ACH-EN-EQ-0081</t>
  </si>
  <si>
    <t>1.5 Ton 3 Star Inverter Split AC (5 in 1 Convertible, Copper, Anti-Viral + PM 2.5 Filter, 2023 Model, White with Chrome Deco Strip, GLS18I3FWAGC)</t>
  </si>
  <si>
    <t>INR 25469.22</t>
  </si>
  <si>
    <t>ACH-RD-CH-0799</t>
  </si>
  <si>
    <t>Ultima Alkaline AA Battery| Pack of 10 | 1.5 Volt | 400% Long Lasting |Highly Durable &amp; Leak Proof | Alkaline AA Battery for Household and Office Devices</t>
  </si>
  <si>
    <t>INR 16.271</t>
  </si>
  <si>
    <t>ACH-RD-CH-0800</t>
  </si>
  <si>
    <t>GenePath Dx RespiRFC quantitative RUO reagents</t>
  </si>
  <si>
    <t>ACH-RD-CM-0178</t>
  </si>
  <si>
    <t>20A00L068 - Polypropylene Microcentrifuge Tubes, 1.5mL, Natural</t>
  </si>
  <si>
    <t>INR 3.7559</t>
  </si>
  <si>
    <t>ACH-RD-CH-0801</t>
  </si>
  <si>
    <t>Paper Multi Purpose Self Adhesive Printer Labels (Lable Size 38 x 21 mm, 65 Lable in A4, white</t>
  </si>
  <si>
    <t>INR 6.144</t>
  </si>
  <si>
    <t>ACH-EN-EQ-0082</t>
  </si>
  <si>
    <t>LT Metering Cubicle</t>
  </si>
  <si>
    <t>ACH-EN-ME-0230</t>
  </si>
  <si>
    <t>Compression Spring Material - Grade DH/ Grade III</t>
  </si>
  <si>
    <t>Bangalore Spring Industries</t>
  </si>
  <si>
    <t>ACH-RD-AB-0151</t>
  </si>
  <si>
    <t>BRJPCTS105 - Monoclonal antibody</t>
  </si>
  <si>
    <t>INR 10.375</t>
  </si>
  <si>
    <t>Fapon International Limited</t>
  </si>
  <si>
    <t>ACH-RD-AB-0152</t>
  </si>
  <si>
    <t>BRCHBAS101 - Monoclonal antibody</t>
  </si>
  <si>
    <t>INR 0.083</t>
  </si>
  <si>
    <t>ACH-RD-AB-0153</t>
  </si>
  <si>
    <t>BRJHBAS101 - Monoclonal antibody</t>
  </si>
  <si>
    <t>ACH-RD-AB-0154</t>
  </si>
  <si>
    <t>BEJTSHS102 - Monoclonal antibody</t>
  </si>
  <si>
    <t>ACH-RD-AB-0155</t>
  </si>
  <si>
    <t>BENTSHS101 - Monoclonal antibody</t>
  </si>
  <si>
    <t>ACH-RD-CH-0802</t>
  </si>
  <si>
    <t>HIER-R-001 - Heterophilic Immunoglobulin Elimination Reagent(I)</t>
  </si>
  <si>
    <t>ACH-RD-AB-0156</t>
  </si>
  <si>
    <t>GRCGAMS002 - Polyclonal Antibody</t>
  </si>
  <si>
    <t>ACH-GN-IT-0038</t>
  </si>
  <si>
    <t>ThinkBook 16 G6 Ryzen 5 16" WUXGA IPS Antiglare 300 Nits Thin and Light Laptop (16GB RAM/512GB SSD/Windows 11 Home/FPR/Arctic Grey/1 Year Onsite/1.7 kg), 21KKA07RIN</t>
  </si>
  <si>
    <t>INR 31561.02</t>
  </si>
  <si>
    <t>ACH-EN-ME-0231</t>
  </si>
  <si>
    <t>Spirit Level Bullseye Micro Button Level Diameter 12mm</t>
  </si>
  <si>
    <t>INR 118.64</t>
  </si>
  <si>
    <t>ACH-EN-EL-0255</t>
  </si>
  <si>
    <t>C100SI Wired In Ear Headphones with Mic, JBL Pure Bass Sound, One Button Multi-function Remote, Premium Metallic Finish, Angled Buds for Comfort fit (Black)</t>
  </si>
  <si>
    <t>ACH-EN-EQ-0083</t>
  </si>
  <si>
    <t>NP60-Touch -NP60 UV/Vis spectrophotometer for NanoVolume applications; colored touch screen;</t>
  </si>
  <si>
    <t>INR 1001500.00</t>
  </si>
  <si>
    <t>Inkarp Instruments Pvt. Ltd</t>
  </si>
  <si>
    <t>ACH-MF-CT-0032</t>
  </si>
  <si>
    <t>FIAI-TR-A-001</t>
  </si>
  <si>
    <t>ACH-MF-CT-0033</t>
  </si>
  <si>
    <t>FIAI-TR-B-001</t>
  </si>
  <si>
    <t>INR 1027.00</t>
  </si>
  <si>
    <t>ACH-MF-CT-0034</t>
  </si>
  <si>
    <t>FIAI-TR-D-001</t>
  </si>
  <si>
    <t>INR 1602.00</t>
  </si>
  <si>
    <t>ACH-MF-CT-0035</t>
  </si>
  <si>
    <t>FIAI-TR-F-001</t>
  </si>
  <si>
    <t>ACH-RD-CH-0803</t>
  </si>
  <si>
    <t>FIAI-VIB-A-001</t>
  </si>
  <si>
    <t>INR 657.00</t>
  </si>
  <si>
    <t>ACH-MF-CT-0036</t>
  </si>
  <si>
    <t>FIAI-VM-A-001</t>
  </si>
  <si>
    <t>INR 563.00</t>
  </si>
  <si>
    <t>ACH-EN-OP-0022</t>
  </si>
  <si>
    <t>710BP80/11mm - Optical Filter</t>
  </si>
  <si>
    <t>INR 6222.51</t>
  </si>
  <si>
    <t>ACH-EN-EQ-0084</t>
  </si>
  <si>
    <t>UVD20 - LUMINA UV Transilluminator TWIN</t>
  </si>
  <si>
    <t>INR 50660.00</t>
  </si>
  <si>
    <t>EPS BIOSOLUTIONS</t>
  </si>
  <si>
    <t>ACH-RD-CH-0804</t>
  </si>
  <si>
    <t>L Shaped Spreader</t>
  </si>
  <si>
    <t>ACH-RD-CM-0179</t>
  </si>
  <si>
    <t>TLCT-50mL-S-50mL Propopylene (PP) Centriffuge Tybes, Conical Bottom with Screw Cap</t>
  </si>
  <si>
    <t>INR 11.78888</t>
  </si>
  <si>
    <t>ACH-EN-EQ-0085</t>
  </si>
  <si>
    <t>Wall Fan</t>
  </si>
  <si>
    <t>INR 1609.32</t>
  </si>
  <si>
    <t>ACH-EN-EL-0256</t>
  </si>
  <si>
    <t>130217 - GY-53 VL53LOX Laser ToF Flight Time Ranging Sensor Module</t>
  </si>
  <si>
    <t>INR 2738.983125</t>
  </si>
  <si>
    <t>ACH-EN-EL-0257</t>
  </si>
  <si>
    <t>1012206 - Adafruit TSL2591 High Dynamic Range Digital Light Sesor - STEMMA QT</t>
  </si>
  <si>
    <t>ACH-EN-EL-0258</t>
  </si>
  <si>
    <t>1794141 - Unsoldered GY-2561 TSL2561 Luminosity Sensor Light Intensity Module</t>
  </si>
  <si>
    <t>INR 287.29</t>
  </si>
  <si>
    <t>ACH-RD-CH-0805</t>
  </si>
  <si>
    <t>Neddle 13Gx1.5</t>
  </si>
  <si>
    <t>ACH-RD-CH-0806</t>
  </si>
  <si>
    <t>39148 - Mannitol</t>
  </si>
  <si>
    <t>INR 0.00226</t>
  </si>
  <si>
    <t>ACH-EN-ME-0232</t>
  </si>
  <si>
    <t>Frame for Analyser</t>
  </si>
  <si>
    <t>INR 6988.00</t>
  </si>
  <si>
    <t>Tanju Technologies</t>
  </si>
  <si>
    <t>ACH-MF-CT-0037</t>
  </si>
  <si>
    <t>Aluminium Tear open Foil Pouches (White) - Size - 120mm x 85mm</t>
  </si>
  <si>
    <t>INR 2.50</t>
  </si>
  <si>
    <t>Rotek Laminates</t>
  </si>
  <si>
    <t>ACH-MF-CT-0038</t>
  </si>
  <si>
    <t>SFM Fabric Sheet</t>
  </si>
  <si>
    <t>INR 12825.00</t>
  </si>
  <si>
    <t>Rudra Impex</t>
  </si>
  <si>
    <t>ACH-GN-IT-0039</t>
  </si>
  <si>
    <t>VivoBook 15 (2021) Thin and Light Laptop, Dual Core Intel Celeron N4020, 15.6-inch (39.62 cm) HD, (4GB RAM/256GB SSD/Integrated Graphics/Windows 11 Home/Transparent Silver/1.8 Kg), X515MA-BR011W</t>
  </si>
  <si>
    <t>INR 16771.19</t>
  </si>
  <si>
    <t>ACH-EN-EQ-0086</t>
  </si>
  <si>
    <t>Stability chamber 270 L - Model: OE/SC/270 L-PID</t>
  </si>
  <si>
    <t>INR 171550.00</t>
  </si>
  <si>
    <t>ACH-EN-SP-0039</t>
  </si>
  <si>
    <t>Common Software DMS â€“ 1.0 Version for PID base controller. (USFDA 21 CFR PART 11 COMPLIES</t>
  </si>
  <si>
    <t>INR 58000.00</t>
  </si>
  <si>
    <t>ACH-RD-CH-0807</t>
  </si>
  <si>
    <t>Steam Autoclave Indicator Tape, 60 yds Length x 3/4 Width, Creamy |</t>
  </si>
  <si>
    <t>INR 459.82</t>
  </si>
  <si>
    <t>ACH-RD-CH-0808</t>
  </si>
  <si>
    <t>65W 20V 3.25A Standard USB Type-C AC Universal Adapter Charger | B07NVY84S3</t>
  </si>
  <si>
    <t>INR 1236.44</t>
  </si>
  <si>
    <t>ACH-MF-CM-0074</t>
  </si>
  <si>
    <t>Lint Free Wipes 9"x9"</t>
  </si>
  <si>
    <t>ACH-MF-PM-0016</t>
  </si>
  <si>
    <t>Transparent Multipurpose Polypropylene Bags, PP Bags 90 Gauge 12X18 inches</t>
  </si>
  <si>
    <t>INR 1691.52</t>
  </si>
  <si>
    <t>ACH-MF-RM-0007</t>
  </si>
  <si>
    <t>MESH 0.1mm QTTY 22K - 6.8mm Dai - SS304-0.1mm</t>
  </si>
  <si>
    <t>Harshini industries</t>
  </si>
  <si>
    <t>ACH-RD-CH-0809</t>
  </si>
  <si>
    <t>1866-2016-ND</t>
  </si>
  <si>
    <t>INR 2025.33</t>
  </si>
  <si>
    <t>ACH-RD-CH-0810</t>
  </si>
  <si>
    <t>CP-063AH-ND</t>
  </si>
  <si>
    <t>INR 98.77</t>
  </si>
  <si>
    <t>ACH-RD-CH-0811</t>
  </si>
  <si>
    <t>90-XPGDRY-LS-0000-00601-ND</t>
  </si>
  <si>
    <t>INR 157.70</t>
  </si>
  <si>
    <t>ACH-RD-CH-0812</t>
  </si>
  <si>
    <t>18-1206L400-12SLWRCT-ND</t>
  </si>
  <si>
    <t>INR 164.34</t>
  </si>
  <si>
    <t>ACH-RD-CH-0813</t>
  </si>
  <si>
    <t>SRN6045TA-3R3YRC-ND</t>
  </si>
  <si>
    <t>INR 38.263</t>
  </si>
  <si>
    <t>ACH-RD-CH-0814</t>
  </si>
  <si>
    <t>PCE4278CT-ND</t>
  </si>
  <si>
    <t>INR 77.19</t>
  </si>
  <si>
    <t>ACH-RD-CH-0815</t>
  </si>
  <si>
    <t>SAM10015-ND</t>
  </si>
  <si>
    <t>INR 75.53</t>
  </si>
  <si>
    <t>ACH-RD-CH-0816</t>
  </si>
  <si>
    <t>SAM11958-ND</t>
  </si>
  <si>
    <t>INR 273.90</t>
  </si>
  <si>
    <t>ACH-RD-CH-0817</t>
  </si>
  <si>
    <t>SBC2006-32GB - SanDisk Ultra MicroSD / Microsdhc Class-10 / 4 120 Mbps Memory Card</t>
  </si>
  <si>
    <t>INR 398.30</t>
  </si>
  <si>
    <t>ACH-EN-EL-0259</t>
  </si>
  <si>
    <t>SBC1016 - Raspberry Pi 4 Model B</t>
  </si>
  <si>
    <t>INR 6610.16</t>
  </si>
  <si>
    <t>ACH-EN-EL-0260</t>
  </si>
  <si>
    <t>SBC2129 - CM4 To Pi 4B Adapter for Raspberry Pi</t>
  </si>
  <si>
    <t>INR 1439.99</t>
  </si>
  <si>
    <t>ACH-MF-CM-0075</t>
  </si>
  <si>
    <t>SG-2148 - Non Woven Shoe Cover Disposable</t>
  </si>
  <si>
    <t>ACH-EN-EL-0261</t>
  </si>
  <si>
    <t>3V - 6V Vibration motor mini micro DC Motor DC 20x15x25mm 7100 rpm 0.17A for Toys DIY Projects</t>
  </si>
  <si>
    <t>ACH-EN-EL-0262</t>
  </si>
  <si>
    <t>P2- 1-Layer Bare Rigid Printed Circuit Board</t>
  </si>
  <si>
    <t>INR 11.122</t>
  </si>
  <si>
    <t>ACH-EN-EL-0263</t>
  </si>
  <si>
    <t>Y59- 2-Layer Bare Rigid Printed Circuit Board</t>
  </si>
  <si>
    <t>INR 33.7478</t>
  </si>
  <si>
    <t>ACH-EN-EL-0264</t>
  </si>
  <si>
    <t>Y63- 2-Layer Bare Rigid Printed Circuit Board</t>
  </si>
  <si>
    <t>ACH-EN-EL-0265</t>
  </si>
  <si>
    <t>Y64- 2-Layer Bare Rigid Printed Circuit Board</t>
  </si>
  <si>
    <t>INR 52.29</t>
  </si>
  <si>
    <t>ACH-EN-EL-0266</t>
  </si>
  <si>
    <t>Y65- 2-Layer Bare Rigid Printed Circuit Board</t>
  </si>
  <si>
    <t>INR 50.63</t>
  </si>
  <si>
    <t>ACH-EN-EL-0267</t>
  </si>
  <si>
    <t>Y68- 2-Layer Bare Rigid Printed Circuit Board</t>
  </si>
  <si>
    <t>ACH-EN-EL-0268</t>
  </si>
  <si>
    <t>Y69- 4-Layer Bare Rigid Printed Circuit Board</t>
  </si>
  <si>
    <t>INR 576.518</t>
  </si>
  <si>
    <t>ACH-EN-EL-0269</t>
  </si>
  <si>
    <t>SMT02405221753764 - Rigid Populated Printed Circuit Board</t>
  </si>
  <si>
    <t>INR 379.974</t>
  </si>
  <si>
    <t>ACH-EN-EL-0270</t>
  </si>
  <si>
    <t>SMT02405221753800 - Rigid Populated Printed Circuit Board</t>
  </si>
  <si>
    <t>INR 280.457</t>
  </si>
  <si>
    <t>ACH-EN-EL-0271</t>
  </si>
  <si>
    <t>SMT02405231755628 - Rigid Populated Printed Circuit Board</t>
  </si>
  <si>
    <t>INR 1361.20</t>
  </si>
  <si>
    <t>ACH-EN-EL-0272</t>
  </si>
  <si>
    <t>SMT02405231756243 - Rigid Populated Printed Circuit Board</t>
  </si>
  <si>
    <t>INR 4363.80</t>
  </si>
  <si>
    <t>ACH-RD-CM-0180</t>
  </si>
  <si>
    <t>Microcentrifuge Tubes 2ml with Hinged Lid, Falcon Tube, Frosted Writing Area, Polypropylene Graduated</t>
  </si>
  <si>
    <t>INR 1.18474</t>
  </si>
  <si>
    <t>ACH-EN-EQ-0087</t>
  </si>
  <si>
    <t>Ultrasonic Plastic Welding Machine Model: UPWM 2015 Rating: 1500 Watts / 20 kHz Including one set of Horn &amp; Fixture</t>
  </si>
  <si>
    <t>INR 245000.00</t>
  </si>
  <si>
    <t>Ultratechsonic Solutions</t>
  </si>
  <si>
    <t>ACH-RD-CH-0818</t>
  </si>
  <si>
    <t>Dome - Mould</t>
  </si>
  <si>
    <t>INR 660000.00</t>
  </si>
  <si>
    <t>ACH-EN-EQ-0088</t>
  </si>
  <si>
    <t>Electronic Weighing Machine</t>
  </si>
  <si>
    <t>INR 14100.00</t>
  </si>
  <si>
    <t>ACH-EN-EQ-0089</t>
  </si>
  <si>
    <t>M6 5G (Orion Blue, 8GB RAM, 256GB Storage)</t>
  </si>
  <si>
    <t>INR 9321.19</t>
  </si>
  <si>
    <t>ACH-GN-IT-0040</t>
  </si>
  <si>
    <t>Back Case Cover for Poco M6 5G | Compatible for Poco M6 5G Back Case Cover | 360 Degree Protection | Case Cover for Poco M6 5G with Camera Protection | (TPU + PC | Translucent Black)</t>
  </si>
  <si>
    <t>INR 256.78</t>
  </si>
  <si>
    <t>ACH-EN-EQ-0090</t>
  </si>
  <si>
    <t>Laserjet M126a B&amp;W Printer for Office: 3-in-1 Print, Copy, Scan, Compact, Affordable, Durable</t>
  </si>
  <si>
    <t>INR 14829.66</t>
  </si>
  <si>
    <t>ACH-EN-EL-0273</t>
  </si>
  <si>
    <t>1749017 - Official Raspberry Pi 5 Active Cooler</t>
  </si>
  <si>
    <t>INR 469.00</t>
  </si>
  <si>
    <t>ACH-EN-EL-0274</t>
  </si>
  <si>
    <t>1749034 - Raspberry Pi 5 Model 8GB</t>
  </si>
  <si>
    <t>INR 8248.00</t>
  </si>
  <si>
    <t>ACH-EN-EL-0275</t>
  </si>
  <si>
    <t>1749014 - Official 27W USB-C PD Power Supply for Raspberry Pi 5 â€“ Black(Plug Type :IN)</t>
  </si>
  <si>
    <t>INR 1094.00</t>
  </si>
  <si>
    <t>ACH-EN-EL-0276</t>
  </si>
  <si>
    <t>1749022 - Official Raspberry Pi 5 Camera FPC Cable 500mm</t>
  </si>
  <si>
    <t>INR 292.00</t>
  </si>
  <si>
    <t>ACH-EN-EL-0277</t>
  </si>
  <si>
    <t>1445388 - Raspberry Pi Camera Module 3 Wide</t>
  </si>
  <si>
    <t>INR 3245.00</t>
  </si>
  <si>
    <t>ACH-GN-IT-0041</t>
  </si>
  <si>
    <t>544645 - SanDisk Micro SD/SDHC 32GB Class 10 Memory Card</t>
  </si>
  <si>
    <t>INR 449.00</t>
  </si>
  <si>
    <t>ACH-GN-OF-0007</t>
  </si>
  <si>
    <t>A4 GFS OHP Sheet 175 Mic</t>
  </si>
  <si>
    <t>ACH-RD-CH-0819</t>
  </si>
  <si>
    <t>DC/GEN/SYL-184-1.1KG-KIT</t>
  </si>
  <si>
    <t>INR 13500.00</t>
  </si>
  <si>
    <t>ACH-RD-CH-0820</t>
  </si>
  <si>
    <t>3826 - Bacteria Haemophilus Influenzae</t>
  </si>
  <si>
    <t>INR 6000.00</t>
  </si>
  <si>
    <t>ACH-RD-CH-0821</t>
  </si>
  <si>
    <t>P6782 - Peroxidase from horseradish. Type VI-A, essentially salt-free, lyophilized powder, 250 units/mg solid (using pyrogallol), 950-2000 units/mg solid (using ABTS)</t>
  </si>
  <si>
    <t>INR 1.4541</t>
  </si>
  <si>
    <t>ACH-RD-CH-0822</t>
  </si>
  <si>
    <t>Q18755 - HYDROGEN PEROXIDE SOLUTION 30% W/V (100 VOLUMES) SQ</t>
  </si>
  <si>
    <t>INR 0.000801</t>
  </si>
  <si>
    <t>ACH-MF-LB-0005</t>
  </si>
  <si>
    <t>Barcode Labels (25mm X 10mm X 4)</t>
  </si>
  <si>
    <t>INR 0.02661</t>
  </si>
  <si>
    <t>ACH-RD-CH-0823</t>
  </si>
  <si>
    <t>Digital Kitchen Timer &amp; Stop Watch Timer for Study, Countdown Large Digits, Loud Alarm, Magnetic Round Back Stand, Stopwatch Timer for Study, Oven, Cooking, Baking Essentials Kitchen Tools</t>
  </si>
  <si>
    <t>ACH-MF-LB-0006</t>
  </si>
  <si>
    <t>Barcode Labels (25mm X 15mm X 4)</t>
  </si>
  <si>
    <t>INR 0.0374</t>
  </si>
  <si>
    <t>ACH-RD-CH-0824</t>
  </si>
  <si>
    <t>33123 - Ethylamine Solution 70% in Water Pure</t>
  </si>
  <si>
    <t>ACH-RD-CH-0825</t>
  </si>
  <si>
    <t>UV Safety Googles</t>
  </si>
  <si>
    <t>INR 1480.00</t>
  </si>
  <si>
    <t>ACH-RD-CH-0826</t>
  </si>
  <si>
    <t>1.8M Computer Power Cable for Desktops</t>
  </si>
  <si>
    <t>INR 325.34</t>
  </si>
  <si>
    <t>ACH-EN-EL-0278</t>
  </si>
  <si>
    <t>W59-019623 - Waveshare 19623 CM4-Heatsink</t>
  </si>
  <si>
    <t>INR 273.24</t>
  </si>
  <si>
    <t>Welctron</t>
  </si>
  <si>
    <t>ACH-EN-EL-0279</t>
  </si>
  <si>
    <t>RP1-402860 - Raspberry Pi Compute Module CM4108032 (32 GB, 8GM RAM,Wifi)</t>
  </si>
  <si>
    <t>INR 7963.59</t>
  </si>
  <si>
    <t>ACH-RD-CH-0827</t>
  </si>
  <si>
    <t>131552 - Erba DEka Phan Laura Urine Strips</t>
  </si>
  <si>
    <t>ACH-RD-CH-0828</t>
  </si>
  <si>
    <t>Sticky Mat - Clean Room</t>
  </si>
  <si>
    <t>ACH-EN-SP-0040</t>
  </si>
  <si>
    <t>UI customization fee - According to the guideline "Portable Reader for Achira Labs_finalized"</t>
  </si>
  <si>
    <t>INR 249000.00</t>
  </si>
  <si>
    <t>Pacific Image Electronics Co., Ltd.</t>
  </si>
  <si>
    <t>ACH-GN-IT-0042</t>
  </si>
  <si>
    <t>All-in-One PC Ryzen 5 7520U 27-inch(68.6cm) FHD IPS Display, 16GB LPDDR5, 1TB SSD, AMD Radeon Graphics, Wireless Keyboard and mouse combo, FHD Camera, (Win 11, MSO, Shell White, 6.72Kg) 27-cr0445in</t>
  </si>
  <si>
    <t>INR 49144.07</t>
  </si>
  <si>
    <t>ACH-GN-IT-0043</t>
  </si>
  <si>
    <t>Laptop 15s, AMD Ryzen 7 5700U, 15.6-inch (39.6 cm), FHD, 16GB DDR4, 512GB SSD, AMD Radeon graphics, Backlit KB, Thin &amp; light, Dual speakers (Win 11, MSO 2021, Silver, 1.69 kg), ey2001AU</t>
  </si>
  <si>
    <t>INR 40262.71</t>
  </si>
  <si>
    <t>ACH-RD-CH-0829</t>
  </si>
  <si>
    <t>As Per List Enclosed / Quotation Enclosed</t>
  </si>
  <si>
    <t>ACH-EN-EQ-0091</t>
  </si>
  <si>
    <t>Water Purification System</t>
  </si>
  <si>
    <t>Labindia Instruments Pvt. Ltd</t>
  </si>
  <si>
    <t>ACH-RD-CH-0830</t>
  </si>
  <si>
    <t>Hand Drill Bits Set for Jewelry Making, Including 1 Pin Vise Hand Drill, 10 Mini Micro Drill and 25 Twist Drills for Resin Casting Molds Diamond Tipped Bead Plastic Keychain</t>
  </si>
  <si>
    <t>INR 18.3144</t>
  </si>
  <si>
    <t>ACH-RD-CH-0831</t>
  </si>
  <si>
    <t>MCT VIAL 2ML Micro Centrifuge Polypropylene Tube 2 ml Rounded Bottom</t>
  </si>
  <si>
    <t>INR 364.41</t>
  </si>
  <si>
    <t>ACH-RD-CH-0832</t>
  </si>
  <si>
    <t>AA Batteries</t>
  </si>
  <si>
    <t>INR 17.712</t>
  </si>
  <si>
    <t>ACH-EN-EL-0280</t>
  </si>
  <si>
    <t>Y70 - 2 Layer Bare Rigid Printed Circuit Board</t>
  </si>
  <si>
    <t>INR 42.33</t>
  </si>
  <si>
    <t>ACH-EN-EL-0281</t>
  </si>
  <si>
    <t>Y71 - 2 Layer Bare Rigid Printed Circuit Board</t>
  </si>
  <si>
    <t>INR 22.24</t>
  </si>
  <si>
    <t>ACH-EN-EL-0282</t>
  </si>
  <si>
    <t>SMT02406171794303 - Rigid Populated Printed Circuit Board</t>
  </si>
  <si>
    <t>INR 219.45</t>
  </si>
  <si>
    <t>ACH-EN-EL-0283</t>
  </si>
  <si>
    <t>SMT02406171794305 - Rigid Populated Printed Circuit Board</t>
  </si>
  <si>
    <t>INR 199.66</t>
  </si>
  <si>
    <t>ACH-EN-EL-0284</t>
  </si>
  <si>
    <t>Y74 - 4 Layer Bare Rigid Printed Circuit Board</t>
  </si>
  <si>
    <t>ACH-EN-EL-0285</t>
  </si>
  <si>
    <t>SMT02406181795655 - Rigid Populated Printed Circuit Board</t>
  </si>
  <si>
    <t>INR 1965.31</t>
  </si>
  <si>
    <t>ACH-RD-CM-0181</t>
  </si>
  <si>
    <t>P10201 - Micro Centrifuge Tubes 0.5 mL - Pack of 1000 pcs</t>
  </si>
  <si>
    <t>INR 607.20</t>
  </si>
  <si>
    <t>ACH-EN-EL-0286</t>
  </si>
  <si>
    <t>Y76 - 4 Layer Bare Rigid Printed Circuit Board</t>
  </si>
  <si>
    <t>INR 253.59</t>
  </si>
  <si>
    <t>ACH-EN-EL-0287</t>
  </si>
  <si>
    <t>SMT02407031820098 - Rigid Populated Printed Circuit Board</t>
  </si>
  <si>
    <t>INR 2416.96</t>
  </si>
  <si>
    <t>ACH-RD-CH-0833</t>
  </si>
  <si>
    <t>Cooling Rack, 61x41x1.5 cm (16x24")</t>
  </si>
  <si>
    <t>INR 821.21</t>
  </si>
  <si>
    <t>ACH-RD-CH-0834</t>
  </si>
  <si>
    <t>Outer Case Cover for Analyzer</t>
  </si>
  <si>
    <t>INR 7358.00</t>
  </si>
  <si>
    <t>ACH-MF-CT-0039</t>
  </si>
  <si>
    <t>Design and Development of Single cavity injection mold for Busbar Spacer</t>
  </si>
  <si>
    <t>ACH-RD-CH-0835</t>
  </si>
  <si>
    <t>I10201- 4-Iodophenol</t>
  </si>
  <si>
    <t>INR 0.55722</t>
  </si>
  <si>
    <t>ACH-RD-CH-0836</t>
  </si>
  <si>
    <t>Unisex Culebra UV Long Sun Gloves UPF 50+ Charcoal / XL</t>
  </si>
  <si>
    <t>ACH-RD-CH-0837</t>
  </si>
  <si>
    <t>MPFC010025XXXXX - NC Membrane Type: CNPF-SN12, Size: 25mm, Pore Size: 10Î¼m,</t>
  </si>
  <si>
    <t>INR 96.00</t>
  </si>
  <si>
    <t>ACH-RD-CH-0838</t>
  </si>
  <si>
    <t>RapidScan PH - PIE stanard package</t>
  </si>
  <si>
    <t>INR 74700.00</t>
  </si>
  <si>
    <t>ACH-GN-IT-0044</t>
  </si>
  <si>
    <t>IdeaPad Gaming 3 AMD Ryzen 7 5800H 15.6" (39.62cm) FHD IPS Gaming Laptop (16GB/512GB SSD/6GB NVIDIA RTX 3060/165Hz/Win 11/Office 2021/Backlit/3months Game Pass/Shadow Black/2.25Kg), 82K201UNIN</t>
  </si>
  <si>
    <t>INR 65245.76</t>
  </si>
  <si>
    <t>ACH-GN-IT-0045</t>
  </si>
  <si>
    <t>TUF Gaming F15, 15.6" (39.62cm) FHD 144Hz, 13th Gen Intel Core i7-13620H, Gaming Laptop (16GB DDR5/512GB SSD/NVIDIA GeForce RTX 4060 /Windows 11//Mecha Gray/2.20 Kg), FX507VV-LP287W</t>
  </si>
  <si>
    <t>INR 93211.86</t>
  </si>
  <si>
    <t>ACH-RD-AB-0157</t>
  </si>
  <si>
    <t>D-dimer Monoclonal antibody 2C11</t>
  </si>
  <si>
    <t>ACH-RD-AB-0158</t>
  </si>
  <si>
    <t>D-dimer Monoclonal antibody 6E5</t>
  </si>
  <si>
    <t>ACH-RD-AB-0159</t>
  </si>
  <si>
    <t>Ferritin Monoclonal antibody 29H2</t>
  </si>
  <si>
    <t>ACH-RD-AB-0160</t>
  </si>
  <si>
    <t>Ferritin Monoclonal antibody 24G7</t>
  </si>
  <si>
    <t>ACH-RD-AB-0161</t>
  </si>
  <si>
    <t>Anti-HbA1C McAb</t>
  </si>
  <si>
    <t>HANGZHOU BIOEAST BIOTECH CO., LTD.</t>
  </si>
  <si>
    <t>ACH-RD-CH-0839</t>
  </si>
  <si>
    <t>Anti-HbA2C McAb</t>
  </si>
  <si>
    <t>ACH-RD-CH-0840</t>
  </si>
  <si>
    <t>25-OH VD Assay Diluent</t>
  </si>
  <si>
    <t>INR 0.000042</t>
  </si>
  <si>
    <t>ACH-RD-AB-0162</t>
  </si>
  <si>
    <t>Anti Ferritin Monoclonal Antibody</t>
  </si>
  <si>
    <t>INR 0.00001</t>
  </si>
  <si>
    <t>ACH-RD-AB-0163</t>
  </si>
  <si>
    <t>HM537 - Dengue Virus (DENV-pan NS1) Antibody</t>
  </si>
  <si>
    <t>INR 24.48</t>
  </si>
  <si>
    <t>ACH-RD-AB-0164</t>
  </si>
  <si>
    <t>Human HbA1c Antigen</t>
  </si>
  <si>
    <t>ACH-RD-AB-0165</t>
  </si>
  <si>
    <t>Anti-AMH McAb - AMH104</t>
  </si>
  <si>
    <t>ACH-RD-AB-0166</t>
  </si>
  <si>
    <t>Anti-AMH McAb - AMH106</t>
  </si>
  <si>
    <t>ACH-RD-CH-0841</t>
  </si>
  <si>
    <t>Progesterone(Prog) McAb - Prog 101</t>
  </si>
  <si>
    <t>ACH-RD-AB-0167</t>
  </si>
  <si>
    <t>E2101 - Anti-Estradiolï¼ˆE2ï¼‰McAb</t>
  </si>
  <si>
    <t>ACH-RD-CH-0842</t>
  </si>
  <si>
    <t>Progesterone-BSA - Prog401</t>
  </si>
  <si>
    <t>ACH-RD-AB-0168</t>
  </si>
  <si>
    <t>BMGCG11 - Alpha HCG Antibody</t>
  </si>
  <si>
    <t>ACH-RD-AB-0169</t>
  </si>
  <si>
    <t>BMGCG12 - Beta HCG Antibody</t>
  </si>
  <si>
    <t>ACH-RD-AB-0170</t>
  </si>
  <si>
    <t>HM027 - Dengue Virus (DENV-pan NS1) Antibody</t>
  </si>
  <si>
    <t>ACH-RD-AB-0171</t>
  </si>
  <si>
    <t>HM249 - Malaria (pan-pLDH) Antibody</t>
  </si>
  <si>
    <t>ACH-RD-AB-0172</t>
  </si>
  <si>
    <t>AMH Recombinant Antigen - AMH302</t>
  </si>
  <si>
    <t>ACH-RD-CH-0843</t>
  </si>
  <si>
    <t>Goat Anti Rabbit IgG 41-GR30</t>
  </si>
  <si>
    <t>INR 2.433125</t>
  </si>
  <si>
    <t>BTL Biotechno Labs Pvt. Ltd</t>
  </si>
  <si>
    <t>ACH-RD-CH-0844</t>
  </si>
  <si>
    <t>Unisart CN 95-NC Membrane - 1UN95ER100025NT</t>
  </si>
  <si>
    <t>INR 88.88</t>
  </si>
  <si>
    <t>ACH-RD-CH-0845</t>
  </si>
  <si>
    <t>Unisart CN 140-NC Membrane - 1UN14ER100025NT</t>
  </si>
  <si>
    <t>ACH-RD-CM-0182</t>
  </si>
  <si>
    <t>Filter Paper 8951 10mm</t>
  </si>
  <si>
    <t>INR 24.92</t>
  </si>
  <si>
    <t>ACH-RD-CM-0183</t>
  </si>
  <si>
    <t>Filter Paper 1668 17mm</t>
  </si>
  <si>
    <t>INR 157.16</t>
  </si>
  <si>
    <t>ACH-RD-CM-0184</t>
  </si>
  <si>
    <t>Filter Paper 1668 20mm</t>
  </si>
  <si>
    <t>INR 92.44</t>
  </si>
  <si>
    <t>ACH-RD-CM-0185</t>
  </si>
  <si>
    <t>Filter Paper 8951 07mm</t>
  </si>
  <si>
    <t>INR 19.32</t>
  </si>
  <si>
    <t>Mt. Holly Springs &amp; Bethune Converting</t>
  </si>
  <si>
    <t>ACH-RD-CM-0186</t>
  </si>
  <si>
    <t>Filter Paper 243 20mm</t>
  </si>
  <si>
    <t>INR 21.84</t>
  </si>
  <si>
    <t>ACH-RD-CH-0846</t>
  </si>
  <si>
    <t>Article Plastic PC23 (D No. mm2) 5mm</t>
  </si>
  <si>
    <t>ACH-RD-FL-0047</t>
  </si>
  <si>
    <t>EU0200C - Bioeast Europium Chelate Polystyrene Particles</t>
  </si>
  <si>
    <t>ACH-RD-FL-0048</t>
  </si>
  <si>
    <t>EU0300C - Bioeast Europium Chelate Polystyrene Particles)</t>
  </si>
  <si>
    <t>ACH-RD-CM-0187</t>
  </si>
  <si>
    <t>T46090 - Petri Dish 90mm sleeve of 20</t>
  </si>
  <si>
    <t>INR 7.70</t>
  </si>
  <si>
    <t>ACH-EN-SP-0041</t>
  </si>
  <si>
    <t>ISO 8655 including Preventive Maintenance</t>
  </si>
  <si>
    <t>INR 1270.00</t>
  </si>
  <si>
    <t>ACH-MF-CT-0040</t>
  </si>
  <si>
    <t>TFT Rotary Shaft Retainer 1TC0001-0201</t>
  </si>
  <si>
    <t>ACH-MF-CT-0041</t>
  </si>
  <si>
    <t>Universal Base Plate Metric Anodized Aluminum</t>
  </si>
  <si>
    <t>ACH-MF-CT-0042</t>
  </si>
  <si>
    <t>SS Dia 6mm x 56Length</t>
  </si>
  <si>
    <t>ACH-MF-CT-0043</t>
  </si>
  <si>
    <t>SS Dia 6mm x 416Length</t>
  </si>
  <si>
    <t>ACH-EN-ME-0233</t>
  </si>
  <si>
    <t>Rotary spindle FIAI-VM-C-002</t>
  </si>
  <si>
    <t>ACH-EN-ME-0234</t>
  </si>
  <si>
    <t>Plate locker FIAI-VM-D-001</t>
  </si>
  <si>
    <t>ACH-MF-CT-0044</t>
  </si>
  <si>
    <t>Tool and Die</t>
  </si>
  <si>
    <t>INR 6500.00</t>
  </si>
  <si>
    <t>ACH-GN-FA-0005</t>
  </si>
  <si>
    <t>Free standing table (Individual) - 1500mmW X 600mmD</t>
  </si>
  <si>
    <t>INR 5850.00</t>
  </si>
  <si>
    <t>ACH-GN-FA-0006</t>
  </si>
  <si>
    <t>Granite table top - 1500mmW X 600mmD</t>
  </si>
  <si>
    <t>INR 16853.00</t>
  </si>
  <si>
    <t>ACH-GN-FA-0007</t>
  </si>
  <si>
    <t>Free standing table - 1600mmW X 600mmD</t>
  </si>
  <si>
    <t>INR 12915.00</t>
  </si>
  <si>
    <t>ACH-RD-CH-0847</t>
  </si>
  <si>
    <t>Three Drawer Prelam Pedestal 450mmW X 450mmD X 640mmHt</t>
  </si>
  <si>
    <t>INR 3780.00</t>
  </si>
  <si>
    <t>ACH-GN-FA-0008</t>
  </si>
  <si>
    <t>Free standing table (Individual table) - 1200mmW X 600mmD</t>
  </si>
  <si>
    <t>INR 5040.00</t>
  </si>
  <si>
    <t>ACH-GN-FA-0009</t>
  </si>
  <si>
    <t>Granite table top ( Surface table) - 900mmW X 750mmD</t>
  </si>
  <si>
    <t>INR 9090.00</t>
  </si>
  <si>
    <t>ACH-EN-OP-0023</t>
  </si>
  <si>
    <t>USH200DP 200W Short ARc Mercury Lamp</t>
  </si>
  <si>
    <t>INR 18143.80</t>
  </si>
  <si>
    <t>Lamp Tech</t>
  </si>
  <si>
    <t>ACH-RD-BG-0046</t>
  </si>
  <si>
    <t>83/575 Follicle Stimulating Hormone, Pituitary. WHO International Standard</t>
  </si>
  <si>
    <t>INR 15400.00</t>
  </si>
  <si>
    <t>ACH-RD-BG-0047</t>
  </si>
  <si>
    <t>81/535 Luteinizing Hormone, Human, Pituitary (3rd International Standard)</t>
  </si>
  <si>
    <t>ACH-RD-BG-0048</t>
  </si>
  <si>
    <t>81/615 Thyroid Stimulating Hormone, Human, Pituitary (4th WHO International Standard)</t>
  </si>
  <si>
    <t>ACH-RD-CH-0848</t>
  </si>
  <si>
    <t>T202050 - Stand Tube 32mm 12 Tubes RPP</t>
  </si>
  <si>
    <t>INR 421.25</t>
  </si>
  <si>
    <t>ACH-MF-CM-0076</t>
  </si>
  <si>
    <t>9.205 515 - Tygon Tubing 0,80x0,80mm supplied per metre type E3603</t>
  </si>
  <si>
    <t>INR 332.76</t>
  </si>
  <si>
    <t>ACH-GN-FA-0010</t>
  </si>
  <si>
    <t>3 Door Wardrobe Furniture for Clothes, Cupboard Wooden Almirah for Bedroom, Multi Utility Wardrobe with Lock and Handles, 1 Year Warranty, Engineered Wood, Frosty White Finish</t>
  </si>
  <si>
    <t>INR 9641.53</t>
  </si>
  <si>
    <t>ACH-RD-CH-0849</t>
  </si>
  <si>
    <t>8-Sheet Strip Cut Paper With CD and Credit Card Shredder With 12 Liter Waste Basket Capacity</t>
  </si>
  <si>
    <t>INR 2541.53</t>
  </si>
  <si>
    <t>ACH-RD-CH-0850</t>
  </si>
  <si>
    <t>Hypodermic Medical Needles 18G</t>
  </si>
  <si>
    <t>INR 2.2352</t>
  </si>
  <si>
    <t>ACH-RD-CH-0851</t>
  </si>
  <si>
    <t>F4021 - FOLLICLE STIMULATING HORMONE FROM</t>
  </si>
  <si>
    <t>INR 4684.20</t>
  </si>
  <si>
    <t>ACH-RD-CH-0852</t>
  </si>
  <si>
    <t>L6420 - LUTEINIZING HORMONE FROM HUMAN</t>
  </si>
  <si>
    <t>INR 2656.23</t>
  </si>
  <si>
    <t>ACH-RD-CH-0853</t>
  </si>
  <si>
    <t>T9265 - THYROTROPIC HORMONE FROM HUMAN</t>
  </si>
  <si>
    <t>INR 3958.26</t>
  </si>
  <si>
    <t>ACH-RD-CH-0854</t>
  </si>
  <si>
    <t>NP-0388H - Recombinant Influenza A H1N1 (A/Hawaii/70/2019) NP protein, His-tagged Make : Creative Biomart-</t>
  </si>
  <si>
    <t>INR 1260.00</t>
  </si>
  <si>
    <t>Shiven Biotech</t>
  </si>
  <si>
    <t>ACH-RD-CH-0855</t>
  </si>
  <si>
    <t>HbAlc Analyzer</t>
  </si>
  <si>
    <t>INR 60500.00</t>
  </si>
  <si>
    <t>ACH-RD-CH-0856</t>
  </si>
  <si>
    <t>HbAlc Cartridge</t>
  </si>
  <si>
    <t>INR 170.00</t>
  </si>
  <si>
    <t>ACH-RD-CH-0857</t>
  </si>
  <si>
    <t>Fully Assembled Cartridges_Beta Version</t>
  </si>
  <si>
    <t>INR 125.58</t>
  </si>
  <si>
    <t>ACH-RD-CH-0858</t>
  </si>
  <si>
    <t>G8270 - D-(+)-Glucose</t>
  </si>
  <si>
    <t>INR 0.0382</t>
  </si>
  <si>
    <t>ACH-RD-CH-0859</t>
  </si>
  <si>
    <t>T-075 - 3,3â€²,5â€²-Triiodo-L-thyronine (Reverse T3) solution</t>
  </si>
  <si>
    <t>INR 13.15</t>
  </si>
  <si>
    <t>ACH-RD-CH-0860</t>
  </si>
  <si>
    <t>S5922 -Salicylic Acid Bioxtra</t>
  </si>
  <si>
    <t>INR 0.09265</t>
  </si>
  <si>
    <t>ACH-MF-CM-0077</t>
  </si>
  <si>
    <t>Parafilm 2"</t>
  </si>
  <si>
    <t>INR 2542.00</t>
  </si>
  <si>
    <t>ACH-RD-CH-0861</t>
  </si>
  <si>
    <t>Vials 12*75</t>
  </si>
  <si>
    <t>ACH-RD-CH-0862</t>
  </si>
  <si>
    <t>BS-500 - Micro Slides Pic-2 Sz. 75mmx25mm : Thickness 1.45mm</t>
  </si>
  <si>
    <t>INR 1.184</t>
  </si>
  <si>
    <t>ACH-GN-HK-0025</t>
  </si>
  <si>
    <t>Dry/Wet Mop Set</t>
  </si>
  <si>
    <t>Supradeepa Healthcare</t>
  </si>
  <si>
    <t>ACH-RD-CH-0863</t>
  </si>
  <si>
    <t>OX Ingenious Surfox Wet Wipe Plus</t>
  </si>
  <si>
    <t>ACH-RD-CM-0188</t>
  </si>
  <si>
    <t>12.108.1000-1L-Reagent Bottle with screw cap</t>
  </si>
  <si>
    <t>INR 517.50</t>
  </si>
  <si>
    <t>S S Distributors</t>
  </si>
  <si>
    <t>ACH-MF-CM-0078</t>
  </si>
  <si>
    <t>77.504.0010-10ml,M.Cyl.Hex.Base, A</t>
  </si>
  <si>
    <t>INR 403.50</t>
  </si>
  <si>
    <t>ACH-MF-CM-0079</t>
  </si>
  <si>
    <t>77.504.0025-25ml, M.Cyl.Hexa. Base A</t>
  </si>
  <si>
    <t>INR 466.50</t>
  </si>
  <si>
    <t>ACH-MF-CM-0080</t>
  </si>
  <si>
    <t>77.504.0050-50ml,M.Cyl.Hex.Base, A</t>
  </si>
  <si>
    <t>INR 565.50</t>
  </si>
  <si>
    <t>ACH-MF-CM-0081</t>
  </si>
  <si>
    <t>77.504.0100-100ml,M.Cyl.Hex.Base, A</t>
  </si>
  <si>
    <t>INR 643.50</t>
  </si>
  <si>
    <t>ACH-MF-CM-0082</t>
  </si>
  <si>
    <t>77.504.0250-250ml,M.Cyl.Hex.Base, A</t>
  </si>
  <si>
    <t>INR 948.00</t>
  </si>
  <si>
    <t>ACH-MF-CM-0083</t>
  </si>
  <si>
    <t>77.504.0500-500ml,M.Cyl.Hex.Base, A</t>
  </si>
  <si>
    <t>INR 1320.00</t>
  </si>
  <si>
    <t>ACH-RD-CM-0189</t>
  </si>
  <si>
    <t>12.112.1000-1000ml, Amber Reagent Bottle Screw Cap</t>
  </si>
  <si>
    <t>INR 851.25</t>
  </si>
  <si>
    <t>ACH-RD-CM-0190</t>
  </si>
  <si>
    <t>CHPTFE12/3-PTFE Magnetic Stirring Bar-6x18</t>
  </si>
  <si>
    <t>ACH-RD-CM-0191</t>
  </si>
  <si>
    <t>CHPTFE12/20-PTFE coated magnetic stirring bar</t>
  </si>
  <si>
    <t>INR 3425.00</t>
  </si>
  <si>
    <t>ACH-RD-CM-0192</t>
  </si>
  <si>
    <t>12.103.0055-Bttle Caps PP Screw Cap with Ring</t>
  </si>
  <si>
    <t>ACH-RD-CH-0864</t>
  </si>
  <si>
    <t>Aluminium Foil 72 Meters for Food Packing, Cooking, Baking | Silver Foil for Kitchen Use| Foil Paper for Food Wrap 11 Microns Thickness</t>
  </si>
  <si>
    <t>ACH-RD-CH-0865</t>
  </si>
  <si>
    <t>Alcohol Lamp Spirit Lamp Burner Adjustable 3/16 Wick 4oz Faceted Glass Wax Work</t>
  </si>
  <si>
    <t>ACH-GN-IT-0046</t>
  </si>
  <si>
    <t>USB 3.0 High Speed 2 in 1 Multi Card Reader with LED Indicator, Read Micro SD/SD/SDHC/SDXC Memory Card, Upto 5 GBPS Download, Type C Connector, Windows/XP or MAC OS 8,6,9 or Higher</t>
  </si>
  <si>
    <t>ACH-MF-CM-0084</t>
  </si>
  <si>
    <t>Spinal Needle 18G</t>
  </si>
  <si>
    <t>INR 76.00</t>
  </si>
  <si>
    <t>Docuses Healthcare India Pvt. Ltd</t>
  </si>
  <si>
    <t>ACH-RD-CH-0866</t>
  </si>
  <si>
    <t>47763 - Cholecalciferol (D3)</t>
  </si>
  <si>
    <t>INR 0.122165</t>
  </si>
  <si>
    <t>ACH-RD-CH-0867</t>
  </si>
  <si>
    <t>Dengue IgG/IgM - Tests</t>
  </si>
  <si>
    <t>ACH-RD-CH-0868</t>
  </si>
  <si>
    <t>M1866 - Phosphate - Buffered Saline (PBS), pH 7.4</t>
  </si>
  <si>
    <t>INR 0.001395</t>
  </si>
  <si>
    <t>ACH-EN-ME-0235</t>
  </si>
  <si>
    <t>Reader Analyze Assembly</t>
  </si>
  <si>
    <t>INR 20000.00</t>
  </si>
  <si>
    <t>ACH-EN-ME-0236</t>
  </si>
  <si>
    <t>Aperture Retainer FIAI-CAM-C-001</t>
  </si>
  <si>
    <t>ACH-MF-CM-0085</t>
  </si>
  <si>
    <t>Microgenic Brain Heart Infusion - Adult</t>
  </si>
  <si>
    <t>ACH-RD-CM-0193</t>
  </si>
  <si>
    <t>T523071- Storage Vial 2mL - Amber</t>
  </si>
  <si>
    <t>ACH-EN-EQ-0092</t>
  </si>
  <si>
    <t>ADBS22SJ/35 Pressure Booster System Cmb3 37</t>
  </si>
  <si>
    <t>INR 25677.97</t>
  </si>
  <si>
    <t>Santhosh Hardware</t>
  </si>
  <si>
    <t>ACH-RD-CH-0869</t>
  </si>
  <si>
    <t>Spirit Lamp</t>
  </si>
  <si>
    <t>ACH-RD-AB-0173</t>
  </si>
  <si>
    <t>BA-DENI0032 - Recombinant Antigen</t>
  </si>
  <si>
    <t>INR 0.0085</t>
  </si>
  <si>
    <t>ACH-RD-AB-0174</t>
  </si>
  <si>
    <t>BA-DENII0036 - Recombinant Antigen</t>
  </si>
  <si>
    <t>ACH-RD-AB-0175</t>
  </si>
  <si>
    <t>GRJDENC301 - Recombinant Antigen</t>
  </si>
  <si>
    <t>ACH-RD-AB-0176</t>
  </si>
  <si>
    <t>BA-DENIV0030 - Recombinant Antigen</t>
  </si>
  <si>
    <t>ACH-RD-AB-0177</t>
  </si>
  <si>
    <t>BRJIGGI102 - Monoclonal Antibody</t>
  </si>
  <si>
    <t>ACH-RD-AB-0178</t>
  </si>
  <si>
    <t>GRCIGMC104 - Monoclonal Antibody</t>
  </si>
  <si>
    <t>ACH-RD-CH-0870</t>
  </si>
  <si>
    <t>IGGIGMCD - Resolved Buffer</t>
  </si>
  <si>
    <t>INR 0.00085</t>
  </si>
  <si>
    <t>ACH-RD-AB-0179</t>
  </si>
  <si>
    <t>BRCNSIS120 - Monoclonal Antibody</t>
  </si>
  <si>
    <t>ACH-RD-AB-0180</t>
  </si>
  <si>
    <t>BRCNSIS121 - Monoclonal Antibody</t>
  </si>
  <si>
    <t>ACH-RD-AB-0181</t>
  </si>
  <si>
    <t>BRCNSIS119 - Monoclonal Antibody</t>
  </si>
  <si>
    <t>ACH-RD-AB-0182</t>
  </si>
  <si>
    <t>BRJNSIS107 - Monoclonal Antibody</t>
  </si>
  <si>
    <t>ACH-RD-AB-0183</t>
  </si>
  <si>
    <t>BRCNSIS106 - Monoclonal Antibody</t>
  </si>
  <si>
    <t>ACH-RD-CH-0871</t>
  </si>
  <si>
    <t>NSICD - Redissolved Buffer</t>
  </si>
  <si>
    <t>ACH-RD-AB-0184</t>
  </si>
  <si>
    <t>BENVDN106 - Monoclonal Antibody</t>
  </si>
  <si>
    <t>ACH-RD-AB-0185</t>
  </si>
  <si>
    <t>BENVDN114 - Monoclonal Antibody</t>
  </si>
  <si>
    <t>ACH-RD-CH-0872</t>
  </si>
  <si>
    <t>VDUS04 - Uncut Sheet</t>
  </si>
  <si>
    <t>ACH-RD-CH-0873</t>
  </si>
  <si>
    <t>FPVDIDB3 - Lysis Buffer</t>
  </si>
  <si>
    <t>ACH-RD-CH-0874</t>
  </si>
  <si>
    <t>HIER-R-040 - Heterophilic Immunoglobulin Elimination Reagent (I)</t>
  </si>
  <si>
    <t>ACH-RD-CH-0875</t>
  </si>
  <si>
    <t>HIER-R-009 - Heterophilic Immunoglobulin Elimination Reagent (I)</t>
  </si>
  <si>
    <t>ACH-RD-CH-0876</t>
  </si>
  <si>
    <t>HIER-M-005 - Heterophilic Immunoglobulin Elimination Reagent (I)</t>
  </si>
  <si>
    <t>ACH-RD-CH-0877</t>
  </si>
  <si>
    <t>Fuel Transfer Pump, Oil Transfer Pump, High Flow Siphon Hand Oil Pump, Portable Manual Car Fuel Transfer Pump for Petrol Diesel Oil Liquid Water Fish Tank with 2M Syphon Hose (Multi)</t>
  </si>
  <si>
    <t>INR 312.72</t>
  </si>
  <si>
    <t>ACH-RD-CH-0878</t>
  </si>
  <si>
    <t>C9756 - Cholecalciferol, Crystalline</t>
  </si>
  <si>
    <t>INR 9.434</t>
  </si>
  <si>
    <t>ACH-EN-ME-0237</t>
  </si>
  <si>
    <t>2mm Black - 4X3 Feet Acrylic Sheet</t>
  </si>
  <si>
    <t>INR 1160.00</t>
  </si>
  <si>
    <t>ACH-GN-IT-0047</t>
  </si>
  <si>
    <t>TP-Link Nano USB WiFi Dongle 150Mbps High Gain Wireless Network Wi-Fi Adapter for PC Desktop and Laptops, Supports Windows 10/8.1/8/7/XP, Linux, Mac OS X (TL-WN722N)</t>
  </si>
  <si>
    <t>INR 592.38</t>
  </si>
  <si>
    <t>ACH-RD-AB-0186</t>
  </si>
  <si>
    <t>Recombinant human cystatin C</t>
  </si>
  <si>
    <t>INR 126.04</t>
  </si>
  <si>
    <t>ACH-RD-FL-0049</t>
  </si>
  <si>
    <t>AAT26050 - Acridinium Biotin Conjugate</t>
  </si>
  <si>
    <t>INR 19.25</t>
  </si>
  <si>
    <t>ACH-RD-AB-0187</t>
  </si>
  <si>
    <t>GRJMPVS101 - Recombinant Antigen</t>
  </si>
  <si>
    <t>INR 0.0415</t>
  </si>
  <si>
    <t>ACH-RD-AB-0188</t>
  </si>
  <si>
    <t>GRJMPVS102 - Recombinant Antigen</t>
  </si>
  <si>
    <t>ACH-RD-AB-0189</t>
  </si>
  <si>
    <t>GRJMPVS103 - Recombinant Antigen</t>
  </si>
  <si>
    <t>ACH-RD-AB-0190</t>
  </si>
  <si>
    <t>BRCMPVS101 - Monoclonal antibody</t>
  </si>
  <si>
    <t>ACH-RD-AB-0191</t>
  </si>
  <si>
    <t>BRJMPVS101 - Monoclonal antibody</t>
  </si>
  <si>
    <t>ACH-RD-AB-0192</t>
  </si>
  <si>
    <t>BRCMPVS102 - Monoclonal antibody</t>
  </si>
  <si>
    <t>ACH-RD-AB-0193</t>
  </si>
  <si>
    <t>BRNMPVS106 - Monoclonal antibody</t>
  </si>
  <si>
    <t>ACH-RD-AB-0194</t>
  </si>
  <si>
    <t>BRNMPVS105 - Monoclonal antibody</t>
  </si>
  <si>
    <t>ACH-RD-AB-0195</t>
  </si>
  <si>
    <t>GRJMPVS105 - Recombinant antigen</t>
  </si>
  <si>
    <t>ACH-RD-CH-0879</t>
  </si>
  <si>
    <t>FPMKPVUS-4 - Uncut sheet</t>
  </si>
  <si>
    <t>ACH-RD-CH-0880</t>
  </si>
  <si>
    <t>FPMKPVUS-5 - Uncut sheet</t>
  </si>
  <si>
    <t>ACH-RD-CH-0881</t>
  </si>
  <si>
    <t>FPMKPVUS-6 - Uncut sheet</t>
  </si>
  <si>
    <t>ACH-RD-CH-0882</t>
  </si>
  <si>
    <t>FPMKPVCD - Redissolved buffer</t>
  </si>
  <si>
    <t>ACH-RD-CH-0883</t>
  </si>
  <si>
    <t>FPMKPVLS - Sample Diluent</t>
  </si>
  <si>
    <t>ACH-RD-AB-0196</t>
  </si>
  <si>
    <t>BNJBNPN130 - Monoclonal antibody</t>
  </si>
  <si>
    <t>ACH-RD-AB-0197</t>
  </si>
  <si>
    <t>BNCNBNPN127 - Monoclonal antibody</t>
  </si>
  <si>
    <t>ACH-RD-AB-0198</t>
  </si>
  <si>
    <t>BRJNBNPS103 - Monoclonal antibody</t>
  </si>
  <si>
    <t>ACH-RD-AB-0199</t>
  </si>
  <si>
    <t>BNCBNPN128 - Monoclonal antibody</t>
  </si>
  <si>
    <t>ACH-RD-AB-0200</t>
  </si>
  <si>
    <t>GRCBNPS101 - Recombinant antigen</t>
  </si>
  <si>
    <t>ACH-RD-AB-0201</t>
  </si>
  <si>
    <t>3CV2 RBD5305 Anti-Spike</t>
  </si>
  <si>
    <t>ACH-RD-AB-0202</t>
  </si>
  <si>
    <t>3CV2, MAb RBD5324 Anti-Spike</t>
  </si>
  <si>
    <t>ACH-RD-AB-0203</t>
  </si>
  <si>
    <t>3CV2 RBD5308 Anti-Spike</t>
  </si>
  <si>
    <t>ACH-RD-CH-0884</t>
  </si>
  <si>
    <t>4HHO Hb6 Anti HbA 10</t>
  </si>
  <si>
    <t>INR 11.04</t>
  </si>
  <si>
    <t>ACH-RD-AB-0204</t>
  </si>
  <si>
    <t>4HA1 75C9 Anti-HbA 1C</t>
  </si>
  <si>
    <t>INR 8.924</t>
  </si>
  <si>
    <t>ACH-RD-AB-0205</t>
  </si>
  <si>
    <t>PSN5 Anti-SC-NP, polyclonal</t>
  </si>
  <si>
    <t>ACH-RD-AB-0206</t>
  </si>
  <si>
    <t>C01731M - Mab To Influenza A (NP)</t>
  </si>
  <si>
    <t>INR 21.248</t>
  </si>
  <si>
    <t>ACH-RD-CH-0885</t>
  </si>
  <si>
    <t>RSV101 - Anti RSV McAb</t>
  </si>
  <si>
    <t>ACH-RD-CH-0886</t>
  </si>
  <si>
    <t>RSV102 - Anti RSV McAb</t>
  </si>
  <si>
    <t>ACH-RD-AB-0207</t>
  </si>
  <si>
    <t>AMH 101 - Anti Mullerian Human Antibody</t>
  </si>
  <si>
    <t>ACH-RD-AB-0208</t>
  </si>
  <si>
    <t>AMH 103 - Anti Mullerian Human Antibody</t>
  </si>
  <si>
    <t>ACH-RD-AB-0209</t>
  </si>
  <si>
    <t>AMH 106 - Anti Mullerian Human Antibody</t>
  </si>
  <si>
    <t>ACH-RD-CH-0887</t>
  </si>
  <si>
    <t>FAB-i014-2H2- Goat Anti Mouse IgG</t>
  </si>
  <si>
    <t>ACH-RD-AB-0210</t>
  </si>
  <si>
    <t>A46582503P - Dengue NS1 MAB, All Serotypes</t>
  </si>
  <si>
    <t>ACH-RD-AB-0211</t>
  </si>
  <si>
    <t>610081 - Recombinant HRP2 antigen</t>
  </si>
  <si>
    <t>INR 53.10</t>
  </si>
  <si>
    <t>ACH-RD-AB-0212</t>
  </si>
  <si>
    <t>BMGGM01 - Mab to Human IgM</t>
  </si>
  <si>
    <t>INR 16.80</t>
  </si>
  <si>
    <t>ACH-RD-AB-0213</t>
  </si>
  <si>
    <t>BMGGC01 - Mab to Human IgG</t>
  </si>
  <si>
    <t>ACH-RD-CH-0888</t>
  </si>
  <si>
    <t>40527-V07H - Dengue Virus (DENV) (type1, strain, US/Hawai/1944/D</t>
  </si>
  <si>
    <t>INR 296.10</t>
  </si>
  <si>
    <t>ACH-RD-CH-0889</t>
  </si>
  <si>
    <t>40263-V07H - Dengue virus (DENV) (type 2, strain New Guenia C) N</t>
  </si>
  <si>
    <t>ACH-RD-CH-0890</t>
  </si>
  <si>
    <t>40528-V07H - Dengue virus (DENV) (type 3, Strain Philipines/H87/</t>
  </si>
  <si>
    <t>ACH-RD-CH-0891</t>
  </si>
  <si>
    <t>40529-V07H - Dengue Virus (DENV), (type 4, strain Philippines/H2</t>
  </si>
  <si>
    <t>ACH-RD-AB-0214</t>
  </si>
  <si>
    <t>PC320101 - Dengue NS1-I Antibody</t>
  </si>
  <si>
    <t>INR 4.40</t>
  </si>
  <si>
    <t>ACH-RD-AB-0215</t>
  </si>
  <si>
    <t>PC320201 - Dengue NS1-II Antibody</t>
  </si>
  <si>
    <t>ACH-RD-AB-0216</t>
  </si>
  <si>
    <t>PC320301 - Dengue NS1-III Antibody</t>
  </si>
  <si>
    <t>ACH-RD-AB-0217</t>
  </si>
  <si>
    <t>PC320401 - Dengue NS1-IV Antibody</t>
  </si>
  <si>
    <t>ACH-RD-AB-0218</t>
  </si>
  <si>
    <t>LA454-1 - Malaria (pv-LDH) Antigen, (pv-LDH) Antigen,</t>
  </si>
  <si>
    <t>INR 61.76</t>
  </si>
  <si>
    <t>ACH-RD-AB-0219</t>
  </si>
  <si>
    <t>BMGDENE01 - Dengue E Antigen</t>
  </si>
  <si>
    <t>INR 3.20</t>
  </si>
  <si>
    <t>ACH-RD-AB-0220</t>
  </si>
  <si>
    <t>BMGDENE02 - Dengue E Antigen</t>
  </si>
  <si>
    <t>ACH-RD-AB-0221</t>
  </si>
  <si>
    <t>BMGDENE03 - Dengue E Antigen</t>
  </si>
  <si>
    <t>ACH-RD-CH-0892</t>
  </si>
  <si>
    <t>30-1390 - PFHRP2 protein</t>
  </si>
  <si>
    <t>INR 52.00</t>
  </si>
  <si>
    <t>ACH-RD-AB-0222</t>
  </si>
  <si>
    <t>BMGLEP11 - Leptospira Antigen</t>
  </si>
  <si>
    <t>ACH-RD-AB-0223</t>
  </si>
  <si>
    <t>BMGLEP12 - Leptospira Antigen</t>
  </si>
  <si>
    <t>ACH-RD-AB-0224</t>
  </si>
  <si>
    <t>BMGCHK11 - CHIK Antigen(C epitope)</t>
  </si>
  <si>
    <t>ACH-RD-AB-0225</t>
  </si>
  <si>
    <t>BMGTSU12 - Tsutsugamushi Antigen</t>
  </si>
  <si>
    <t>ACH-RD-AB-0226</t>
  </si>
  <si>
    <t>BMGTSU22 - Tsutsugamushi Antigen</t>
  </si>
  <si>
    <t>ACH-MF-CT-0045</t>
  </si>
  <si>
    <t>Titanium Horn</t>
  </si>
  <si>
    <t>ACH-MF-CM-0086</t>
  </si>
  <si>
    <t>KJ3004 3 ML 15ul Plastic Dropper Bottle Nature White with White Cap</t>
  </si>
  <si>
    <t>INR 6.64</t>
  </si>
  <si>
    <t>TAIZHOU KING SUN IMPORT AND EXPORT CO.,LTD.</t>
  </si>
  <si>
    <t>ACH-RD-CH-0893</t>
  </si>
  <si>
    <t>CT007 - Extraction tube-3.0ml - Blue caps, Clear tube</t>
  </si>
  <si>
    <t>INR 2.772</t>
  </si>
  <si>
    <t>Cangzhou ShengFeng Plastic Product Co., LTD</t>
  </si>
  <si>
    <t>ACH-RD-CH-0894</t>
  </si>
  <si>
    <t>BP25XXXXXXXXXXX - Plasma Drop Type: PD-25</t>
  </si>
  <si>
    <t>ACH-EN-ME-0238</t>
  </si>
  <si>
    <t>Metal Non Slip Bookends Book Shelves | Shelf | Study Table | Home Decor | Holders | Case | Bracket Heavy Duty | Set | Book Ends for Office, Home-U Cut</t>
  </si>
  <si>
    <t>INR 264.29</t>
  </si>
  <si>
    <t>ACH-MF-PM-0017</t>
  </si>
  <si>
    <t>Piece Wall Mounted Storage Box Remote Storage Organizer Case for Air Conditioner TV Mobile Phone Plug Holder Stand Rack, Phone Charger Plug Holder</t>
  </si>
  <si>
    <t>INR 35.595</t>
  </si>
  <si>
    <t>ACH-MF-CM-0087</t>
  </si>
  <si>
    <t>Wooden Serving Trays with Handle</t>
  </si>
  <si>
    <t>INR 267.56</t>
  </si>
  <si>
    <t>ACH-MF-CM-0088</t>
  </si>
  <si>
    <t>Surgical Spirit</t>
  </si>
  <si>
    <t>ACH-MF-CM-0089</t>
  </si>
  <si>
    <t>T850010 Riavials 12x75 mm</t>
  </si>
  <si>
    <t>ACH-RD-CH-0895</t>
  </si>
  <si>
    <t>S9888 - Sodium chloride</t>
  </si>
  <si>
    <t>INR 0.118</t>
  </si>
  <si>
    <t>ACH-RD-CM-0194</t>
  </si>
  <si>
    <t>T513061 - Storage Vial 1mL Amber</t>
  </si>
  <si>
    <t>INR 4.795</t>
  </si>
  <si>
    <t>ACH-EN-ME-0239</t>
  </si>
  <si>
    <t>FIAI-CASE-A-001</t>
  </si>
  <si>
    <t>INR 1151.00</t>
  </si>
  <si>
    <t>ACH-EN-ME-0240</t>
  </si>
  <si>
    <t>FIAI-CASE-B-001</t>
  </si>
  <si>
    <t>INR 1066.00</t>
  </si>
  <si>
    <t>ACH-EN-ME-0241</t>
  </si>
  <si>
    <t>FIAI-CASE-C-001</t>
  </si>
  <si>
    <t>INR 1262.00</t>
  </si>
  <si>
    <t>ACH-EN-ME-0242</t>
  </si>
  <si>
    <t>FIAI-CASE-D-001</t>
  </si>
  <si>
    <t>INR 3515.00</t>
  </si>
  <si>
    <t>ACH-EN-ME-0243</t>
  </si>
  <si>
    <t>FIAI-CASE-E-001</t>
  </si>
  <si>
    <t>ACH-EN-ME-0244</t>
  </si>
  <si>
    <t>FIAI-CASE-F-001</t>
  </si>
  <si>
    <t>INR 2605.00</t>
  </si>
  <si>
    <t>ACH-EN-ME-0245</t>
  </si>
  <si>
    <t>FIAI-CASE-G-001</t>
  </si>
  <si>
    <t>INR 516.00</t>
  </si>
  <si>
    <t>ACH-RD-AB-0227</t>
  </si>
  <si>
    <t>HM437 - Respiratory Syncytial Virus (RSV) Antibody</t>
  </si>
  <si>
    <t>INR 25.32</t>
  </si>
  <si>
    <t>ACH-RD-AB-0228</t>
  </si>
  <si>
    <t>3CV2 RBD5313 Anti-Spike</t>
  </si>
  <si>
    <t>INR 0.085</t>
  </si>
  <si>
    <t>ACH-RD-CH-0896</t>
  </si>
  <si>
    <t>FCRhp-13.01</t>
  </si>
  <si>
    <t>ACH-EN-EL-0288</t>
  </si>
  <si>
    <t>M365LP1 - 365 nm, 1350 mW (Min) Mounted LED, 1700 mA</t>
  </si>
  <si>
    <t>INR 42003.00</t>
  </si>
  <si>
    <t>ACH-MF-CT-0046</t>
  </si>
  <si>
    <t>Cartridge - Beta Version</t>
  </si>
  <si>
    <t>INR 154.98</t>
  </si>
  <si>
    <t>ACH-EN-SP-0042</t>
  </si>
  <si>
    <t>CYSTATIN C (SERUM), Sample</t>
  </si>
  <si>
    <t>INR 910.00</t>
  </si>
  <si>
    <t>Dr. Lal PathLabs Ltd</t>
  </si>
  <si>
    <t>ACH-RD-CH-0897</t>
  </si>
  <si>
    <t>69198 - OSRAM HBO 200 W/2</t>
  </si>
  <si>
    <t>INR 31000.00</t>
  </si>
  <si>
    <t>Variety Lighting Equipments</t>
  </si>
  <si>
    <t>ACH-EN-ME-0246</t>
  </si>
  <si>
    <t>4/40 UNS Die</t>
  </si>
  <si>
    <t>ACH-EN-ME-0247</t>
  </si>
  <si>
    <t>Adapter Zaber</t>
  </si>
  <si>
    <t>ACH-EN-EL-0289</t>
  </si>
  <si>
    <t>PHX-S-MOUNT LENGTHEND</t>
  </si>
  <si>
    <t>ACH-EN-ME-0248</t>
  </si>
  <si>
    <t>SS Plate</t>
  </si>
  <si>
    <t>ACH-EN-EL-0290</t>
  </si>
  <si>
    <t>Y88- Rigid Populated Printed Circuit Board</t>
  </si>
  <si>
    <t>INR 2786.30</t>
  </si>
  <si>
    <t>ACH-EN-ME-0249</t>
  </si>
  <si>
    <t>490AMT233BV - Encoders KIT 14BIT Axial SSI Absolute Encoder RoHS Compliant</t>
  </si>
  <si>
    <t>INR 3794.70</t>
  </si>
  <si>
    <t>ACH-EN-EQ-0093</t>
  </si>
  <si>
    <t>MF244DW Digital Multifunction Laser Printer, Black, Standard</t>
  </si>
  <si>
    <t>INR 24575.42</t>
  </si>
  <si>
    <t>ACH-MF-CT-0047</t>
  </si>
  <si>
    <t>EZ406-02 1 1/2-Inch EZ Lock Rotary Tool Cut-Off Wheel and Mandrel Metal Cutting Starter Kit</t>
  </si>
  <si>
    <t>INR 3201.56</t>
  </si>
  <si>
    <t>ACH-EN-ME-0250</t>
  </si>
  <si>
    <t>18 mm Plastic Slide Lock Snap-Off Knife for Home &amp; Professional Use, YELLOW &amp; BLACK</t>
  </si>
  <si>
    <t>INR 72.03</t>
  </si>
  <si>
    <t>ACH-MF-CM-0090</t>
  </si>
  <si>
    <t>Flip Flops Thong Slipper</t>
  </si>
  <si>
    <t>INR 155.36</t>
  </si>
  <si>
    <t>ACH-MF-CM-0091</t>
  </si>
  <si>
    <t>Flip Flops Thong Slippers</t>
  </si>
  <si>
    <t>INR 195.54</t>
  </si>
  <si>
    <t>ACH-EN-ME-0251</t>
  </si>
  <si>
    <t>Multipurpose Scissors Set</t>
  </si>
  <si>
    <t>INR 270.34</t>
  </si>
  <si>
    <t>ACH-RD-BG-0049</t>
  </si>
  <si>
    <t>64GB High Endurance Video MicroSDXC Card with Adapter for Dash Cam and Home Monitoring Surveillance Systems - C10, U3, V30, 4K UHD, Micro SD Card - SDSQQNR-064G-GN6IA</t>
  </si>
  <si>
    <t>ACH-EN-EL-0291</t>
  </si>
  <si>
    <t>Carbide Drill Bits I Hard Alloy PCB Carbide Drill Bits 0.1mm - 1.0mm I Print Circuit Board Carbide Micro Drill Bit Tool Set Engraving Bits I Quantity 10 pieces/Set I 1 Piece each size bits</t>
  </si>
  <si>
    <t>ACH-EN-EL-0292</t>
  </si>
  <si>
    <t>CAB-LEDD1 - LED Connection Cable, 2 m, M8 Connector, 4 Wires</t>
  </si>
  <si>
    <t>INR 1605.65</t>
  </si>
  <si>
    <t>ACH-EN-EL-0293</t>
  </si>
  <si>
    <t>DC40 - LED Driver, 4.0 A Max, 14.0 V Max</t>
  </si>
  <si>
    <t>INR 61200.00</t>
  </si>
  <si>
    <t>ACH-EN-OP-0024</t>
  </si>
  <si>
    <t>SM1U25-A - Adjustable Collimation Adapter with Ã˜1" Lens, AR Coating: 350 - 700 nm</t>
  </si>
  <si>
    <t>INR 26873.60</t>
  </si>
  <si>
    <t>ACH-RD-CH-0898</t>
  </si>
  <si>
    <t>220201 - CHAPS</t>
  </si>
  <si>
    <t>INR 8.17999</t>
  </si>
  <si>
    <t>ACH-RD-CH-0899</t>
  </si>
  <si>
    <t>S5505 - Silica, fumed</t>
  </si>
  <si>
    <t>INR 0.0503</t>
  </si>
  <si>
    <t>ACH-EN-EQ-0094</t>
  </si>
  <si>
    <t>PEEL /ADHESION/BOND/ SEAL STRENGTH TESTER DIGITAL COMPUTERIZED TXPBTC 300</t>
  </si>
  <si>
    <t>Testronix Instruments</t>
  </si>
  <si>
    <t>ACH-RD-FL-0050</t>
  </si>
  <si>
    <t>AUCR80 - 80 nm BioReady Gold Nanospheres for Passive Adsorption</t>
  </si>
  <si>
    <t>INR 2.232</t>
  </si>
  <si>
    <t>ACH-GN-HK-0026</t>
  </si>
  <si>
    <t>3395 - Pg. Nutri Master - 3 Jars</t>
  </si>
  <si>
    <t>INR 1381.00</t>
  </si>
  <si>
    <t>Madhukar Domestic Appliances Pvt. Ltd</t>
  </si>
  <si>
    <t>ACH-MF-CM-0092</t>
  </si>
  <si>
    <t>14351 - Pg. Chef Delight Gift Set 7 Pcs</t>
  </si>
  <si>
    <t>INR 1271.00</t>
  </si>
  <si>
    <t>ACH-GN-SF-0003</t>
  </si>
  <si>
    <t>ABC 6 Kg Fire Extinguishers</t>
  </si>
  <si>
    <t>INR 2050.00</t>
  </si>
  <si>
    <t>HHB Enterprises</t>
  </si>
  <si>
    <t>ACH-GN-SF-0004</t>
  </si>
  <si>
    <t>Co2 2 Kg Fire Extinguishers</t>
  </si>
  <si>
    <t>INR 3350.00</t>
  </si>
  <si>
    <t>ACH-GN-SF-0005</t>
  </si>
  <si>
    <t>Co2 4.5 Kg Fire Extinguishers</t>
  </si>
  <si>
    <t>INR 4550.00</t>
  </si>
  <si>
    <t>ACH-EN-EQ-0095</t>
  </si>
  <si>
    <t>Fire Buckets 4 with Stand</t>
  </si>
  <si>
    <t>INR 2550.00</t>
  </si>
  <si>
    <t>ACH-RD-CH-0900</t>
  </si>
  <si>
    <t>Orgienic Paper Food Wrapping Paper Roll 20 Meters | Parchment Paper | Butter Paper | Greaseproof &amp; Oil Resistant | FDA Certified 100% Food Safe | for Home, Bakeries, Cafes &amp; Restaurants (Pack of 1)</t>
  </si>
  <si>
    <t>ACH-RD-CM-0195</t>
  </si>
  <si>
    <t>Micro Centrifuge Tube 1.5mL PP Amber Colour - Pack of 500</t>
  </si>
  <si>
    <t>INR 1.37</t>
  </si>
  <si>
    <t>ACH-RD-CM-0196</t>
  </si>
  <si>
    <t>Micro Centrifuge Tube 5mL PP Amber Colour - Pack of 100</t>
  </si>
  <si>
    <t>INR 5.35</t>
  </si>
  <si>
    <t>ACH-MF-CM-0093</t>
  </si>
  <si>
    <t>Sens Touch R Gloves 1/2 x 18</t>
  </si>
  <si>
    <t>INR 340.00</t>
  </si>
  <si>
    <t>ACH-MF-CM-0094</t>
  </si>
  <si>
    <t>Acetone Sq FS</t>
  </si>
  <si>
    <t>INR 160.40</t>
  </si>
  <si>
    <t>ACH-EN-ME-0252</t>
  </si>
  <si>
    <t>HDMI to Micro HDMI Converter</t>
  </si>
  <si>
    <t>INR 43.00</t>
  </si>
  <si>
    <t>ACH-EN-ME-0253</t>
  </si>
  <si>
    <t>Arduino 16X2 LCD Keypad Shield</t>
  </si>
  <si>
    <t>INR 177.00</t>
  </si>
  <si>
    <t>ACH-EN-SP-0043</t>
  </si>
  <si>
    <t>Annual Maintenance Contract - ADP-S3EL- EVA-X/R</t>
  </si>
  <si>
    <t>INR 170000.00</t>
  </si>
  <si>
    <t>Spincotech Pvt. Ltd</t>
  </si>
  <si>
    <t>ACH-RD-CH-0901</t>
  </si>
  <si>
    <t>Stainless Steel Serving Tray Rectangle Premium Dining Table Plater, Silver (Large, Set of 4)</t>
  </si>
  <si>
    <t>INR 1949.00</t>
  </si>
  <si>
    <t>ACH-RD-CH-0902</t>
  </si>
  <si>
    <t>Advantage Pan Malaria</t>
  </si>
  <si>
    <t>ACH-EN-EQ-0096</t>
  </si>
  <si>
    <t>1.4 Ton 3 Star Inverter Split AC</t>
  </si>
  <si>
    <t>INR 24210.94</t>
  </si>
  <si>
    <t>ACH-EN-EQ-0097</t>
  </si>
  <si>
    <t>385 L, 2 Star, Convertible 5-in-1 Digital Inverter, with Display Frost Free Double Door Refrigerator (RT42C5532S9/HL, Silver, Refined Inox, 2024 Model)</t>
  </si>
  <si>
    <t>INR 37269.66</t>
  </si>
  <si>
    <t>ACH-EN-EQ-0098</t>
  </si>
  <si>
    <t>385 Liter, White VC400A Visi Cooler</t>
  </si>
  <si>
    <t>INR 33889.73</t>
  </si>
  <si>
    <t>ACH-EN-EQ-0099</t>
  </si>
  <si>
    <t>Preset Automatic Digital Autoclave Capacity: 35L -</t>
  </si>
  <si>
    <t>INR 70000.00</t>
  </si>
  <si>
    <t>LIFIC</t>
  </si>
  <si>
    <t>ACH-RD-CH-0903</t>
  </si>
  <si>
    <t>Vit D Calibrator - 10300295007</t>
  </si>
  <si>
    <t>INR 5.04</t>
  </si>
  <si>
    <t>ACH-EN-SP-0044</t>
  </si>
  <si>
    <t>Services Charges towards Applying and getting the Registration as a producer under the applicable provisions of the E-Waste (Management) Rules, 2022</t>
  </si>
  <si>
    <t>Rapidue Technologies Private Limited</t>
  </si>
  <si>
    <t>ACH-MF-LB-0007</t>
  </si>
  <si>
    <t>QC Stickers</t>
  </si>
  <si>
    <t>ACH-EN-EQ-0100</t>
  </si>
  <si>
    <t>AP125WD - Semi-micro - AP Series - Advance Performance UniBloc Balances</t>
  </si>
  <si>
    <t>INR 199500.00</t>
  </si>
  <si>
    <t>ACH-RD-CH-0904</t>
  </si>
  <si>
    <t>171509910059 - TruCal Cystatin C</t>
  </si>
  <si>
    <t>INR 7.90</t>
  </si>
  <si>
    <t>ACH-RD-CH-0905</t>
  </si>
  <si>
    <t>Hb301 Cuvettes</t>
  </si>
  <si>
    <t>INR 23.7275</t>
  </si>
  <si>
    <t>ACH-RD-CH-0906</t>
  </si>
  <si>
    <t>Daily Check</t>
  </si>
  <si>
    <t>INR 609.00</t>
  </si>
  <si>
    <t>ACH-RD-CH-0907</t>
  </si>
  <si>
    <t>Monthly Check</t>
  </si>
  <si>
    <t>INR 598.00</t>
  </si>
  <si>
    <t>ACH-RD-CH-0908</t>
  </si>
  <si>
    <t>Base Case LFAC</t>
  </si>
  <si>
    <t>INR 4652.00</t>
  </si>
  <si>
    <t>ACH-RD-CH-0909</t>
  </si>
  <si>
    <t>Top LFAC</t>
  </si>
  <si>
    <t>ACH-EN-EL-0294</t>
  </si>
  <si>
    <t>SMT024102160240-Y90</t>
  </si>
  <si>
    <t>INR 160.44</t>
  </si>
  <si>
    <t>ACH-RD-CM-0197</t>
  </si>
  <si>
    <t>A-04 - Disposabe Sampling swabs</t>
  </si>
  <si>
    <t>INR 2.982</t>
  </si>
  <si>
    <t>Jiangsu Hanheng Medical Technology Co.,LTD</t>
  </si>
  <si>
    <t>ACH-RD-CM-0198</t>
  </si>
  <si>
    <t>CT011 - Extraction tube-1.0ml - Clear Tube</t>
  </si>
  <si>
    <t>INR 0.9408</t>
  </si>
  <si>
    <t>ACH-MF-CM-0095</t>
  </si>
  <si>
    <t>Heater for water chamber</t>
  </si>
  <si>
    <t>INR 7380.00</t>
  </si>
  <si>
    <t>Bright Techno Engineering</t>
  </si>
  <si>
    <t>ACH-RD-CH-0910</t>
  </si>
  <si>
    <t>CILICAnT 5 Gram (200 Pcs) Silica Gel Orange Packets Desiccant Dehumidifiers, Indicating Silica Gel Packs for Moisture Absorption (5 Gram X 200 Pcs = 1 Kg)</t>
  </si>
  <si>
    <t>INR 1455.09</t>
  </si>
  <si>
    <t>ACH-MF-CM-0096</t>
  </si>
  <si>
    <t>Rice</t>
  </si>
  <si>
    <t>ACH-EN-ME-0254</t>
  </si>
  <si>
    <t>EV24833-A-N-00A- Monolithic Power Systems</t>
  </si>
  <si>
    <t>INR 2148.80</t>
  </si>
  <si>
    <t>Mouser Electronics US</t>
  </si>
  <si>
    <t>ACH-EN-ME-0255</t>
  </si>
  <si>
    <t>UR73VH2BTTDR240F - KOA Speer 1206</t>
  </si>
  <si>
    <t>INR 35.70</t>
  </si>
  <si>
    <t>ACH-MF-CM-0097</t>
  </si>
  <si>
    <t>Non Vacuum Clot Activator 4mL</t>
  </si>
  <si>
    <t>ACH-RD-CH-0911</t>
  </si>
  <si>
    <t>Magnetic Beads 8x14mm</t>
  </si>
  <si>
    <t>INR 195.00</t>
  </si>
  <si>
    <t>ACH-RD-CH-0912</t>
  </si>
  <si>
    <t>Magnetic Beads 8x30mm</t>
  </si>
  <si>
    <t>INR 205.00</t>
  </si>
  <si>
    <t>ACH-RD-CH-0913</t>
  </si>
  <si>
    <t>Magnetic Beads Oval Type 10x25mm</t>
  </si>
  <si>
    <t>INR 265.00</t>
  </si>
  <si>
    <t>ACH-RD-CH-0914</t>
  </si>
  <si>
    <t>33040 - Sodium Hypochlorite</t>
  </si>
  <si>
    <t>INR 0.1434</t>
  </si>
  <si>
    <t>ACH-MF-CM-0098</t>
  </si>
  <si>
    <t>Stain Kit K001 - Himedia</t>
  </si>
  <si>
    <t>INR 1380.00</t>
  </si>
  <si>
    <t>ACH-MF-CM-0099</t>
  </si>
  <si>
    <t>Ceder Wood Oil</t>
  </si>
  <si>
    <t>INR 2.0544</t>
  </si>
  <si>
    <t>ACH-RD-CM-0199</t>
  </si>
  <si>
    <t>Filter Paper 8951 15mm</t>
  </si>
  <si>
    <t>INR 37.8756</t>
  </si>
  <si>
    <t>ACH-EN-EQ-0101</t>
  </si>
  <si>
    <t>Tool Modification Cost - Cartridge</t>
  </si>
  <si>
    <t>ACH-RD-CH-0915</t>
  </si>
  <si>
    <t>1/8" OD Single Line Purifiction Panel</t>
  </si>
  <si>
    <t>Sunlight Air Products LLP</t>
  </si>
  <si>
    <t>ACH-MF-CM-0100</t>
  </si>
  <si>
    <t>10ml Clear Glass Vials-2-1/2 Dram Clear Glass Headspace Vials with Plastic-Aluminum Flip Caps and Rubber Injection Stoppers, 20mm Flat Bottom Lab Vial</t>
  </si>
  <si>
    <t>INR 63.897</t>
  </si>
  <si>
    <t>ACH-EN-EQ-0102</t>
  </si>
  <si>
    <t>HighFree Crimper Hand Sealing Machine with 10 Set of 10ml Vials Stopper Caps 20mm Vial Manual Crimper Hand Sealing Machine</t>
  </si>
  <si>
    <t>INR 6204.52</t>
  </si>
  <si>
    <t>ACH-MF-CM-0101</t>
  </si>
  <si>
    <t>293-240-30 Coolant Proof LCD Micrometer, Ratchet Stop, 0-25mm Range, 0.001mm Graduation, -0.001mm Accuracy, Without SPC</t>
  </si>
  <si>
    <t>INR 7475.42</t>
  </si>
  <si>
    <t>ACH-MF-PM-0018</t>
  </si>
  <si>
    <t>Zip Lock Covers 4*6</t>
  </si>
  <si>
    <t>INR 3.12</t>
  </si>
  <si>
    <t>ACH-MF-PM-0019</t>
  </si>
  <si>
    <t>Zip Lock Covers 5*7</t>
  </si>
  <si>
    <t>INR 3.56</t>
  </si>
  <si>
    <t>ACH-MF-CM-0102</t>
  </si>
  <si>
    <t>Whiteboard BoldMarkers</t>
  </si>
  <si>
    <t>INR 20.338</t>
  </si>
  <si>
    <t>ACH-RD-CH-0916</t>
  </si>
  <si>
    <t>K001-1KT Gram Stains</t>
  </si>
  <si>
    <t>INR 1780.95</t>
  </si>
  <si>
    <t>ACH-MF-CM-0103</t>
  </si>
  <si>
    <t>Cutting Mat 12x24 Standard Grip for Silhouette Cameo 3/2/1(3 Pack) Durable Cut Mat with Adhesive&amp;Sticky Non-Slip PVC Perfect for Crafts, Quilting, Scrapbooking, Sewing and All Arts</t>
  </si>
  <si>
    <t>INR 3429.66</t>
  </si>
  <si>
    <t>ACH-RD-CH-0917</t>
  </si>
  <si>
    <t>Aluminium Silver foil Pouches "10x14" Inches Bags</t>
  </si>
  <si>
    <t>INR 2.5086</t>
  </si>
  <si>
    <t>ACH-RD-CH-0918</t>
  </si>
  <si>
    <t>Aluminium Silver foil Pouches "6x8" Inches Bags</t>
  </si>
  <si>
    <t>INR 1.62</t>
  </si>
  <si>
    <t>ACH-MF-CM-0104</t>
  </si>
  <si>
    <t>Immersion oil for microscope 60ml</t>
  </si>
  <si>
    <t>ACH-EN-EL-0295</t>
  </si>
  <si>
    <t>3.5" LED Selfie Ring Light with Phone Holder, Flexible Arm Desk Mount Clamp for Live Stream, Makeup, Online Meetings, Recording, Photography, USB Reading Light | 3 Color</t>
  </si>
  <si>
    <t>ACH-RD-CM-0200</t>
  </si>
  <si>
    <t>VWRI514-1259 Syringe Filter Pes 30mm 0. 22 Micron St VWR - Pack of 50</t>
  </si>
  <si>
    <t>INR 52.768</t>
  </si>
  <si>
    <t>ACH-EN-EQ-0103</t>
  </si>
  <si>
    <t>V301001 - Lu-mini - Single tube luminometer</t>
  </si>
  <si>
    <t>INR 178296.00</t>
  </si>
  <si>
    <t>Vitl Life Science Solutions</t>
  </si>
  <si>
    <t>ACH-RD-CH-0919</t>
  </si>
  <si>
    <t>Vidas Estradiol II Test</t>
  </si>
  <si>
    <t>INR 140.00</t>
  </si>
  <si>
    <t>ACH-RD-CH-0920</t>
  </si>
  <si>
    <t>Z740255</t>
  </si>
  <si>
    <t>INR 3.3633</t>
  </si>
  <si>
    <t>ACH-RD-CM-0201</t>
  </si>
  <si>
    <t>Z359106 - Tough-Tags microcentrifuge tube labels</t>
  </si>
  <si>
    <t>INR 6.7803</t>
  </si>
  <si>
    <t>ACH-RD-CM-0202</t>
  </si>
  <si>
    <t>Z743681 - Tough-Tags microcentrifuge tube labels</t>
  </si>
  <si>
    <t>INR 4.1958</t>
  </si>
  <si>
    <t>ACH-RD-CH-0921</t>
  </si>
  <si>
    <t>001-A006 - Bioterge As-40, 10ml</t>
  </si>
  <si>
    <t>Biotron Healthcare (India) P. Ltd</t>
  </si>
  <si>
    <t>ACH-RD-CH-0922</t>
  </si>
  <si>
    <t>0001-A009 - Jet Wash II, 10 ml</t>
  </si>
  <si>
    <t>ACH-RD-CH-0923</t>
  </si>
  <si>
    <t>Aluminium Silver foil Pouches "5x8" Inches Bags</t>
  </si>
  <si>
    <t>INR 5.1271</t>
  </si>
  <si>
    <t>ACH-EN-EQ-0104</t>
  </si>
  <si>
    <t>SJ-F700 - Equipment with Individual Function - Static Eliminator</t>
  </si>
  <si>
    <t>INR 53649.00</t>
  </si>
  <si>
    <t>Keyence India Private Limited</t>
  </si>
  <si>
    <t>ACH-EN-EQ-0105</t>
  </si>
  <si>
    <t>OP-88767 - Part of Equipment with individual function - Mounting Bracket</t>
  </si>
  <si>
    <t>INR 1341.00</t>
  </si>
  <si>
    <t>ACH-MF-CM-0105</t>
  </si>
  <si>
    <t>EPE Foam Fitment for Top and Bottom</t>
  </si>
  <si>
    <t>ACH-MF-CM-0106</t>
  </si>
  <si>
    <t>Tool cost for Die Making Top and Bottom</t>
  </si>
  <si>
    <t>ACH-EN-EQ-0106</t>
  </si>
  <si>
    <t>Beta Variant Implementation - Line Improvement</t>
  </si>
  <si>
    <t>INR 793600.00</t>
  </si>
  <si>
    <t>ACH-EN-EQ-0107</t>
  </si>
  <si>
    <t>Supply and installation of Fire Rated Door Doors</t>
  </si>
  <si>
    <t>INR 34000.00</t>
  </si>
  <si>
    <t>Velma Engineering Services</t>
  </si>
  <si>
    <t>ACH-RD-CH-0924</t>
  </si>
  <si>
    <t>440140 - 3-Aminopropyl)triethoxysilane</t>
  </si>
  <si>
    <t>INR 0.083786</t>
  </si>
  <si>
    <t>ACH-RD-CH-0925</t>
  </si>
  <si>
    <t>17343 - Bromhexine hydrochloride</t>
  </si>
  <si>
    <t>INR 0.159344</t>
  </si>
  <si>
    <t>ACH-MF-CM-0107</t>
  </si>
  <si>
    <t>11301--37 - N - CN membrane, 8 Î¼m, 37 mm,</t>
  </si>
  <si>
    <t>INR 68.75</t>
  </si>
  <si>
    <t>ACH-RD-AB-0229</t>
  </si>
  <si>
    <t>AMH 302 - Anti Mullerian Human Recombinant Antigen</t>
  </si>
  <si>
    <t>ACH-RD-AB-0230</t>
  </si>
  <si>
    <t>cTnI101 - Anti-cTnI McAb</t>
  </si>
  <si>
    <t>INR 7.56</t>
  </si>
  <si>
    <t>ACH-RD-AB-0231</t>
  </si>
  <si>
    <t>cTnI102 - Anti-cTnI McAb</t>
  </si>
  <si>
    <t>ACH-RD-AB-0232</t>
  </si>
  <si>
    <t>cTnI301 - cTnI Recombinant Antigen</t>
  </si>
  <si>
    <t>INR 26.88</t>
  </si>
  <si>
    <t>ACH-RD-AB-0233</t>
  </si>
  <si>
    <t>NT-proBNP101 - Anti-NT-proBNP McAb</t>
  </si>
  <si>
    <t>ACH-RD-AB-0234</t>
  </si>
  <si>
    <t>NT-proBNP102 - Anti-NT-proBNP McAb</t>
  </si>
  <si>
    <t>ACH-RD-AB-0235</t>
  </si>
  <si>
    <t>NT-proBNP301 - NT-proBNP Recombinant Antigen</t>
  </si>
  <si>
    <t>INR 25.20</t>
  </si>
  <si>
    <t>ACH-RD-AB-0236</t>
  </si>
  <si>
    <t>MYO101 - Anti-MYO McAb</t>
  </si>
  <si>
    <t>ACH-RD-AB-0237</t>
  </si>
  <si>
    <t>MYO102 - Anti-MYO McAb</t>
  </si>
  <si>
    <t>ACH-RD-CH-0926</t>
  </si>
  <si>
    <t>MYO303 - Human MYO Protein</t>
  </si>
  <si>
    <t>ACH-RD-AB-0238</t>
  </si>
  <si>
    <t>CKMB101 - Anti-CKMB McAb</t>
  </si>
  <si>
    <t>ACH-RD-AB-0239</t>
  </si>
  <si>
    <t>CKMB102 - Anti-CKMB McAb</t>
  </si>
  <si>
    <t>ACH-RD-AB-0240</t>
  </si>
  <si>
    <t>CKMB311 - Human CKMB Recombinant Antigen</t>
  </si>
  <si>
    <t>ACH-RD-AB-0241</t>
  </si>
  <si>
    <t>D-D101 - Anti-D-Dimer McAb</t>
  </si>
  <si>
    <t>ACH-RD-AB-0242</t>
  </si>
  <si>
    <t>D-D102 - Anti-D-Dimer McAb</t>
  </si>
  <si>
    <t>ACH-RD-CH-0927</t>
  </si>
  <si>
    <t>D-D303 - Human D-Dimer Protein</t>
  </si>
  <si>
    <t>ACH-MF-CM-0108</t>
  </si>
  <si>
    <t>KH1101 - 2ul Automatic fixed volume pipette</t>
  </si>
  <si>
    <t>INR 4.62</t>
  </si>
  <si>
    <t>ACH-MF-CM-0109</t>
  </si>
  <si>
    <t>KH1104 - 5ul Automatic fixed volume pipette</t>
  </si>
  <si>
    <t>ACH-MF-CM-0110</t>
  </si>
  <si>
    <t>KH1105 - 10ul Automatic fixed volume pipette</t>
  </si>
  <si>
    <t>ACH-MF-CM-0111</t>
  </si>
  <si>
    <t>KH1107 - 20ul Automatic fixed volume pipette</t>
  </si>
  <si>
    <t>ACH-MF-CM-0112</t>
  </si>
  <si>
    <t>KH1110 - 50ul Automatic fixed volume pipette</t>
  </si>
  <si>
    <t>INR 5.46</t>
  </si>
  <si>
    <t>ACH-RD-CH-0928</t>
  </si>
  <si>
    <t>ZY-YC05-3Î¼L - Quantitative Blood Sample Collector-Handle Type A</t>
  </si>
  <si>
    <t>INR 4.368</t>
  </si>
  <si>
    <t>Xiamen Zhizi Industry &amp; Trade Co., Ltd.</t>
  </si>
  <si>
    <t>ACH-RD-CH-0929</t>
  </si>
  <si>
    <t>ZY-YC05-5Î¼L - Quantitative Blood Sample Collector-Handle Type A</t>
  </si>
  <si>
    <t>ACH-EN-EQ-0108</t>
  </si>
  <si>
    <t>SFDC435L-160-2D - Dehumidifying Dry Storage Cabinet - as per attached Data Sheet</t>
  </si>
  <si>
    <t>INR 267800.00</t>
  </si>
  <si>
    <t>Inde Enterprises</t>
  </si>
  <si>
    <t>ACH-EN-EQ-0109</t>
  </si>
  <si>
    <t>Standard F200 Analyser</t>
  </si>
  <si>
    <t>Vardhini Healthcare</t>
  </si>
  <si>
    <t>ACH-RD-CH-0930</t>
  </si>
  <si>
    <t>Standard F COVID 19</t>
  </si>
  <si>
    <t>ACH-RD-CH-0931</t>
  </si>
  <si>
    <t>Standard F RSV</t>
  </si>
  <si>
    <t>ACH-RD-CH-0932</t>
  </si>
  <si>
    <t>Ultra Dengue NS1 Ag</t>
  </si>
  <si>
    <t>ACH-RD-CH-0933</t>
  </si>
  <si>
    <t>Labcare Influenza A+ B Rapid</t>
  </si>
  <si>
    <t>INR 183.00</t>
  </si>
  <si>
    <t>ACH-RD-KT-0047</t>
  </si>
  <si>
    <t>S7704 - Qia amp min elute virus spin kit</t>
  </si>
  <si>
    <t>INR 441.32</t>
  </si>
  <si>
    <t>AIC Enterprises Pvt. Ltd</t>
  </si>
  <si>
    <t>ACH-EN-ME-0256</t>
  </si>
  <si>
    <t>538-502380-0800 - Headers &amp; Wire Housings</t>
  </si>
  <si>
    <t>INR 20.85</t>
  </si>
  <si>
    <t>ACH-EN-ME-0257</t>
  </si>
  <si>
    <t>538-79758-1013 - Rectangular Cable Assemblies</t>
  </si>
  <si>
    <t>INR 66.55</t>
  </si>
  <si>
    <t>ACH-EN-ME-0258</t>
  </si>
  <si>
    <t>179-AMT242B-V - Encoders</t>
  </si>
  <si>
    <t>INR 5144.11</t>
  </si>
  <si>
    <t>ACH-EN-EL-0296</t>
  </si>
  <si>
    <t>962-10374 - LED Lighting Reflectors</t>
  </si>
  <si>
    <t>INR 189.32</t>
  </si>
  <si>
    <t>ACH-EN-EL-0297</t>
  </si>
  <si>
    <t>928-C13556BRIDGETMUN - LED Lighting Reflectors</t>
  </si>
  <si>
    <t>INR 242.69</t>
  </si>
  <si>
    <t>ACH-MF-CT-0048</t>
  </si>
  <si>
    <t>Sticker ACHIRA - RSP</t>
  </si>
  <si>
    <t>INR 27.00</t>
  </si>
  <si>
    <t>ACH-MF-CT-0049</t>
  </si>
  <si>
    <t>Sticker ACHIRA - FERT PANEL</t>
  </si>
  <si>
    <t>ACH-RD-CM-0203</t>
  </si>
  <si>
    <t>T523041- Storage Vial 1 mL- PP</t>
  </si>
  <si>
    <t>INR 3.70</t>
  </si>
  <si>
    <t>ACH-MF-CM-0113</t>
  </si>
  <si>
    <t>63216 - MTC Rack - 80 Place 5x16</t>
  </si>
  <si>
    <t>ACH-MF-CM-0114</t>
  </si>
  <si>
    <t>7601 - Universal Multi Rack</t>
  </si>
  <si>
    <t>INR 385.00</t>
  </si>
  <si>
    <t>ACH-RD-CH-0934</t>
  </si>
  <si>
    <t>Magnetic Retreiver 30CM PP</t>
  </si>
  <si>
    <t>INR 690.20</t>
  </si>
  <si>
    <t>ACH-RD-CM-0204</t>
  </si>
  <si>
    <t>25mL Bottle with screw cap and pouring ring</t>
  </si>
  <si>
    <t>INR 381.00</t>
  </si>
  <si>
    <t>ACH-MF-CT-0050</t>
  </si>
  <si>
    <t>Silicone TFT RUBBER VALVE</t>
  </si>
  <si>
    <t>Lakshmi Enterprises</t>
  </si>
  <si>
    <t>ACH-MF-CT-0051</t>
  </si>
  <si>
    <t>Retainer - PMMA</t>
  </si>
  <si>
    <t>Van DV Plastics and Polymers</t>
  </si>
  <si>
    <t>ACH-MF-CT-0052</t>
  </si>
  <si>
    <t>Valve Shaft - Nylon</t>
  </si>
  <si>
    <t>ACH-MF-CT-0053</t>
  </si>
  <si>
    <t>Assembly Valve Shaft</t>
  </si>
  <si>
    <t>ACH-EN-SP-0045</t>
  </si>
  <si>
    <t>Modification Cost</t>
  </si>
  <si>
    <t>INR 50000.00</t>
  </si>
  <si>
    <t>ACH-MF-CT-0054</t>
  </si>
  <si>
    <t>Mono Carton 180x120x100</t>
  </si>
  <si>
    <t>INR 83.70</t>
  </si>
  <si>
    <t>A One Packaging</t>
  </si>
  <si>
    <t>ACH-EN-SP-0046</t>
  </si>
  <si>
    <t>Annual Maintenance Charges for Dispensor - ZX1010</t>
  </si>
  <si>
    <t>ACH-MF-CM-0115</t>
  </si>
  <si>
    <t>6039-A015-02 - Assy, Tip / Feedline, 0.5mm OD, 0.25mm ID, 48.0 LG, Frontline</t>
  </si>
  <si>
    <t>ACH-MF-CM-0116</t>
  </si>
  <si>
    <t>6002-A038-03 - Assy, Tubing, 36.0 LG, Bottle to Syringe Pump</t>
  </si>
  <si>
    <t>ACH-MF-CM-0117</t>
  </si>
  <si>
    <t>0004-0004, BOTTLE, 10ML</t>
  </si>
  <si>
    <t>INR 5500.00</t>
  </si>
  <si>
    <t>ACH-RD-CH-0935</t>
  </si>
  <si>
    <t>456772 - 4-Carboxyphenylboronic acid</t>
  </si>
  <si>
    <t>INR 2.92</t>
  </si>
  <si>
    <t>ACH-RD-CH-0936</t>
  </si>
  <si>
    <t>FAB-C002-2C3 - RBC Ab - Red Blood Cells</t>
  </si>
  <si>
    <t>INR 9.294</t>
  </si>
  <si>
    <t>ACH-MF-JG-0009</t>
  </si>
  <si>
    <t>Mould - Rubber Valve</t>
  </si>
  <si>
    <t>ACH-MF-JG-0010</t>
  </si>
  <si>
    <t>Mould - Valve Retainer</t>
  </si>
  <si>
    <t>ACH-MF-JG-0011</t>
  </si>
  <si>
    <t>Mould - Rotary Shaft</t>
  </si>
  <si>
    <t>INR 37000.00</t>
  </si>
  <si>
    <t>ACH-MF-CM-0118</t>
  </si>
  <si>
    <t>431752 - 100 Micrometer Cell Strainer Yellow Sterile</t>
  </si>
  <si>
    <t>INR 233.325</t>
  </si>
  <si>
    <t>ACH-MF-CM-0119</t>
  </si>
  <si>
    <t>352360 - Falcon 100uM Cell Stainer</t>
  </si>
  <si>
    <t>INR 285.48</t>
  </si>
  <si>
    <t>ACH-EN-EQ-0110</t>
  </si>
  <si>
    <t>Cartridge Hot Runner Cavity 4</t>
  </si>
  <si>
    <t>INR 1140000.00</t>
  </si>
  <si>
    <t>ACH-EN-EQ-0111</t>
  </si>
  <si>
    <t>Well Cold Runner - Cavity 4</t>
  </si>
  <si>
    <t>INR 482000.00</t>
  </si>
  <si>
    <t>ACH-MF-JG-0012</t>
  </si>
  <si>
    <t>Hot Runner Cost (2 Drop)</t>
  </si>
  <si>
    <t>INR 368000.00</t>
  </si>
  <si>
    <t>ACH-RD-CH-0937</t>
  </si>
  <si>
    <t>LB003 - LB-60ml- Clear Colour</t>
  </si>
  <si>
    <t>INR 1.26</t>
  </si>
  <si>
    <t>ACH-RD-CH-0938</t>
  </si>
  <si>
    <t>DG041 - HIV - Clear color</t>
  </si>
  <si>
    <t>INR 0.504</t>
  </si>
  <si>
    <t>ACH-RD-CH-0939</t>
  </si>
  <si>
    <t>DG007 - WH-1 - Clear color</t>
  </si>
  <si>
    <t>INR 0.336</t>
  </si>
  <si>
    <t>ACH-RD-CH-0940</t>
  </si>
  <si>
    <t>DG045 - AD-7 - Clear color</t>
  </si>
  <si>
    <t>INR 0.588</t>
  </si>
  <si>
    <t>ACH-RD-CH-0941</t>
  </si>
  <si>
    <t>DG005 - AD-5 - Clear color</t>
  </si>
  <si>
    <t>ACH-RD-CH-0942</t>
  </si>
  <si>
    <t>DG021 - SM-617 - Clear color</t>
  </si>
  <si>
    <t>ACH-RD-KT-0048</t>
  </si>
  <si>
    <t>NS1 micro ELISA</t>
  </si>
  <si>
    <t>INR 78.125</t>
  </si>
  <si>
    <t>ACH-RD-CH-0943</t>
  </si>
  <si>
    <t>HbA1C capture</t>
  </si>
  <si>
    <t>INR 12.936</t>
  </si>
  <si>
    <t>Shenzhen Sekbio Co Ltd</t>
  </si>
  <si>
    <t>ACH-RD-CH-0944</t>
  </si>
  <si>
    <t>HbA1C Labelling</t>
  </si>
  <si>
    <t>ACH-RD-CH-0945</t>
  </si>
  <si>
    <t>VD-129-5H - Capture</t>
  </si>
  <si>
    <t>INR 33.18</t>
  </si>
  <si>
    <t>ACH-RD-CH-0946</t>
  </si>
  <si>
    <t>VD-129-6H - Detection</t>
  </si>
  <si>
    <t>ACH-RD-CH-0947</t>
  </si>
  <si>
    <t>Dropper 20uL</t>
  </si>
  <si>
    <t>ACH-RD-CH-0948</t>
  </si>
  <si>
    <t>3123000233 - Research plus G basic 2-20Î¼L yellow</t>
  </si>
  <si>
    <t>INR 13710.00</t>
  </si>
  <si>
    <t>ACH-RD-CH-0949</t>
  </si>
  <si>
    <t>RANKCN5047 - Cellulose Nitrite 5um 47mm</t>
  </si>
  <si>
    <t>INR 37.80</t>
  </si>
  <si>
    <t>ACH-RD-CH-0950</t>
  </si>
  <si>
    <t>RANKCN8025 - Cellulose Nitrite 8um 25mm</t>
  </si>
  <si>
    <t>INR 34.20</t>
  </si>
  <si>
    <t>ACH-MF-CM-0120</t>
  </si>
  <si>
    <t>60344 Disc Separator 47mm PP/PE 10um</t>
  </si>
  <si>
    <t>INR 147.15</t>
  </si>
  <si>
    <t>ACH-EN-EQ-0112</t>
  </si>
  <si>
    <t>White silicon medical grade shore hardness 55-65 FDI Approved - 24 Cavity</t>
  </si>
  <si>
    <t>INR 160000.00</t>
  </si>
  <si>
    <t>ACH-EN-EQ-0113</t>
  </si>
  <si>
    <t>MS Power Ctd Cold Storage Racks</t>
  </si>
  <si>
    <t>INR 79840.00</t>
  </si>
  <si>
    <t>ACH-MF-CM-0121</t>
  </si>
  <si>
    <t>FloorOx H202 Based Floor / Surface Cleaner (Concentrated Chemical - 1 Ltr water : 10mL chemical)</t>
  </si>
  <si>
    <t>ACH-EN-EL-0298</t>
  </si>
  <si>
    <t>8.3MP Sony STARVIS 2 IMX678 Ultra Low Light Manual Focus USB 3.0 Camera Module - Without Enclosure</t>
  </si>
  <si>
    <t>INR 13439.00</t>
  </si>
  <si>
    <t>Arducam</t>
  </si>
  <si>
    <t>ACH-RD-AB-0243</t>
  </si>
  <si>
    <t>8C10 - HbA1c Monoclonal antibody</t>
  </si>
  <si>
    <t>INR 8.075</t>
  </si>
  <si>
    <t>ACH-RD-AB-0244</t>
  </si>
  <si>
    <t>16B10 - HbA1c Monoclonal antibody</t>
  </si>
  <si>
    <t>ACH-RD-CM-0205</t>
  </si>
  <si>
    <t>050060 - Tarsons Reusable Bottle Top Filter 500 mL</t>
  </si>
  <si>
    <t>INR 10691.43</t>
  </si>
  <si>
    <t>ACH-RD-CM-0206</t>
  </si>
  <si>
    <t>Syringe Filter PES 5 micron 25mm dia Non Sterile</t>
  </si>
  <si>
    <t>INR 47.00</t>
  </si>
  <si>
    <t>ACH-RD-CH-0951</t>
  </si>
  <si>
    <t>FAP-iC014-1 - Dengue NS1 Ag</t>
  </si>
  <si>
    <t>INR 67.20</t>
  </si>
  <si>
    <t>ACH-RD-CH-0952</t>
  </si>
  <si>
    <t>FAP-iC014-2 - Dengue NS1 Ag</t>
  </si>
  <si>
    <t>ACH-RD-CH-0953</t>
  </si>
  <si>
    <t>FAP-iC014-3 - Dengue NS1 Ag</t>
  </si>
  <si>
    <t>ACH-RD-CH-0954</t>
  </si>
  <si>
    <t>FAP-iC014-4 - Dengue NS1 Ag</t>
  </si>
  <si>
    <t>ACH-RD-CH-0955</t>
  </si>
  <si>
    <t>Zika Ns1 Ag</t>
  </si>
  <si>
    <t>INR 28.05</t>
  </si>
  <si>
    <t>ACH-RD-CH-0956</t>
  </si>
  <si>
    <t>West Nile Ns1</t>
  </si>
  <si>
    <t>ACH-RD-CH-0957</t>
  </si>
  <si>
    <t>FAB-M002-6C2 - HbA1c Ab</t>
  </si>
  <si>
    <t>ACH-RD-CH-0958</t>
  </si>
  <si>
    <t>FAB-M002-2G1 - HbA1c Ab</t>
  </si>
  <si>
    <t>ACH-RD-CH-0959</t>
  </si>
  <si>
    <t>FAB-M002-2B2 - Hb Ab</t>
  </si>
  <si>
    <t>ACH-RD-AB-0245</t>
  </si>
  <si>
    <t>GRNDEN105 - Recombinant antigen</t>
  </si>
  <si>
    <t>INR 23.52</t>
  </si>
  <si>
    <t>ACH-RD-AB-0246</t>
  </si>
  <si>
    <t>GRNDEN106 - Recombinant antigen</t>
  </si>
  <si>
    <t>ACH-RD-AB-0247</t>
  </si>
  <si>
    <t>GRNDEN107 - Recombinant antigen</t>
  </si>
  <si>
    <t>ACH-RD-AB-0248</t>
  </si>
  <si>
    <t>GRNDEN108 - Recombinant antigen</t>
  </si>
  <si>
    <t>ACH-RD-AB-0249</t>
  </si>
  <si>
    <t>BRNVDN101 - Monoclonal antibody</t>
  </si>
  <si>
    <t>ACH-RD-CH-0960</t>
  </si>
  <si>
    <t>VDUS05 - Uncut Sheet</t>
  </si>
  <si>
    <t>INR 168.00</t>
  </si>
  <si>
    <t>ACH-RD-AB-0250</t>
  </si>
  <si>
    <t>BRJCRPS101 - Monoclonal antibody</t>
  </si>
  <si>
    <t>ACH-RD-AB-0251</t>
  </si>
  <si>
    <t>BRJCRPS110 - Monoclonal antibody</t>
  </si>
  <si>
    <t>ACH-RD-AB-0252</t>
  </si>
  <si>
    <t>BRJCRPS102 - Monoclonal antibody</t>
  </si>
  <si>
    <t>ACH-RD-AB-0253</t>
  </si>
  <si>
    <t>BRJCRPS103 - Monoclonal antibody</t>
  </si>
  <si>
    <t>ACH-RD-AB-0254</t>
  </si>
  <si>
    <t>BRCCRPS102 - Monoclonal antibody</t>
  </si>
  <si>
    <t>ACH-RD-AB-0255</t>
  </si>
  <si>
    <t>BRCFERN101 - Monoclonal antibody</t>
  </si>
  <si>
    <t>ACH-RD-AB-0256</t>
  </si>
  <si>
    <t>BRJFERN101 - Monoclonal antibody</t>
  </si>
  <si>
    <t>ACH-RD-AB-0257</t>
  </si>
  <si>
    <t>GENFERN101 - Recombinant antigen</t>
  </si>
  <si>
    <t>ACH-MF-CM-0122</t>
  </si>
  <si>
    <t>PES IV300H A4</t>
  </si>
  <si>
    <t>INR 840.00</t>
  </si>
  <si>
    <t>Hangzhou Cobetter Filtration Equipment Co.,Ltd</t>
  </si>
  <si>
    <t>ACH-MF-CM-0123</t>
  </si>
  <si>
    <t>PES IV500H A4</t>
  </si>
  <si>
    <t>ACH-MF-CM-0124</t>
  </si>
  <si>
    <t>PES IV800H A4</t>
  </si>
  <si>
    <t>ACH-MF-CM-0125</t>
  </si>
  <si>
    <t>PES IV1000XH A4</t>
  </si>
  <si>
    <t>ACH-MF-CM-0126</t>
  </si>
  <si>
    <t>UFC5003 - Amicon Ultra -0.5mL Centrifugal Filter 3 kDa MWCO</t>
  </si>
  <si>
    <t>INR 870.0416</t>
  </si>
  <si>
    <t>ACH-RD-CH-0961</t>
  </si>
  <si>
    <t>M1151 - Luria Bertani Agar</t>
  </si>
  <si>
    <t>INR 0.008566</t>
  </si>
  <si>
    <t>ACH-RD-CH-0962</t>
  </si>
  <si>
    <t>M1245 - Luria Bertani Broth</t>
  </si>
  <si>
    <t>INR 0.008666</t>
  </si>
  <si>
    <t>ACH-RD-CH-0963</t>
  </si>
  <si>
    <t>GRM026 - Agar Bacteriological</t>
  </si>
  <si>
    <t>INR 0.010438</t>
  </si>
  <si>
    <t>ACH-RD-CH-0964</t>
  </si>
  <si>
    <t>M001 - Nutrient Agar</t>
  </si>
  <si>
    <t>INR 0.006654</t>
  </si>
  <si>
    <t>ACH-RD-CM-0207</t>
  </si>
  <si>
    <t>T460092 - Petri Dish 90mm sleeve of 20</t>
  </si>
  <si>
    <t>ACH-RD-CH-0965</t>
  </si>
  <si>
    <t>R092 - MCFarland Standard Set</t>
  </si>
  <si>
    <t>ACH-RD-CH-0966</t>
  </si>
  <si>
    <t>20118 - LO5 Glycerol AR</t>
  </si>
  <si>
    <t>INR 0.00008</t>
  </si>
  <si>
    <t>ACH-MF-CT-0055</t>
  </si>
  <si>
    <t>Rubber Valve_Ver_20.11.2024</t>
  </si>
  <si>
    <t>INR 16.70</t>
  </si>
  <si>
    <t>ACH-MF-CM-0127</t>
  </si>
  <si>
    <t>2mm Transparent - 8x4</t>
  </si>
  <si>
    <t>INR 2820.20</t>
  </si>
  <si>
    <t>ACH-EN-SP-0047</t>
  </si>
  <si>
    <t>Service Charges</t>
  </si>
  <si>
    <t>INR 27500.00</t>
  </si>
  <si>
    <t>Incise Infotech Private Ltd</t>
  </si>
  <si>
    <t>ACH-RD-CM-0208</t>
  </si>
  <si>
    <t>T500050 Micro Centrifuge Tube 5mL</t>
  </si>
  <si>
    <t>ACH-RD-CM-0209</t>
  </si>
  <si>
    <t>PES Syringe Filters - 25mm, 0.2 uM</t>
  </si>
  <si>
    <t>INR 41.00</t>
  </si>
  <si>
    <t>ACH-RD-CM-0210</t>
  </si>
  <si>
    <t>PES Syringe Filters - 25mm, 0.45 uM</t>
  </si>
  <si>
    <t>ACH-EN-ME-0259</t>
  </si>
  <si>
    <t>Acrylic</t>
  </si>
  <si>
    <t>ACH-EN-ME-0260</t>
  </si>
  <si>
    <t>Alluminium</t>
  </si>
  <si>
    <t>ACH-EN-ME-0261</t>
  </si>
  <si>
    <t>Locking Plate</t>
  </si>
  <si>
    <t>ACH-EN-ME-0262</t>
  </si>
  <si>
    <t>BPS A</t>
  </si>
  <si>
    <t>INR 750.00</t>
  </si>
  <si>
    <t>ACH-EN-ME-0263</t>
  </si>
  <si>
    <t>BPS E</t>
  </si>
  <si>
    <t>ACH-EN-ME-0264</t>
  </si>
  <si>
    <t>Alluminium Tool</t>
  </si>
  <si>
    <t>ACH-EN-ME-0265</t>
  </si>
  <si>
    <t>Fixture Rework</t>
  </si>
  <si>
    <t>ACH-MF-CT-0056</t>
  </si>
  <si>
    <t>TFT_PTFE_VALVE_080125</t>
  </si>
  <si>
    <t>INR 800.00</t>
  </si>
  <si>
    <t>ACH-RD-CH-0967</t>
  </si>
  <si>
    <t>S0441 Sodium Sulphate Anhydrous Ar Acs</t>
  </si>
  <si>
    <t>INR 0.000484</t>
  </si>
  <si>
    <t>ACH-RD-CH-0968</t>
  </si>
  <si>
    <t>83407 Sodium Citrate Tribasic Dihydrate extrapure, 98%</t>
  </si>
  <si>
    <t>INR 0.00045</t>
  </si>
  <si>
    <t>ACH-RD-CH-0969</t>
  </si>
  <si>
    <t>65142 Creatinine extrapure CHR, 99%</t>
  </si>
  <si>
    <t>INR 0.024</t>
  </si>
  <si>
    <t>ACH-RD-CH-0970</t>
  </si>
  <si>
    <t>62762 Urea extrapure, 99%</t>
  </si>
  <si>
    <t>INR 0.000525</t>
  </si>
  <si>
    <t>ACH-RD-CH-0971</t>
  </si>
  <si>
    <t>Q21405 Ammonium Chloride</t>
  </si>
  <si>
    <t>INR 0.000502</t>
  </si>
  <si>
    <t>ACH-RD-CH-0972</t>
  </si>
  <si>
    <t>77407 Potassium Oxalate Monohydrate pure,</t>
  </si>
  <si>
    <t>INR 0.00096</t>
  </si>
  <si>
    <t>ACH-RD-CH-0973</t>
  </si>
  <si>
    <t>85611 Magnesium Sulphate Heptahydrate extrapure AR, 99%</t>
  </si>
  <si>
    <t>INR 0.00039</t>
  </si>
  <si>
    <t>ACH-RD-CH-0974</t>
  </si>
  <si>
    <t>95292Peptone BactoBio for bacteriology</t>
  </si>
  <si>
    <t>INR 0.00324</t>
  </si>
  <si>
    <t>ACH-RD-CH-0975</t>
  </si>
  <si>
    <t>89463 Yeast Extract for bacteriology</t>
  </si>
  <si>
    <t>INR 0.0063</t>
  </si>
  <si>
    <t>ACH-RD-CH-0976</t>
  </si>
  <si>
    <t>S0240 Sodium Phosphate Monobasic Dihyd LR</t>
  </si>
  <si>
    <t>INR 0.000825</t>
  </si>
  <si>
    <t>ACH-RD-CH-0977</t>
  </si>
  <si>
    <t>P0240 Potassium Chloride AR</t>
  </si>
  <si>
    <t>INR 0.000528</t>
  </si>
  <si>
    <t>ACH-RD-CH-0978</t>
  </si>
  <si>
    <t>S0171 Sodium Chloride</t>
  </si>
  <si>
    <t>INR 0.000353</t>
  </si>
  <si>
    <t>ACH-RD-CH-0979</t>
  </si>
  <si>
    <t>48912 - U - ProClin 300</t>
  </si>
  <si>
    <t>INR 0.167388</t>
  </si>
  <si>
    <t>ACH-MF-CM-0128</t>
  </si>
  <si>
    <t>KH1108 - 30ul Automatic fixed volume pipette</t>
  </si>
  <si>
    <t>INR 5.525</t>
  </si>
  <si>
    <t>ACH-MF-CM-0129</t>
  </si>
  <si>
    <t>KH1204 - 100ul Magical fixed volume pipette</t>
  </si>
  <si>
    <t>INR 6.80</t>
  </si>
  <si>
    <t>ACH-MF-CM-0130</t>
  </si>
  <si>
    <t>KH1303 - 60ul Fixed volume pipette</t>
  </si>
  <si>
    <t>INR 5.95</t>
  </si>
  <si>
    <t>ACH-RD-CH-0980</t>
  </si>
  <si>
    <t>TSH Tests Boditech - South Korea</t>
  </si>
  <si>
    <t>ACH-RD-CH-0981</t>
  </si>
  <si>
    <t>4RB2 RB48</t>
  </si>
  <si>
    <t>INR 10.80</t>
  </si>
  <si>
    <t>ACH-RD-CH-0982</t>
  </si>
  <si>
    <t>4RB2 RB42</t>
  </si>
  <si>
    <t>ACH-RD-CH-0983</t>
  </si>
  <si>
    <t>4RB2 RB55</t>
  </si>
  <si>
    <t>ACH-RD-CH-0984</t>
  </si>
  <si>
    <t>4RB2 RB45</t>
  </si>
  <si>
    <t>ACH-RD-CH-0985</t>
  </si>
  <si>
    <t>4F32 F23cc</t>
  </si>
  <si>
    <t>INR 6.39</t>
  </si>
  <si>
    <t>ACH-RD-CH-0986</t>
  </si>
  <si>
    <t>4F32 F31cc</t>
  </si>
  <si>
    <t>ACH-RD-CH-0987</t>
  </si>
  <si>
    <t>8CR8</t>
  </si>
  <si>
    <t>INR 9.90</t>
  </si>
  <si>
    <t>ACH-RD-CH-0988</t>
  </si>
  <si>
    <t>8CFS</t>
  </si>
  <si>
    <t>INR 0.5346</t>
  </si>
  <si>
    <t>ACH-RD-CH-0989</t>
  </si>
  <si>
    <t>8RF9 RBP4</t>
  </si>
  <si>
    <t>INR 123.30</t>
  </si>
  <si>
    <t>ACH-RD-CH-0990</t>
  </si>
  <si>
    <t>8TG52</t>
  </si>
  <si>
    <t>INR 10.17</t>
  </si>
  <si>
    <t>ACH-RD-CH-0991</t>
  </si>
  <si>
    <t>Fer107 - Anti Ferritin McAb</t>
  </si>
  <si>
    <t>ACH-RD-CH-0992</t>
  </si>
  <si>
    <t>Fer108 - Anti Ferritin McAb</t>
  </si>
  <si>
    <t>INR 5.252</t>
  </si>
  <si>
    <t>ACH-RD-CH-0993</t>
  </si>
  <si>
    <t>CRP101 - Anti CRP McAb</t>
  </si>
  <si>
    <t>ACH-RD-CH-0994</t>
  </si>
  <si>
    <t>CRP102 - Anti CRP McAb</t>
  </si>
  <si>
    <t>ACH-RD-AB-0258</t>
  </si>
  <si>
    <t>CRP302 - CRP Recombinant Antigen</t>
  </si>
  <si>
    <t>INR 2.55</t>
  </si>
  <si>
    <t>ACH-RD-CH-0995</t>
  </si>
  <si>
    <t>AGFLCC01 - Folic acid-BSA conjugate</t>
  </si>
  <si>
    <t>INR 22.10</t>
  </si>
  <si>
    <t>Shenzhen Aivd Biotechnology Co. Ltd</t>
  </si>
  <si>
    <t>ACH-RD-AB-0259</t>
  </si>
  <si>
    <t>ABFLCM01 - Anti-folic acid Mab</t>
  </si>
  <si>
    <t>INR 19.125</t>
  </si>
  <si>
    <t>ACH-RD-CH-0996</t>
  </si>
  <si>
    <t>AGVTBC01 - Vitamin B12-BSA conjugate</t>
  </si>
  <si>
    <t>ACH-RD-AB-0260</t>
  </si>
  <si>
    <t>ABVTBM01 - Anti-Vitamin B12 Mab</t>
  </si>
  <si>
    <t>ACH-RD-AB-0261</t>
  </si>
  <si>
    <t>100332 - Anti-h Thyroglobulin 2803 SPTN-5</t>
  </si>
  <si>
    <t>INR 19.35</t>
  </si>
  <si>
    <t>ACH-RD-AB-0262</t>
  </si>
  <si>
    <t>100333 - Anti-h Thyroglobulin 2804 SPTN-5</t>
  </si>
  <si>
    <t>ACH-RD-AB-0263</t>
  </si>
  <si>
    <t>BMGTYH02 - Typhoid H Antigen</t>
  </si>
  <si>
    <t>ACH-RD-AB-0264</t>
  </si>
  <si>
    <t>BMGTYO02- Typhoid O Antigen</t>
  </si>
  <si>
    <t>ACH-RD-AB-0265</t>
  </si>
  <si>
    <t>BRCNS1S120 - Monoclonal antibody</t>
  </si>
  <si>
    <t>INR 8.50</t>
  </si>
  <si>
    <t>ACH-RD-AB-0266</t>
  </si>
  <si>
    <t>BRCNS1S121- Monoclonal antibody</t>
  </si>
  <si>
    <t>ACH-RD-AB-0267</t>
  </si>
  <si>
    <t>BNNDIMN102 - Monoclonal antibody</t>
  </si>
  <si>
    <t>ACH-RD-AB-0268</t>
  </si>
  <si>
    <t>BNNDIMN101 - Monoclonal antibody</t>
  </si>
  <si>
    <t>ACH-RD-CH-0997</t>
  </si>
  <si>
    <t>HIER-E-010 - Heterophilic Immunoglobulin Elimination Reagent(I)</t>
  </si>
  <si>
    <t>ACH-RD-CH-0998</t>
  </si>
  <si>
    <t>HIER-R-061 - Heterophilic ImmunoglobulinElimination Reagent(I)</t>
  </si>
  <si>
    <t>ACH-RD-CH-0999</t>
  </si>
  <si>
    <t>GBNDIMN101 - Raw materials of Calibration</t>
  </si>
  <si>
    <t>ACH-EN-EL-0299</t>
  </si>
  <si>
    <t>991259 - ER14505 AA 3.6V Li-SOCL2 Battery</t>
  </si>
  <si>
    <t>ACH-RD-CH-1000</t>
  </si>
  <si>
    <t>PHR1035 - Folic acid</t>
  </si>
  <si>
    <t>INR 9.22203</t>
  </si>
  <si>
    <t>ACH-RD-CH-1001</t>
  </si>
  <si>
    <t>V-019 - Cyanocobalamin (Vitamin B12) solution</t>
  </si>
  <si>
    <t>INR 11.95457</t>
  </si>
  <si>
    <t>ACH-RD-CH-1002</t>
  </si>
  <si>
    <t>C1254 - Sodium cholate hydrate</t>
  </si>
  <si>
    <t>INR 0.454217</t>
  </si>
  <si>
    <t>ACH-RD-CH-1003</t>
  </si>
  <si>
    <t>Hb A1c501</t>
  </si>
  <si>
    <t>INR 1794.44</t>
  </si>
  <si>
    <t>ACH-RD-CM-0211</t>
  </si>
  <si>
    <t>B3165081 - PETRI DISH CULTURE S-LINE 150X25</t>
  </si>
  <si>
    <t>INR 240.00</t>
  </si>
  <si>
    <t>ACH-MF-CM-0131</t>
  </si>
  <si>
    <t>Silicone Sock Cover Case for Creality Block Heater CR-10, 10s, S4, S5 Anet A8 MK7 / MK8 / MK9 Hotend Printer For 3D printer</t>
  </si>
  <si>
    <t>ACH-MF-CM-0132</t>
  </si>
  <si>
    <t>Centri-fuge Tube Rack for 10ml/15ml/50ml Laboratory Plastic Tube Rack Holder</t>
  </si>
  <si>
    <t>INR 419.49</t>
  </si>
  <si>
    <t>ACH-RD-CH-1004</t>
  </si>
  <si>
    <t>8CCFS - Cystatin C free serum</t>
  </si>
  <si>
    <t>INR 0.5886</t>
  </si>
  <si>
    <t>ACH-RD-AB-0269</t>
  </si>
  <si>
    <t>4H1 - TG Monoclonal antibody</t>
  </si>
  <si>
    <t>INR 13.776</t>
  </si>
  <si>
    <t>ACH-RD-AB-0270</t>
  </si>
  <si>
    <t>8E11 - TG Monoclonal antibody</t>
  </si>
  <si>
    <t>ACH-MF-CM-0133</t>
  </si>
  <si>
    <t>4mm Clear - 1X1 Feet Acrylic Sheet</t>
  </si>
  <si>
    <t>INR 155.17</t>
  </si>
  <si>
    <t>ACH-RD-CH-1005</t>
  </si>
  <si>
    <t>SRL-66273 - Sodium Phosphate Dibasic Anhydrous ACS, 99%</t>
  </si>
  <si>
    <t>ACH-RD-CH-1006</t>
  </si>
  <si>
    <t>MP TGX 4-15%, 12 W, 10</t>
  </si>
  <si>
    <t>INR 1015.00</t>
  </si>
  <si>
    <t>ACH-RD-CH-1007</t>
  </si>
  <si>
    <t>Laemmli Sample Buffer</t>
  </si>
  <si>
    <t>INR 55.1666</t>
  </si>
  <si>
    <t>ACH-RD-CH-1008</t>
  </si>
  <si>
    <t>PREC PLUS STD UNSTAINED</t>
  </si>
  <si>
    <t>INR 7225.00</t>
  </si>
  <si>
    <t>ACH-RD-AB-0271</t>
  </si>
  <si>
    <t>15H7 - Insulin Monoclonal Antibody</t>
  </si>
  <si>
    <t>INR 13.44</t>
  </si>
  <si>
    <t>ACH-RD-AB-0272</t>
  </si>
  <si>
    <t>11E1 - Insulin Monoclonal Antibody</t>
  </si>
  <si>
    <t>ACH-RD-AB-0273</t>
  </si>
  <si>
    <t>Insulin Antigen</t>
  </si>
  <si>
    <t>ACH-EN-EQ-0114</t>
  </si>
  <si>
    <t>HI904-02, SKU: HI904-02 Karl Fischer Coulometric Titrator With Diaphragm-Less Generator, 230 V</t>
  </si>
  <si>
    <t>INR 365525.00</t>
  </si>
  <si>
    <t>ACH-EN-EQ-0115</t>
  </si>
  <si>
    <t>Hydranal Coulomat AG Anolyte for Coulometric Karl Fischer Titration - 500Ml</t>
  </si>
  <si>
    <t>INR 13664.00</t>
  </si>
  <si>
    <t>ACH-EN-EQ-0116</t>
  </si>
  <si>
    <t>Hydranal TM - Water Standard 1.0 (10 X 4Ml) 40Ml</t>
  </si>
  <si>
    <t>INR 8884.00</t>
  </si>
  <si>
    <t>ACH-MF-CM-0134</t>
  </si>
  <si>
    <t>2.5mL Syringe</t>
  </si>
  <si>
    <t>INR 3.55</t>
  </si>
  <si>
    <t>ACH-RD-CM-0212</t>
  </si>
  <si>
    <t>T500013 Dark Micro Centrifuge Tube 1.5mL PP</t>
  </si>
  <si>
    <t>ACH-MF-CM-0135</t>
  </si>
  <si>
    <t>Blade Lister</t>
  </si>
  <si>
    <t>ACH-MF-CM-0136</t>
  </si>
  <si>
    <t>112450204 - RNase DNase Free Water</t>
  </si>
  <si>
    <t>INR 0.008015</t>
  </si>
  <si>
    <t>ACH-MF-CM-0137</t>
  </si>
  <si>
    <t>P10004 - Last Drop Low Retention Pipet Tips- 2-200 uL</t>
  </si>
  <si>
    <t>INR 1.296</t>
  </si>
  <si>
    <t>ACH-MF-LB-0008</t>
  </si>
  <si>
    <t>Sticker ACHIRA - FPT</t>
  </si>
  <si>
    <t>ACH-MF-CM-0138</t>
  </si>
  <si>
    <t>Fals Bottom Tube</t>
  </si>
  <si>
    <t>S L V Distributors</t>
  </si>
  <si>
    <t>ACH-RD-CM-0213</t>
  </si>
  <si>
    <t>T500012 - Micro Centrifuge Tubes 0.5 mL - PP Dark Amber - Pack of 1000 pcs)</t>
  </si>
  <si>
    <t>INR 950.00</t>
  </si>
  <si>
    <t>ACH-RD-CM-0214</t>
  </si>
  <si>
    <t>T500013 - Micro Centrifuge Tubes 1.5 mL - PP Dark Amber - Pack of 500 pcs)</t>
  </si>
  <si>
    <t>INR 685.00</t>
  </si>
  <si>
    <t>ACH-RD-CM-0215</t>
  </si>
  <si>
    <t>T500014 - Micro Centrifuge Tubes 2.0 mL - PP Dark Amber - Pack of 500 pcs)</t>
  </si>
  <si>
    <t>INR 748.00</t>
  </si>
  <si>
    <t>ACH-RD-CM-0216</t>
  </si>
  <si>
    <t>T500051 - Micro Centrifuge Tubes 5.0 mL - PP Dark Amber - Pack of 500 pcs)</t>
  </si>
  <si>
    <t>ACH-MF-CM-0139</t>
  </si>
  <si>
    <t>63211 MCT Twin Rack - 5mL &amp; 1.5mL</t>
  </si>
  <si>
    <t>ACH-RD-CH-1009</t>
  </si>
  <si>
    <t>A12222 - Amplex Red Reagent</t>
  </si>
  <si>
    <t>INR 3.82619</t>
  </si>
  <si>
    <t>ACH-RD-AB-0274</t>
  </si>
  <si>
    <t>4Tr26 23D10 Anti-TfR</t>
  </si>
  <si>
    <t>INR 13.741</t>
  </si>
  <si>
    <t>ACH-RD-AB-0275</t>
  </si>
  <si>
    <t>4Tr26cc 13E4cc Anti-TfR</t>
  </si>
  <si>
    <t>ACH-RD-AB-0276</t>
  </si>
  <si>
    <t>4Tr26 2B6 Anti-TfR</t>
  </si>
  <si>
    <t>ACH-RD-AB-0277</t>
  </si>
  <si>
    <t>4Tr26cc 11F5cc Anti-TfR</t>
  </si>
  <si>
    <t>ACH-RD-CH-1010</t>
  </si>
  <si>
    <t>8ST6 sTfR, rec</t>
  </si>
  <si>
    <t>INR 169.26</t>
  </si>
  <si>
    <t>ACH-MF-CM-0140</t>
  </si>
  <si>
    <t>Grade HV 68 vacuum - pump Oil</t>
  </si>
  <si>
    <t>UK Automation and Electricals</t>
  </si>
  <si>
    <t>ACH-RD-AB-0278</t>
  </si>
  <si>
    <t>100067 - Anti-h FSH 6602 SP-5</t>
  </si>
  <si>
    <t>INR 7.007</t>
  </si>
  <si>
    <t>ACH-RD-AB-0279</t>
  </si>
  <si>
    <t>V3865 - Anti-SARS &amp; COVID-19 Coronavirus (NP)</t>
  </si>
  <si>
    <t>INR 34.945</t>
  </si>
  <si>
    <t>Life Technologies (India) Pvt. Ltd</t>
  </si>
  <si>
    <t>ACH-RD-AB-0280</t>
  </si>
  <si>
    <t>V3867 - Anti-COVID-19 Coronavirus (NP)</t>
  </si>
  <si>
    <t>ACH-RD-AB-0281</t>
  </si>
  <si>
    <t>V0631 - Anti-Respiratory Syncytial virus (fusion)</t>
  </si>
  <si>
    <t>ACH-RD-AB-0282</t>
  </si>
  <si>
    <t>V0635 - Anti-Respiratory Syncytial virus (fusion)</t>
  </si>
  <si>
    <t>ACH-RD-AB-0283</t>
  </si>
  <si>
    <t>V0651 - Anti-Respiratory Syncytial virus (fusion)</t>
  </si>
  <si>
    <t>ACH-RD-CH-1011</t>
  </si>
  <si>
    <t>436143 - Sodium dodecyl sulfate</t>
  </si>
  <si>
    <t>INR 0.1468</t>
  </si>
  <si>
    <t>ACH-RD-CH-1012</t>
  </si>
  <si>
    <t>FAB-V001-9B11 -</t>
  </si>
  <si>
    <t>ACH-RD-CH-1013</t>
  </si>
  <si>
    <t>FAP-VS001</t>
  </si>
  <si>
    <t>ACH-RD-CH-1014</t>
  </si>
  <si>
    <t>FAB-V002-5F2</t>
  </si>
  <si>
    <t>ACH-RD-CH-1015</t>
  </si>
  <si>
    <t>FAP-VS002</t>
  </si>
  <si>
    <t>ACH-RD-CH-1016</t>
  </si>
  <si>
    <t>FAB-B001-7A6</t>
  </si>
  <si>
    <t>ACH-RD-CH-1017</t>
  </si>
  <si>
    <t>FAB-B001-19E6</t>
  </si>
  <si>
    <t>ACH-RD-CH-1018</t>
  </si>
  <si>
    <t>FAB-T029-P1</t>
  </si>
  <si>
    <t>INR 4.25</t>
  </si>
  <si>
    <t>ACH-RD-CH-1019</t>
  </si>
  <si>
    <t>FAB-T029-1G9</t>
  </si>
  <si>
    <t>ACH-RD-CH-1020</t>
  </si>
  <si>
    <t>FAB-T029-8F12</t>
  </si>
  <si>
    <t>ACH-RD-CH-1021</t>
  </si>
  <si>
    <t>FAB-T029-12D11</t>
  </si>
  <si>
    <t>ACH-RD-CH-1022</t>
  </si>
  <si>
    <t>Human Ferritin</t>
  </si>
  <si>
    <t>INR 17.50</t>
  </si>
  <si>
    <t>ACH-RD-CH-1023</t>
  </si>
  <si>
    <t>Cystatin C</t>
  </si>
  <si>
    <t>ACH-RD-AB-0284</t>
  </si>
  <si>
    <t>HbA1c Antibody</t>
  </si>
  <si>
    <t>INR 33.60</t>
  </si>
  <si>
    <t>ACH-RD-FL-0051</t>
  </si>
  <si>
    <t>AUCR80 - 30M Bioready Gold Nanospheres for Positive Absorption</t>
  </si>
  <si>
    <t>INR 3.64</t>
  </si>
  <si>
    <t>ACH-EN-OP-0025</t>
  </si>
  <si>
    <t>87235 - Filter 577/24 690/50 OD6 12.5mm</t>
  </si>
  <si>
    <t>INR 27753.00</t>
  </si>
  <si>
    <t>ACH-EN-OP-0026</t>
  </si>
  <si>
    <t>563BP12/25mm - Filter Set</t>
  </si>
  <si>
    <t>INR 38250.00</t>
  </si>
  <si>
    <t>ACH-RD-CH-1024</t>
  </si>
  <si>
    <t>SAE0073 - Saponin</t>
  </si>
  <si>
    <t>INR 0.702543</t>
  </si>
  <si>
    <t>ACH-RD-CH-1025</t>
  </si>
  <si>
    <t>WB100039 Harris Uni-Core Punch, 3.0 mm, 4 Pack Ã— 1</t>
  </si>
  <si>
    <t>INR 7638.10</t>
  </si>
  <si>
    <t>ACH-RD-CH-1026</t>
  </si>
  <si>
    <t>WB100088 - Harris Micro Punch Replacement Cutting Mat Ã— 1</t>
  </si>
  <si>
    <t>Data Support Company</t>
  </si>
  <si>
    <t>ACH-RD-FL-0052</t>
  </si>
  <si>
    <t>DY-549P1 - NHS-Easter</t>
  </si>
  <si>
    <t>INR 13.25</t>
  </si>
  <si>
    <t>ACH-RD-FL-0053</t>
  </si>
  <si>
    <t>DY-550 - NHS-Easter</t>
  </si>
  <si>
    <t>INR 13.23</t>
  </si>
  <si>
    <t>ACH-RD-FL-0054</t>
  </si>
  <si>
    <t>DY-555 - NHS-Easter</t>
  </si>
  <si>
    <t>ACH-EN-ME-0266</t>
  </si>
  <si>
    <t>1644396 - Creality CR-PETG 3D Printing Filament 1.75mm (1kg â€“ Black)</t>
  </si>
  <si>
    <t>INR 1049.00</t>
  </si>
  <si>
    <t>ACH-RD-CH-1027</t>
  </si>
  <si>
    <t>SV-77 Premium Quality Synthetic Rotary Vacuum Pump Oil</t>
  </si>
  <si>
    <t>Supervac Industries LLP</t>
  </si>
  <si>
    <t>ACH-RD-CH-1028</t>
  </si>
  <si>
    <t>Cap_MS - Direct ABS - Black Glossy - without paint</t>
  </si>
  <si>
    <t>INR 355.00</t>
  </si>
  <si>
    <t>ACH-RD-CH-1029</t>
  </si>
  <si>
    <t>MS - Direct ABS - Black Glossy - without paint</t>
  </si>
  <si>
    <t>INR 671.00</t>
  </si>
  <si>
    <t>ACH-RD-CM-0217</t>
  </si>
  <si>
    <t>P10908 - Petri Dish - GAMA Radiated Sterile</t>
  </si>
  <si>
    <t>INR 8.6125</t>
  </si>
  <si>
    <t>ACH-RD-CH-1030</t>
  </si>
  <si>
    <t>Sticker USELECT TUB</t>
  </si>
  <si>
    <t>ACH-RD-CH-1031</t>
  </si>
  <si>
    <t>ASP2653 - Potassium Permanganate 98% Avra</t>
  </si>
  <si>
    <t>INR 0.00114</t>
  </si>
  <si>
    <t>ACH-RD-CH-1032</t>
  </si>
  <si>
    <t>ASF1575 - Formaldehyde 37% Avra</t>
  </si>
  <si>
    <t>INR 0.00049</t>
  </si>
  <si>
    <t>ACH-RD-CH-1033</t>
  </si>
  <si>
    <t>16693 - Poly(N-vinylpyrrolidone), MW 2,500</t>
  </si>
  <si>
    <t>INR 0.060841</t>
  </si>
  <si>
    <t>ACH-RD-CH-1034</t>
  </si>
  <si>
    <t>50,800 DPI MIN PLOT</t>
  </si>
  <si>
    <t>INR 121.10</t>
  </si>
  <si>
    <t>ACH-RD-CH-1035</t>
  </si>
  <si>
    <t>10534320 - Whatman 10534320 903 Protein Saver Snap-Apart Card</t>
  </si>
  <si>
    <t>INR 16185.15</t>
  </si>
  <si>
    <t>ACH-RD-CH-1036</t>
  </si>
  <si>
    <t>C5670 - Calcium chloride</t>
  </si>
  <si>
    <t>INR 0.1056</t>
  </si>
  <si>
    <t>ACH-RD-AB-0285</t>
  </si>
  <si>
    <t>HM302 - Ferritin Antibody</t>
  </si>
  <si>
    <t>INR 15.708</t>
  </si>
  <si>
    <t>Oy Medix Biochemica Ab</t>
  </si>
  <si>
    <t>ACH-RD-AB-0286</t>
  </si>
  <si>
    <t>HM303 - Ferritin Antibody</t>
  </si>
  <si>
    <t>ACH-RD-AB-0287</t>
  </si>
  <si>
    <t>HM304 - Ferritin Antibody</t>
  </si>
  <si>
    <t>ACH-RD-CH-1037</t>
  </si>
  <si>
    <t>Achira - Uselect Pack of 5</t>
  </si>
  <si>
    <t>INR 13.50</t>
  </si>
  <si>
    <t>Ess Cee Print Pack Pvt. Ltd</t>
  </si>
  <si>
    <t>ACH-RD-CH-1038</t>
  </si>
  <si>
    <t>Achira - Uselect Pack of 10</t>
  </si>
  <si>
    <t>ACH-EN-EQ-0117</t>
  </si>
  <si>
    <t>SS 304 Table with mat finishing including Nylon Brush (2400x900x900)</t>
  </si>
  <si>
    <t>INR 27230.00</t>
  </si>
  <si>
    <t>ACH-EN-EQ-0118</t>
  </si>
  <si>
    <t>SS 304 Table with mat finishing including Nylon Brush (1200x700x900)</t>
  </si>
  <si>
    <t>INR 13920.00</t>
  </si>
  <si>
    <t>ACH-EN-SP-0048</t>
  </si>
  <si>
    <t>Silicone TFT RUBBER VALVE Tool Modification</t>
  </si>
  <si>
    <t>INR 22000.00</t>
  </si>
  <si>
    <t>ACH-MF-CM-0141</t>
  </si>
  <si>
    <t>728060 - ProlineÂ® Plus Mechanical Pipette, 1-ch, 20-200 Î¼l</t>
  </si>
  <si>
    <t>INR 9120.00</t>
  </si>
  <si>
    <t>ACH-MF-CM-0142</t>
  </si>
  <si>
    <t>728070 - ProlineÂ® Plus Mechanical Pipette, 1-ch, 100-1000 Î¼l</t>
  </si>
  <si>
    <t>ACH-EN-EL-0300</t>
  </si>
  <si>
    <t>SMD - LED</t>
  </si>
  <si>
    <t>INR 31.45</t>
  </si>
  <si>
    <t>5G Universe Limited</t>
  </si>
  <si>
    <t>ACH-MF-CT-0057</t>
  </si>
  <si>
    <t>ITC0001 0201 Rotary Shaft Retainer</t>
  </si>
  <si>
    <t>ACH-MF-CT-0058</t>
  </si>
  <si>
    <t>ITC0001 0202 Rotary Shaft</t>
  </si>
  <si>
    <t>INR 9.00</t>
  </si>
  <si>
    <t>ACH-GN-IT-0048</t>
  </si>
  <si>
    <t>IdeaPad 3 Intel Core i3 12th Gen 1215U - (8 GB/512 GB SSD/Windows 11 Home) IdeaPad 3 15IAU7 Thin and Light Laptop Abyss</t>
  </si>
  <si>
    <t>INR 34990.00</t>
  </si>
  <si>
    <t>ACH-GN-IT-0049</t>
  </si>
  <si>
    <t>Laptop Intel Core i3 12th Gen 1215U - (8 GB /256 GB SSD/Windows 11 Home) 15s-fy5010TU Thin and Light Laptop</t>
  </si>
  <si>
    <t>INR 31990.00</t>
  </si>
  <si>
    <t>ACH-MF-CM-0143</t>
  </si>
  <si>
    <t>UFC5100 - AmiconÂ® Ultra Centrifugal Filter, 100 kDa MWCO</t>
  </si>
  <si>
    <t>INR 665.34</t>
  </si>
  <si>
    <t>ACH-MF-CM-0144</t>
  </si>
  <si>
    <t>T523061 - Amber Store Vial 1mL</t>
  </si>
  <si>
    <t>INR 3.97</t>
  </si>
  <si>
    <t>ACH-RD-CH-1039</t>
  </si>
  <si>
    <t>S1876- D-Sorbitol</t>
  </si>
  <si>
    <t>INR 0.305</t>
  </si>
  <si>
    <t>ACH-RD-CH-1040</t>
  </si>
  <si>
    <t>G8540 - L-Glutamine</t>
  </si>
  <si>
    <t>INR 0.3967</t>
  </si>
  <si>
    <t>ACH-RD-CH-1041</t>
  </si>
  <si>
    <t>903 Proteinsaver Snap-Apart Card</t>
  </si>
  <si>
    <t>INR 18895.50</t>
  </si>
  <si>
    <t>Chargen Lifesciences LLP</t>
  </si>
  <si>
    <t>ACH-RD-CH-1042</t>
  </si>
  <si>
    <t>34851 - Acetonitrile</t>
  </si>
  <si>
    <t>INR 0.028362</t>
  </si>
  <si>
    <t>ACH-RD-CH-1043</t>
  </si>
  <si>
    <t>ICP1327 - Thyroxine(T4) BSA</t>
  </si>
  <si>
    <t>INR 23.375</t>
  </si>
  <si>
    <t>ACH-EN-EQ-0119</t>
  </si>
  <si>
    <t>iPhone 13 (128GB)</t>
  </si>
  <si>
    <t>INR 38134.75</t>
  </si>
  <si>
    <t>ACH-EN-EQ-0120</t>
  </si>
  <si>
    <t>Frameless Glass Board, Magnetic Dry Erase Whiteboard with Dry-Erase Marker, Magnets and Removable Marker Tray for Schools, Office, Home, 4 x 3 feet, 122 x 91 cm (48 x 36 inches)</t>
  </si>
  <si>
    <t>INR 12711.02</t>
  </si>
  <si>
    <t>ACH-RD-CH-1044</t>
  </si>
  <si>
    <t>HbA1C sample buffer</t>
  </si>
  <si>
    <t>Hangzhou Aichek Medical Technology Co. Ltd</t>
  </si>
  <si>
    <t>ACH-RD-CH-1045</t>
  </si>
  <si>
    <t>MYOGLOBIN with buffer</t>
  </si>
  <si>
    <t>Diagno Care</t>
  </si>
  <si>
    <t>ACH-RD-CH-1046</t>
  </si>
  <si>
    <t>TROPONIN T with buffer</t>
  </si>
  <si>
    <t>INR 230.40</t>
  </si>
  <si>
    <t>ACH-RD-CH-1047</t>
  </si>
  <si>
    <t>CK-MB with buffer</t>
  </si>
  <si>
    <t>INR 158.40</t>
  </si>
  <si>
    <t>ACH-RD-CH-1048</t>
  </si>
  <si>
    <t>D DIMER with buffer</t>
  </si>
  <si>
    <t>INR 187.20</t>
  </si>
  <si>
    <t>ACH-RD-CH-1049</t>
  </si>
  <si>
    <t>NT-proBNP with buffer</t>
  </si>
  <si>
    <t>ACH-RD-CH-1050</t>
  </si>
  <si>
    <t>FAB-J006-6A3 - Insulin Ab</t>
  </si>
  <si>
    <t>INR 23.80</t>
  </si>
  <si>
    <t>ACH-RD-CH-1051</t>
  </si>
  <si>
    <t>FAB-J006-6B3 - Insulin Ab</t>
  </si>
  <si>
    <t>ACH-EN-EL-0301</t>
  </si>
  <si>
    <t>BE-001461 - CJMCU 4 x 4 Bit WS2812 5050 RGB LED Driver Development Board</t>
  </si>
  <si>
    <t>INR 118.00</t>
  </si>
  <si>
    <t>Xcluma</t>
  </si>
  <si>
    <t>ACH-EN-EL-0302</t>
  </si>
  <si>
    <t>BE-001386- Super Bright 5v 12 Led White Piranha LED Panel Energy Saving Board Light Night Table Lamp</t>
  </si>
  <si>
    <t>INR 202.00</t>
  </si>
  <si>
    <t>ACH-MF-CT-0059</t>
  </si>
  <si>
    <t>Beta Cartridge_Transparent_Lakshmi Enterprises</t>
  </si>
  <si>
    <t>ACH-RD-CM-0218</t>
  </si>
  <si>
    <t>P10022 - Last Drop Racked Micro Tips- 2-200 uL</t>
  </si>
  <si>
    <t>INR 2.434166</t>
  </si>
  <si>
    <t>ACH-MF-LB-0009</t>
  </si>
  <si>
    <t>Sticker-Achira-Analyser</t>
  </si>
  <si>
    <t>ACH-EN-EL-0303</t>
  </si>
  <si>
    <t>USB to Type C 33W Hypercharge Cable, 3A Fast Charging Cable with Up to 480 Mbps High-Speed Data Transfer &amp; Sync Cord Compatible With All Xiaomi Smartphones and Devices, White (1 Meter)</t>
  </si>
  <si>
    <t>ACH-RD-CH-1052</t>
  </si>
  <si>
    <t>Stainless Steel Dinning, Dinner Spoons, Table Spoon Set of 12, Length 16.6cm (Medium Spoon)</t>
  </si>
  <si>
    <t>INR 222.04</t>
  </si>
  <si>
    <t>ACH-RD-CH-1053</t>
  </si>
  <si>
    <t>100058 - Anti-h CRP 6404 SP-2</t>
  </si>
  <si>
    <t>INR 17.085</t>
  </si>
  <si>
    <t>ACH-RD-CH-1054</t>
  </si>
  <si>
    <t>100061 - Anti-h CRP 6404 SP-6</t>
  </si>
  <si>
    <t>ACH-RD-AB-0288</t>
  </si>
  <si>
    <t>JP087 - Alpha 1 Acid Glycoprotein (A1GP) Antibody</t>
  </si>
  <si>
    <t>INR 0.23525</t>
  </si>
  <si>
    <t>ACH-RD-AB-0289</t>
  </si>
  <si>
    <t>102-11-1 - Alpha-1 Acid Glycoprotein (AGP) antigen</t>
  </si>
  <si>
    <t>INR 15.151</t>
  </si>
  <si>
    <t>ACH-RD-CH-1055</t>
  </si>
  <si>
    <t>Dengue NS1 AG with buffer</t>
  </si>
  <si>
    <t>INR 211.20</t>
  </si>
  <si>
    <t>ACH-RD-CH-1056</t>
  </si>
  <si>
    <t>Dengue IGG/IGM with buffer</t>
  </si>
  <si>
    <t>ACH-EN-ME-0267</t>
  </si>
  <si>
    <t>18 x 6mm Neodymium Magnet â€“ Strong Disc</t>
  </si>
  <si>
    <t>INR 101.24</t>
  </si>
  <si>
    <t>Patel Magnets</t>
  </si>
  <si>
    <t>ACH-EN-OP-0027</t>
  </si>
  <si>
    <t>Bandpass Filter 630nm</t>
  </si>
  <si>
    <t>INR 1769.02</t>
  </si>
  <si>
    <t>Nano Macro Optics Co.,Ltd.</t>
  </si>
  <si>
    <t>ACH-EN-OP-0028</t>
  </si>
  <si>
    <t>Bandpass Filter 675/20nm</t>
  </si>
  <si>
    <t>INR 2580.00</t>
  </si>
  <si>
    <t>ACH-MF-CM-0145</t>
  </si>
  <si>
    <t>lastic Container for Home Storage,Color May vary -1300 ml, (28.6 x 10.6 x 6.2) cm</t>
  </si>
  <si>
    <t>INR 63.56</t>
  </si>
  <si>
    <t>ACH-MF-CM-0146</t>
  </si>
  <si>
    <t>Crucial P310 500GB 2280 PCIe Gen4 3D NAND NVMe M.2 SSD â€“ Up to 6,600MB/s â€“ Shift up to Gen4 â€“ Internal Solid State Drive (PC) â€“ CT500P310SSD801</t>
  </si>
  <si>
    <t>INR 4999.15</t>
  </si>
  <si>
    <t>ACH-MF-CM-0147</t>
  </si>
  <si>
    <t>Bearing</t>
  </si>
  <si>
    <t>INR 5885.00</t>
  </si>
  <si>
    <t>Neha Enterprises</t>
  </si>
  <si>
    <t>ACH-MF-CM-0148</t>
  </si>
  <si>
    <t>Bush</t>
  </si>
  <si>
    <t>INR 3148.00</t>
  </si>
  <si>
    <t>ACH-RD-CH-1057</t>
  </si>
  <si>
    <t>Element Screw Softing</t>
  </si>
  <si>
    <t>INR 5450.00</t>
  </si>
  <si>
    <t>ACH-EN-EQ-0121</t>
  </si>
  <si>
    <t>CIJ/Pench 62 D (Black)</t>
  </si>
  <si>
    <t>INR 225000.00</t>
  </si>
  <si>
    <t>ACH-EN-EQ-0122</t>
  </si>
  <si>
    <t>Belt conveyor (200mm width; 1000mm length; black belt; MS powder coated; VFD drive)</t>
  </si>
  <si>
    <t>Control Print Limited</t>
  </si>
  <si>
    <t>ACH-MF-CM-0149</t>
  </si>
  <si>
    <t>E-Flute-260x200x95</t>
  </si>
  <si>
    <t>INR 64.80</t>
  </si>
  <si>
    <t>ACH-MF-CM-0150</t>
  </si>
  <si>
    <t>Mono-Carton-Magnetic Stand</t>
  </si>
  <si>
    <t>INR 17.10</t>
  </si>
  <si>
    <t>ACH-MF-CM-0151</t>
  </si>
  <si>
    <t>Mono-Carton-Pack of 10</t>
  </si>
  <si>
    <t>INR 25.83</t>
  </si>
  <si>
    <t>ACH-MF-CM-0152</t>
  </si>
  <si>
    <t>Mono-Carton-Pack of 5</t>
  </si>
  <si>
    <t>INR 21.24</t>
  </si>
  <si>
    <t>ACH-MF-CM-0153</t>
  </si>
  <si>
    <t>LC 60155 - 101.6 mm</t>
  </si>
  <si>
    <t>INR 99.081365</t>
  </si>
  <si>
    <t>Lohmann Adhesive Tapes India Pvt. Ltd</t>
  </si>
  <si>
    <t>ACH-RD-KT-0049</t>
  </si>
  <si>
    <t>AS-72096-120 - SensoLyte HABA Biotin Quantitation 1kit</t>
  </si>
  <si>
    <t>INR 23000.00</t>
  </si>
  <si>
    <t>Electro Crafts</t>
  </si>
  <si>
    <t>ACH-EN-ME-0268</t>
  </si>
  <si>
    <t>AB03473 - U3-3884LE-M-GL Rev. 1.2</t>
  </si>
  <si>
    <t>INR 24565.00</t>
  </si>
  <si>
    <t>ACH-EN-OP-0029</t>
  </si>
  <si>
    <t>AE00335 - Lens, IDS, 8M118-C2520,25mm, 1/1.8"</t>
  </si>
  <si>
    <t>INR 9504.00</t>
  </si>
  <si>
    <t>ACH-EN-ME-0269</t>
  </si>
  <si>
    <t>1010748 - U3-34L4XLS-M-GL Rev. 1.2</t>
  </si>
  <si>
    <t>INR 22560.00</t>
  </si>
  <si>
    <t>IDS Imaging Development Systems GmbH</t>
  </si>
  <si>
    <t>ACH-RD-CH-1058</t>
  </si>
  <si>
    <t>1008357 - Lens, IDS,, 12M23-C2528, 25mm, 2/3"</t>
  </si>
  <si>
    <t>ACH-RD-CH-1059</t>
  </si>
  <si>
    <t>FOB</t>
  </si>
  <si>
    <t>INR 2.709</t>
  </si>
  <si>
    <t>ACH-RD-CM-0219</t>
  </si>
  <si>
    <t>P10042 - Last Drop Racked Micro Tips- 2-200 uL</t>
  </si>
  <si>
    <t>INR 2.819167</t>
  </si>
  <si>
    <t>ACH-MF-CM-0154</t>
  </si>
  <si>
    <t>AR0506 65Watt Laptop Charger/Adapter with Power Cord Compatible with Lenovo Laptops (20V/3.25A, 65Watt) (USB Pin) (BIS Certified)</t>
  </si>
  <si>
    <t>ACH-MF-CM-0155</t>
  </si>
  <si>
    <t>Lens Cleaning Solution Kit 30ml with Microfiber Cloth- Pack of 1 | Perfect Lens Cleaner for Spectacles, Eyeglasses, Sunglasses, Camera Lenses and Binoculars</t>
  </si>
  <si>
    <t>INR 158.93</t>
  </si>
  <si>
    <t>ACH-MF-CM-0156</t>
  </si>
  <si>
    <t>eeth Grip Nylon Self Locking Cable Ties, White (100 mm x 2.5 mm, 4 inch, Pack of 100) - Heavy Duty Strong Zip Wire Fastener Organizer Ti</t>
  </si>
  <si>
    <t>INR 125.42</t>
  </si>
  <si>
    <t>ACH-RD-CH-1060</t>
  </si>
  <si>
    <t>Front Silver Back Food Grage Reusable Storage Standup Pouches With Silver Zipper Polythene Plastic Cover Bag(Sz - 8INCH x5INCH 20CMX13CM (250GM Capacity)</t>
  </si>
  <si>
    <t>INR 11.98</t>
  </si>
  <si>
    <t>ACH-MF-CM-0157</t>
  </si>
  <si>
    <t>Nano Mist Spray - Portable Cool Mist Spray for Face, Hydrating Skin Moisturizer, USB Rechargeable Facial Mister, Travel-Size Atomizer for Face, Hair, and Body [Cool Mist Sprayer]</t>
  </si>
  <si>
    <t>INR 296.03</t>
  </si>
  <si>
    <t>ACH-MF-PM-0020</t>
  </si>
  <si>
    <t>Ice Box (4.7 Liter) with Storage Capacity - 6 Cans and Ice Retention - 1 Day/BPA Free Material (Blue)</t>
  </si>
  <si>
    <t>INR 1130.51</t>
  </si>
  <si>
    <t>ACH-RD-CM-0220</t>
  </si>
  <si>
    <t>Fun Meal Plastic Container, 550ml, Multicolour</t>
  </si>
  <si>
    <t>ACH-RD-CM-0221</t>
  </si>
  <si>
    <t>1 inch Synthetical Blunt Tip Dispensing Needle with Luer Lock - 9 Different Sizes</t>
  </si>
  <si>
    <t>INR 32.17955</t>
  </si>
  <si>
    <t>ACH-MF-CM-0158</t>
  </si>
  <si>
    <t>Esd Anti-Static Cleanroom Lint-Free Cloth Polyester Wipes (9 X 9 Inches) â€“ High Absorbency, Precision Cleaning for Electronics, Sensitive Components, and Workspaces</t>
  </si>
  <si>
    <t>INR 5.259867</t>
  </si>
  <si>
    <t>ACH-RD-AB-0290</t>
  </si>
  <si>
    <t>4AM5 AMH46cc Anti-AMH</t>
  </si>
  <si>
    <t>INR 6.402</t>
  </si>
  <si>
    <t>ACH-RD-AB-0291</t>
  </si>
  <si>
    <t>4AM5 AMH69cc Anti-AMH</t>
  </si>
  <si>
    <t>ACH-RD-AB-0292</t>
  </si>
  <si>
    <t>4AM5 AMH41cc Anti-AMH</t>
  </si>
  <si>
    <t>ACH-RD-CH-1061</t>
  </si>
  <si>
    <t>HY-B0141R - Estradiol (Standard)</t>
  </si>
  <si>
    <t>INR 0.2346</t>
  </si>
  <si>
    <t>ACH-RD-CH-1062</t>
  </si>
  <si>
    <t>HY-N0437 - Progesterone</t>
  </si>
  <si>
    <t>ACH-RD-CH-1063</t>
  </si>
  <si>
    <t>S1705 - Progesterone</t>
  </si>
  <si>
    <t>INR 20.832</t>
  </si>
  <si>
    <t>Topclass Enterprises LLP</t>
  </si>
  <si>
    <t>ACH-RD-CH-1064</t>
  </si>
  <si>
    <t>S1709 - Estradiol</t>
  </si>
  <si>
    <t>INR 28.56</t>
  </si>
  <si>
    <t>ACH-RD-CH-1065</t>
  </si>
  <si>
    <t>223530 - Sodium carbonate</t>
  </si>
  <si>
    <t>INR 0.01252</t>
  </si>
  <si>
    <t>ACH-EN-SP-0049</t>
  </si>
  <si>
    <t>Subscription Renewal of your existing SOLIDWORKS Professional Module for the Period of 1year.</t>
  </si>
  <si>
    <t>INR 78750.00</t>
  </si>
  <si>
    <t>Best Engineering Aids &amp; Consultancies Private Limited</t>
  </si>
  <si>
    <t>ACH-RD-CH-1066</t>
  </si>
  <si>
    <t>400mmX 300mm (Honey Comb Bed)</t>
  </si>
  <si>
    <t>ACH-MF-CM-0159</t>
  </si>
  <si>
    <t>LI-SP303M - Ultra-purification cartridge</t>
  </si>
  <si>
    <t>INR 23300.00</t>
  </si>
  <si>
    <t>ACH-MF-CM-0160</t>
  </si>
  <si>
    <t>OSL-00238 - 10"x 5 Micron Filter</t>
  </si>
  <si>
    <t>ACH-MF-CM-0161</t>
  </si>
  <si>
    <t>OSL-00273 - Activated Carbon Filter 10'inch</t>
  </si>
  <si>
    <t>ACH-MF-CM-0162</t>
  </si>
  <si>
    <t>OSL-00239 - 10â€_x009d_x 10 micron filter</t>
  </si>
  <si>
    <t>ACH-MF-CT-0060</t>
  </si>
  <si>
    <t>1TC0001_0203 - TFT_Rubber Valve</t>
  </si>
  <si>
    <t>INR 240000.00</t>
  </si>
  <si>
    <t>ACH-MF-CT-0061</t>
  </si>
  <si>
    <t>1TC0001_0202- TFT_Rotary_Shaft</t>
  </si>
  <si>
    <t>ACH-MF-LB-0010</t>
  </si>
  <si>
    <t>Sticker ACHIRA - Transparent</t>
  </si>
  <si>
    <t>ACH-RD-CH-1067</t>
  </si>
  <si>
    <t>Vacuum Blood Collection Tube EDTA K2-2ml</t>
  </si>
  <si>
    <t>ACH-RD-CM-0222</t>
  </si>
  <si>
    <t>Vacuum Blood Collection Tube Gel+Clot 4mL</t>
  </si>
  <si>
    <t>ACH-RD-CM-0223</t>
  </si>
  <si>
    <t>Vacuum Blood Collection Tube Clot Activator - 4 mL</t>
  </si>
  <si>
    <t>ACH-MF-CM-0163</t>
  </si>
  <si>
    <t>307757 - Emerald Syringe 5mL- 24 G</t>
  </si>
  <si>
    <t>ACH-MF-CM-0164</t>
  </si>
  <si>
    <t>307749 - Emerald Syringe 2mL- 24 G</t>
  </si>
  <si>
    <t>ACH-RD-CM-0224</t>
  </si>
  <si>
    <t>T521014 - Micro Tips 200 ul - Pack of 1000 pcs</t>
  </si>
  <si>
    <t>ACH-RD-CH-1068</t>
  </si>
  <si>
    <t>Methanol</t>
  </si>
  <si>
    <t>INR 0.00108</t>
  </si>
  <si>
    <t>ACH-RD-CH-1069</t>
  </si>
  <si>
    <t>BS-010205-S09 - PCV-3000 Replacement Lid</t>
  </si>
  <si>
    <t>INR 8016.00</t>
  </si>
  <si>
    <t>ACH-EN-EQ-0123</t>
  </si>
  <si>
    <t>30770923 - Endeavorâ„¢ 5000 Light Duty Shakers</t>
  </si>
  <si>
    <t>INR 81250.00</t>
  </si>
  <si>
    <t>ACH-RD-FL-0055</t>
  </si>
  <si>
    <t>DY-521XL-NHS-Ester</t>
  </si>
  <si>
    <t>INR 14.259</t>
  </si>
  <si>
    <t>ACH-EN-ME-0270</t>
  </si>
  <si>
    <t>mesh Material: stainless steel 304 +surface black thickness:0.10mm Î¦7.1 *Î¦0.2 mm</t>
  </si>
  <si>
    <t>INR 5.934</t>
  </si>
  <si>
    <t>ACH-RD-CH-1070</t>
  </si>
  <si>
    <t>S22379 - Sodium chloride</t>
  </si>
  <si>
    <t>INR 0.000334</t>
  </si>
  <si>
    <t>ACH-RD-CH-1071</t>
  </si>
  <si>
    <t>Microgenic BI Plate</t>
  </si>
  <si>
    <t>ACH-RD-CH-1072</t>
  </si>
  <si>
    <t>438227 - Hydroxylamine solution</t>
  </si>
  <si>
    <t>INR 0.087033</t>
  </si>
  <si>
    <t>ACH-RD-CH-1073</t>
  </si>
  <si>
    <t>15014 - Ethanolamine</t>
  </si>
  <si>
    <t>INR 0.195283</t>
  </si>
  <si>
    <t>ACH-EN-OP-0030</t>
  </si>
  <si>
    <t>533BP20/25mm - Filter Set</t>
  </si>
  <si>
    <t>INR 47850.00</t>
  </si>
  <si>
    <t>ACH-RD-CH-1074</t>
  </si>
  <si>
    <t>HE057005- 2K - FA-PEG-NH2</t>
  </si>
  <si>
    <t>INR 0.45882</t>
  </si>
  <si>
    <t>ACH-MF-CT-0062</t>
  </si>
  <si>
    <t>Retainer_LE_06_05_25</t>
  </si>
  <si>
    <t>ACH-MF-CT-0063</t>
  </si>
  <si>
    <t>Valve shaft_LE_06_05_25</t>
  </si>
  <si>
    <t>ACH-MF-CT-0064</t>
  </si>
  <si>
    <t>SMC 6 Mm Check Valve AKH06-00</t>
  </si>
  <si>
    <t>INR 538.00</t>
  </si>
  <si>
    <t>Vashi Integrated Solutions</t>
  </si>
  <si>
    <t>ACH-EN-ME-0271</t>
  </si>
  <si>
    <t>SMT025052160374-Y90</t>
  </si>
  <si>
    <t>INR 114.75</t>
  </si>
  <si>
    <t>ACH-EN-EL-0304</t>
  </si>
  <si>
    <t>BE-000152 - Usb To Ttl Serial Cable Debugger For Raspberry Pi Beaglebone Cubietruck</t>
  </si>
  <si>
    <t>INR 87.00</t>
  </si>
  <si>
    <t>ACH-EN-EL-0305</t>
  </si>
  <si>
    <t>FR-01-133 - OPT101 Light Intensity Sensor Module</t>
  </si>
  <si>
    <t>INR 799.97</t>
  </si>
  <si>
    <t>DNA Solutions</t>
  </si>
  <si>
    <t>ACH-MF-JG-0013</t>
  </si>
  <si>
    <t>Development of New Mould for Cassette PC 23 16 cavities (8+8) family</t>
  </si>
  <si>
    <t>INR 212500.00</t>
  </si>
  <si>
    <t>ACH-RD-CH-1075</t>
  </si>
  <si>
    <t>S9763 - Sodium phosphate dibasic</t>
  </si>
  <si>
    <t>INR 0.055965</t>
  </si>
  <si>
    <t>ACH-RD-CH-1076</t>
  </si>
  <si>
    <t>S0751 - Sodium phosphate monobasic</t>
  </si>
  <si>
    <t>INR 0.029011</t>
  </si>
  <si>
    <t>ACH-MF-CM-0165</t>
  </si>
  <si>
    <t>P10209-Last Drop Low Retention, Micro Centrifuges Tube, PP, 1.5 ml,</t>
  </si>
  <si>
    <t>INR 1.9024</t>
  </si>
  <si>
    <t>ACH-RD-KT-0050</t>
  </si>
  <si>
    <t>DNS1-1 - DENV Detectâ„¢ NS1 ELISA Kit - 96 wells</t>
  </si>
  <si>
    <t>Inbios India</t>
  </si>
  <si>
    <t>ACH-RD-CH-1077</t>
  </si>
  <si>
    <t>MB023 - Sodium Chloride</t>
  </si>
  <si>
    <t>INR 0.00186</t>
  </si>
  <si>
    <t>ACH-RD-CH-1078</t>
  </si>
  <si>
    <t>SD037-1VL Tetracyclin</t>
  </si>
  <si>
    <t>INR 235.00</t>
  </si>
  <si>
    <t>ACH-RD-CH-1079</t>
  </si>
  <si>
    <t>SD074-1VL Ticarcillin TI 75 mcg</t>
  </si>
  <si>
    <t>ACH-RD-CH-1080</t>
  </si>
  <si>
    <t>SD205-1VL Fosfomycin</t>
  </si>
  <si>
    <t>ACH-RD-CH-1081</t>
  </si>
  <si>
    <t>SD204-1VL Azithromycin AZM 15 mcg</t>
  </si>
  <si>
    <t>ACH-RD-CH-1082</t>
  </si>
  <si>
    <t>SD087-1VL Ofloxacin</t>
  </si>
  <si>
    <t>ACH-RD-CH-1083</t>
  </si>
  <si>
    <t>SD044-1VL, Tobramycin</t>
  </si>
  <si>
    <t>ACH-RD-CH-1084</t>
  </si>
  <si>
    <t>SD046 "Netillin (Netilmicin Sulphate) NET 30 mcg</t>
  </si>
  <si>
    <t>INR 260.00</t>
  </si>
  <si>
    <t>ACH-RD-CH-1085</t>
  </si>
  <si>
    <t>SD212 Aztreonam AT 30 mcg</t>
  </si>
  <si>
    <t>ACH-RD-CH-1086</t>
  </si>
  <si>
    <t>SD280-1VL Ertapenem</t>
  </si>
  <si>
    <t>ACH-RD-CH-1087</t>
  </si>
  <si>
    <t>S2252 - Sodium Nitrite</t>
  </si>
  <si>
    <t>INR 0.012364</t>
  </si>
  <si>
    <t>ACH-RD-CH-1088</t>
  </si>
  <si>
    <t>L3771 - Sodium Lauryl sulphate</t>
  </si>
  <si>
    <t>INR 0.27508</t>
  </si>
  <si>
    <t>ACH-RD-AB-0293</t>
  </si>
  <si>
    <t>HM832 - Vitamin B12 Antibody</t>
  </si>
  <si>
    <t>INR 36.955</t>
  </si>
  <si>
    <t>ACH-RD-AB-0294</t>
  </si>
  <si>
    <t>HM830 - Vitamin B12 Antibody</t>
  </si>
  <si>
    <t>ACH-RD-AB-0295</t>
  </si>
  <si>
    <t>HM831 - Vitamin B12 Antibody</t>
  </si>
  <si>
    <t>ACH-RD-AB-0296</t>
  </si>
  <si>
    <t>LA484 - Vitamin B 12-BSA Antigen</t>
  </si>
  <si>
    <t>INR 57.995</t>
  </si>
  <si>
    <t>ACH-RD-AB-0297</t>
  </si>
  <si>
    <t>HbA1c101 - Anti-HbA1c McAb</t>
  </si>
  <si>
    <t>INR 5.88</t>
  </si>
  <si>
    <t>ACH-RD-AB-0298</t>
  </si>
  <si>
    <t>HbA1c102 - Anti-HbA1c McAb</t>
  </si>
  <si>
    <t>ACH-RD-AB-0299</t>
  </si>
  <si>
    <t>T4431 - T4-BSA Antigen</t>
  </si>
  <si>
    <t>ACH-RD-CH-1089</t>
  </si>
  <si>
    <t>Rabbit - NZW (Serum) - K2EDTA</t>
  </si>
  <si>
    <t>INR 0.625</t>
  </si>
  <si>
    <t>Spring Labs</t>
  </si>
  <si>
    <t>ACH-RD-CH-1090</t>
  </si>
  <si>
    <t>Guinea Pig â€“ Dunken Heartly (Serum) - K2EDTA</t>
  </si>
  <si>
    <t>INR 0.775</t>
  </si>
  <si>
    <t>ACH-RD-CH-1091</t>
  </si>
  <si>
    <t>429430 - Zinc chloride</t>
  </si>
  <si>
    <t>INR 2.487586</t>
  </si>
  <si>
    <t>ACH-RD-CH-1092</t>
  </si>
  <si>
    <t>30070 - Cysteamine</t>
  </si>
  <si>
    <t>INR 1.556625</t>
  </si>
  <si>
    <t>ACH-RD-CH-1093</t>
  </si>
  <si>
    <t>I3021 -IGEPALÂ® CA-630</t>
  </si>
  <si>
    <t>INR 0.132978</t>
  </si>
  <si>
    <t>ACH-MF-PM-0021</t>
  </si>
  <si>
    <t>Thermocoal Box 4 L</t>
  </si>
  <si>
    <t>ACH-RD-AB-0300</t>
  </si>
  <si>
    <t>FAB-S014-9H8 - Mouse anti-Human IgM Ab</t>
  </si>
  <si>
    <t>ACH-RD-AB-0301</t>
  </si>
  <si>
    <t>FAB-S014-1F12 - Mouse anti-Human IgM Ab</t>
  </si>
  <si>
    <t>ACH-EN-EQ-0124</t>
  </si>
  <si>
    <t>USW_Top Plate - Cav 1</t>
  </si>
  <si>
    <t>Helvoet Rubber &amp; Plastic Technologies India Pvt Ltd</t>
  </si>
  <si>
    <t>ACH-RD-AB-0302</t>
  </si>
  <si>
    <t>4CC1 - Cystatin C - Cyst28 Anti</t>
  </si>
  <si>
    <t>INR 27.075</t>
  </si>
  <si>
    <t>ACH-MF-CT-0065</t>
  </si>
  <si>
    <t>39191010 - Double Side Tape</t>
  </si>
  <si>
    <t>INR 13188.00</t>
  </si>
  <si>
    <t>ACH-RD-CM-0225</t>
  </si>
  <si>
    <t>Sticker ACHIRA - USELECT for TUBES</t>
  </si>
  <si>
    <t>ACH-RD-CH-1094</t>
  </si>
  <si>
    <t>CoviPrep Buffer</t>
  </si>
  <si>
    <t>ACH-RD-CH-1095</t>
  </si>
  <si>
    <t>IFU ACHIRA - USELECT</t>
  </si>
  <si>
    <t>ACH-MF-CM-0166</t>
  </si>
  <si>
    <t>Microfluidic Diagnostic Tape 3M 1567 - 100 mm</t>
  </si>
  <si>
    <t>cm</t>
  </si>
  <si>
    <t>INR 0.172</t>
  </si>
  <si>
    <t>Shenzhen JX ELECTRONIC Material CO., Ltd</t>
  </si>
  <si>
    <t>ACH-EN-EL-0306</t>
  </si>
  <si>
    <t>42SHD0229-12B - Stepper Motor Material : copper, aluminum</t>
  </si>
  <si>
    <t>INR 387.00</t>
  </si>
  <si>
    <t>ACH-EN-EL-0307</t>
  </si>
  <si>
    <t>B20SHD4359- C191L1 - Stepper Motor Materia : copper, aluminum</t>
  </si>
  <si>
    <t>INR 272.00</t>
  </si>
  <si>
    <t>ACH-MF-CM-0167</t>
  </si>
  <si>
    <t>ESD Safe (Anti Static) Table Mat Blue 2 Layer Size (2 Ft x 4 Ft) Thickness 2mm With On 4 Corner Button + 1 Wrist Band + Grounding Cord Set</t>
  </si>
  <si>
    <t>INR 746.63</t>
  </si>
  <si>
    <t>ACH-GN-IT-0050</t>
  </si>
  <si>
    <t>1800R Curved Monitor|FHD 1920 x 1080|100 Hz|4ms|Ports-HDMI,VGA,Headphone|Game Mode|Eye Saver Mode|Wall Mountable|LS27D362GAWXXL|Black</t>
  </si>
  <si>
    <t>INR 8473.73</t>
  </si>
  <si>
    <t>ACH-GN-IT-0051</t>
  </si>
  <si>
    <t>GW2790 27 Inches 1920X1080P FHD IPS Monitor| 100Hz|99% Srgb|Eye-Careu|Dual HDMI|Display Port|Bezel-Less|Eyesafe|VESA Mediasync|B.I.|Low Blue Light+| Speakers|VESA Wall Mountable(Black)</t>
  </si>
  <si>
    <t>INR 8896.61</t>
  </si>
  <si>
    <t>ACH-MF-CM-0168</t>
  </si>
  <si>
    <t>L20M3PF0 11.1V 4054mAh LAPTOP BATTERY FOR LENOVO IDEAPAD 3 14ITL6 82H7002EMX, IDEAPAD 3 14ITL6 82H7003UVN SERIES 4 Cell Laptop Battery</t>
  </si>
  <si>
    <t>INR 3095.00</t>
  </si>
  <si>
    <t>ACH-EN-SP-0050</t>
  </si>
  <si>
    <t>user annual license for Analyse-it Method Validation Edition</t>
  </si>
  <si>
    <t>INR 40375.00</t>
  </si>
  <si>
    <t>Analyse-it Software, Ltd</t>
  </si>
  <si>
    <t>ACH-RD-CH-1096</t>
  </si>
  <si>
    <t>11835030 - RPMI 1640 Medium, no phenol red</t>
  </si>
  <si>
    <t>INR 0.006364</t>
  </si>
  <si>
    <t>ACH-RD-CH-1097</t>
  </si>
  <si>
    <t>ALF-J62834-09 - Gentamicin Sulfate, 600 I.U./MG</t>
  </si>
  <si>
    <t>INR 1.999</t>
  </si>
  <si>
    <t>ACH-RD-CH-1098</t>
  </si>
  <si>
    <t>T4989 - Fosfomycin Tromethamine</t>
  </si>
  <si>
    <t>INR 0.336297</t>
  </si>
  <si>
    <t>ACH-RD-CH-1099</t>
  </si>
  <si>
    <t>ALF-B24079 - 36 Nitrofuratoin, 98%</t>
  </si>
  <si>
    <t>INR 0.13852</t>
  </si>
  <si>
    <t>ACH-RD-CH-1100</t>
  </si>
  <si>
    <t>I0160 - Imipenem monohydrate</t>
  </si>
  <si>
    <t>INR 4.1846</t>
  </si>
  <si>
    <t>ACH-RD-CH-1101</t>
  </si>
  <si>
    <t>ALF-J60977-06 Ampicilln</t>
  </si>
  <si>
    <t>INR 1.0434</t>
  </si>
  <si>
    <t>ACH-RD-CH-1102</t>
  </si>
  <si>
    <t>C4292- Cefoperazone sodium salt</t>
  </si>
  <si>
    <t>INR 0.119318</t>
  </si>
  <si>
    <t>ACH-RD-CH-1103</t>
  </si>
  <si>
    <t>M2574-Meropenem trihydrate</t>
  </si>
  <si>
    <t>INR 0.988674</t>
  </si>
  <si>
    <t>ACH-RD-CH-1104</t>
  </si>
  <si>
    <t>93129- Piperacillin sodium salt</t>
  </si>
  <si>
    <t>INR 0.092718</t>
  </si>
  <si>
    <t>ACH-RD-CH-1105</t>
  </si>
  <si>
    <t>ALF-J63550-06 Nalidixic acid sodium salt</t>
  </si>
  <si>
    <t>INR 0.53</t>
  </si>
  <si>
    <t>ACH-RD-CH-1106</t>
  </si>
  <si>
    <t>17850-F Ciprofloxacin 5gm Sigma</t>
  </si>
  <si>
    <t>INR 0.681</t>
  </si>
  <si>
    <t>ACH-RD-CH-1107</t>
  </si>
  <si>
    <t>ALF-J61317-06 Ciprofloxacin, 98%</t>
  </si>
  <si>
    <t>INR 0.8722</t>
  </si>
  <si>
    <t>ACH-RD-CH-1108</t>
  </si>
  <si>
    <t>A1774- Amikacin disulfate salt</t>
  </si>
  <si>
    <t>INR 0.025758</t>
  </si>
  <si>
    <t>ACH-RD-CH-1109</t>
  </si>
  <si>
    <t>ALF-J62652-14 Norfloxcin</t>
  </si>
  <si>
    <t>INR 1.187</t>
  </si>
  <si>
    <t>ACH-RD-CH-1110</t>
  </si>
  <si>
    <t>CDS020667 - Ceftazidime</t>
  </si>
  <si>
    <t>INR 0.086769</t>
  </si>
  <si>
    <t>ACH-RD-CH-1111</t>
  </si>
  <si>
    <t>SMB00607 - Amoxicillin trihydrate: potassium clavulanate (4:1)</t>
  </si>
  <si>
    <t>INR 22.1186</t>
  </si>
  <si>
    <t>ACH-RD-CH-1112</t>
  </si>
  <si>
    <t>SML3191- Cotrimoxazole</t>
  </si>
  <si>
    <t>INR 1.510572</t>
  </si>
  <si>
    <t>ACH-EN-EQ-0125</t>
  </si>
  <si>
    <t>Iris 750 Watt Mixer Grinder with 4 Jar | 3 Stainless Steel Multipurpose Jars and 1 Juicer Jar | Black | 750W</t>
  </si>
  <si>
    <t>INR 2371.19</t>
  </si>
  <si>
    <t>ACH-MF-CT-0066</t>
  </si>
  <si>
    <t>EPE Foam Fitment - 255*185*80mm</t>
  </si>
  <si>
    <t>Allied Packaging Solutions</t>
  </si>
  <si>
    <t>ACH-EN-EL-0308</t>
  </si>
  <si>
    <t>Ultra Flair 64GB, USB 3.0, Flash Drive, Upto 150MB/s R, Pendrive, Metal, 5Y Warranty (SDCZ73-064G-I35)</t>
  </si>
  <si>
    <t>ACH-MF-CM-0169</t>
  </si>
  <si>
    <t>M-Seal Phataphat Fast Curing Epoxy Compound Putty Sealant Adhesive for Leakage, Bonding, Gap Filling and Repairing - 100 Grams</t>
  </si>
  <si>
    <t>INR 23.305</t>
  </si>
  <si>
    <t>ACH-GN-IT-0052</t>
  </si>
  <si>
    <t>Display Port to HDMI Adapter, 4K 3D Resolution with Surround Sound Audio Support, Male-Female Adapter, Compatible with LED Displays, Laptop, Gaming Console, Projector- Black</t>
  </si>
  <si>
    <t>INR 533.05</t>
  </si>
  <si>
    <t>ACH-MF-CT-0067</t>
  </si>
  <si>
    <t>Leather Hole Punch Set, Rotary Puncher, Multi Hole Sizes Maker tool</t>
  </si>
  <si>
    <t>ACH-GN-IT-0053</t>
  </si>
  <si>
    <t>3530 Thin &amp; Light Laptop, 13th Gen Intel Core i3-1305U/8GB/512GB SSD/15.6" (39.62cm) 120Hz Refresh Rate on a FHD IPS Display/Windows 11 + MSO'21+McAfee 15 Month/Carbon Black/1.62kg</t>
  </si>
  <si>
    <t>INR 28805.08</t>
  </si>
  <si>
    <t>ACH-GN-IT-0054</t>
  </si>
  <si>
    <t>Laptop Bag Sleeve Case Cover Pouch with Handle for Men &amp; Women | 15.6 Inch Laptop with Padded Laptop Compartment | Zipper Closure | Water Repellent Nylon Fabric (Black)</t>
  </si>
  <si>
    <t>ACH-RD-AB-0303</t>
  </si>
  <si>
    <t>100331 - Anti-h Thyroglobulin 2802 SPTN-5</t>
  </si>
  <si>
    <t>INR 20.855</t>
  </si>
  <si>
    <t>ACH-RD-AB-0304</t>
  </si>
  <si>
    <t>100334 - Anti-h Thyroglobulin 2805 SPTN-5</t>
  </si>
  <si>
    <t>ACH-RD-AB-0305</t>
  </si>
  <si>
    <t>100630 - Anti-h CK-MB 7501 SPRN-5</t>
  </si>
  <si>
    <t>INR 10.4275</t>
  </si>
  <si>
    <t>ACH-RD-AB-0306</t>
  </si>
  <si>
    <t>100086 - Anti-h CK-MB 7502 SPRN-5</t>
  </si>
  <si>
    <t>ACH-RD-AB-0307</t>
  </si>
  <si>
    <t>DA3517 - Mouse anti dengue NS-1 capture Antibody</t>
  </si>
  <si>
    <t>INR 16.79</t>
  </si>
  <si>
    <t>ACH-RD-AB-0308</t>
  </si>
  <si>
    <t>DA3518 - Mouse Anti Dengue NS-1 Detection Antibody</t>
  </si>
  <si>
    <t>ACH-RD-CH-1113</t>
  </si>
  <si>
    <t>RP2503 - Recombinant Dengue NS-1</t>
  </si>
  <si>
    <t>INR 25.55</t>
  </si>
  <si>
    <t>ACH-RD-CH-1114</t>
  </si>
  <si>
    <t>RP2528 - Recombinant Dengue Envelop Protein</t>
  </si>
  <si>
    <t>ACH-RD-CH-1115</t>
  </si>
  <si>
    <t>LH with buffer Boditech - South Korea</t>
  </si>
  <si>
    <t>INR 146.40</t>
  </si>
  <si>
    <t>ACH-RD-CH-1116</t>
  </si>
  <si>
    <t>FSH with buffer Boditech - South Korea</t>
  </si>
  <si>
    <t>ACH-RD-KT-0051</t>
  </si>
  <si>
    <t>PURD10005 - Pur-A-Lyzerâ„¢ Midi Dialysis Kit</t>
  </si>
  <si>
    <t>INR 9785.80</t>
  </si>
  <si>
    <t>ACH-RD-AB-0309</t>
  </si>
  <si>
    <t>3F10 - Insulin Monoclonal antibody</t>
  </si>
  <si>
    <t>INR 13.60</t>
  </si>
  <si>
    <t>ACH-EN-ME-0272</t>
  </si>
  <si>
    <t>FIAI-TR-A-002</t>
  </si>
  <si>
    <t>INR 730.00</t>
  </si>
  <si>
    <t>ACH-EN-ME-0273</t>
  </si>
  <si>
    <t>FIAI-TR-D-002</t>
  </si>
  <si>
    <t>INR 1389.00</t>
  </si>
  <si>
    <t>ACH-EN-ME-0274</t>
  </si>
  <si>
    <t>FIAI-VIB-A-002</t>
  </si>
  <si>
    <t>INR 583.00</t>
  </si>
  <si>
    <t>ACH-EN-ME-0275</t>
  </si>
  <si>
    <t>FIAI-DA-D-002</t>
  </si>
  <si>
    <t>INR 478.00</t>
  </si>
  <si>
    <t>ACH-EN-EQ-0126</t>
  </si>
  <si>
    <t>Automatic Coating Dispenser</t>
  </si>
  <si>
    <t>INR 169492.00</t>
  </si>
  <si>
    <t>ACH-MF-CT-0068</t>
  </si>
  <si>
    <t>Aluminium Fixture</t>
  </si>
  <si>
    <t>INR 5000.00</t>
  </si>
  <si>
    <t>ACH-MF-CT-0069</t>
  </si>
  <si>
    <t>FIAI-DA-C-002</t>
  </si>
  <si>
    <t>ACH-MF-CT-0070</t>
  </si>
  <si>
    <t>FIAI-FRM-I-001</t>
  </si>
  <si>
    <t>ACH-GN-HK-0027</t>
  </si>
  <si>
    <t>Paper Cups - 150ml</t>
  </si>
  <si>
    <t>C1</t>
  </si>
  <si>
    <t>Pk</t>
  </si>
  <si>
    <t>ACH-GN-HK-0028</t>
  </si>
  <si>
    <t>Wooden Plates</t>
  </si>
  <si>
    <t>C2</t>
  </si>
  <si>
    <t>ACH-GN-HK-0029</t>
  </si>
  <si>
    <t>Paper Plates</t>
  </si>
  <si>
    <t>C3</t>
  </si>
  <si>
    <t>ACH-GN-HK-0030</t>
  </si>
  <si>
    <t>Biscuits - Goodday</t>
  </si>
  <si>
    <t>C4</t>
  </si>
  <si>
    <t>ACH-GN-HK-0031</t>
  </si>
  <si>
    <t>Biscuits - Monaco</t>
  </si>
  <si>
    <t>C5</t>
  </si>
  <si>
    <t>ACH-GN-HK-0032</t>
  </si>
  <si>
    <t>Biscuits - Krackjack</t>
  </si>
  <si>
    <t>C6</t>
  </si>
  <si>
    <t>ACH-GN-HK-0033</t>
  </si>
  <si>
    <t>Biscuits - Parle G</t>
  </si>
  <si>
    <t>C7</t>
  </si>
  <si>
    <t>ACH-GN-HK-0034</t>
  </si>
  <si>
    <t>Pickle</t>
  </si>
  <si>
    <t>C8</t>
  </si>
  <si>
    <t>ACH-GN-HK-0035</t>
  </si>
  <si>
    <t>Somf</t>
  </si>
  <si>
    <t>C9</t>
  </si>
  <si>
    <t>ACH-GN-HK-0036</t>
  </si>
  <si>
    <t>Water Bottle</t>
  </si>
  <si>
    <t>C12</t>
  </si>
  <si>
    <t>ACH-GN-HK-0037</t>
  </si>
  <si>
    <t>Green Tea - Bags</t>
  </si>
  <si>
    <t>C13</t>
  </si>
  <si>
    <t>ACH-GN-HK-0038</t>
  </si>
  <si>
    <t>Sugar</t>
  </si>
  <si>
    <t>C14</t>
  </si>
  <si>
    <t>ACH-GN-HK-0039</t>
  </si>
  <si>
    <t>Lunch Box</t>
  </si>
  <si>
    <t>C15</t>
  </si>
  <si>
    <t>ACH-GN-HK-0040</t>
  </si>
  <si>
    <t>Tissue Roll - Regular</t>
  </si>
  <si>
    <t>H1</t>
  </si>
  <si>
    <t>ACH-GN-HK-0041</t>
  </si>
  <si>
    <t>Tissue Roll - Kitchen</t>
  </si>
  <si>
    <t>H2</t>
  </si>
  <si>
    <t>ACH-GN-HK-0042</t>
  </si>
  <si>
    <t>Tissue - Napkin</t>
  </si>
  <si>
    <t>H3</t>
  </si>
  <si>
    <t>ACH-GN-HK-0043</t>
  </si>
  <si>
    <t>Hit - Spray</t>
  </si>
  <si>
    <t>H4</t>
  </si>
  <si>
    <t>ACH-GN-HK-0044</t>
  </si>
  <si>
    <t>Mop - Refill</t>
  </si>
  <si>
    <t>H5</t>
  </si>
  <si>
    <t>ACH-GN-HK-0045</t>
  </si>
  <si>
    <t>Scrub Pad</t>
  </si>
  <si>
    <t>H6</t>
  </si>
  <si>
    <t>ACH-GN-HK-0046</t>
  </si>
  <si>
    <t>Scrubber Steel</t>
  </si>
  <si>
    <t>H7</t>
  </si>
  <si>
    <t>ACH-GN-HK-0047</t>
  </si>
  <si>
    <t>Towel - Checks</t>
  </si>
  <si>
    <t>H8</t>
  </si>
  <si>
    <t>ACH-GN-HK-0048</t>
  </si>
  <si>
    <t>Broom Stick - Hard</t>
  </si>
  <si>
    <t>H9</t>
  </si>
  <si>
    <t>ACH-GN-HK-0049</t>
  </si>
  <si>
    <t>Dettol - Antiseptic</t>
  </si>
  <si>
    <t>H10</t>
  </si>
  <si>
    <t>ACH-GN-HK-0050</t>
  </si>
  <si>
    <t>Brush - Bottle Cleaning</t>
  </si>
  <si>
    <t>H11</t>
  </si>
  <si>
    <t>ACH-GN-HK-0051</t>
  </si>
  <si>
    <t>Brush - Toilet Cleaning</t>
  </si>
  <si>
    <t>H12</t>
  </si>
  <si>
    <t>ACH-GN-HK-0052</t>
  </si>
  <si>
    <t>Harpic</t>
  </si>
  <si>
    <t>H13</t>
  </si>
  <si>
    <t>ACH-GN-HK-0053</t>
  </si>
  <si>
    <t>Spray - Room Fershner</t>
  </si>
  <si>
    <t>H14</t>
  </si>
  <si>
    <t>ACH-GN-HK-0054</t>
  </si>
  <si>
    <t>Washing Powder Cloth - Wheel</t>
  </si>
  <si>
    <t>H15</t>
  </si>
  <si>
    <t>ACH-GN-HK-0055</t>
  </si>
  <si>
    <t>Lizol</t>
  </si>
  <si>
    <t>H16</t>
  </si>
  <si>
    <t>ACH-GN-HK-0056</t>
  </si>
  <si>
    <t>Cake - Urinals</t>
  </si>
  <si>
    <t>H17</t>
  </si>
  <si>
    <t>ACH-GN-HK-0057</t>
  </si>
  <si>
    <t>Vinegar</t>
  </si>
  <si>
    <t>H18</t>
  </si>
  <si>
    <t>ACH-GN-HK-0058</t>
  </si>
  <si>
    <t>Bio-D Plate</t>
  </si>
  <si>
    <t>H19</t>
  </si>
  <si>
    <t>ACH-GN-HK-0059</t>
  </si>
  <si>
    <t>Prill - Liquid</t>
  </si>
  <si>
    <t>H20</t>
  </si>
  <si>
    <t>ACH-GN-HK-0060</t>
  </si>
  <si>
    <t>Garbage Bag - E Large</t>
  </si>
  <si>
    <t>H21</t>
  </si>
  <si>
    <t>ACH-GN-HK-0061</t>
  </si>
  <si>
    <t>Garbage Bag - Medium</t>
  </si>
  <si>
    <t>H22</t>
  </si>
  <si>
    <t>ACH-GN-HK-0062</t>
  </si>
  <si>
    <t>Garbage Bag - Small</t>
  </si>
  <si>
    <t>H23</t>
  </si>
  <si>
    <t>ACH-GN-HK-0063</t>
  </si>
  <si>
    <t>Broom Stick - Soft</t>
  </si>
  <si>
    <t>H24</t>
  </si>
  <si>
    <t>ACH-GN-HK-0064</t>
  </si>
  <si>
    <t>Floor Cleaner</t>
  </si>
  <si>
    <t>H25</t>
  </si>
  <si>
    <t>ACH-GN-HK-0065</t>
  </si>
  <si>
    <t>Aer Powder Pocket</t>
  </si>
  <si>
    <t>H26</t>
  </si>
  <si>
    <t>ACH-RD-CM-0226</t>
  </si>
  <si>
    <t>T500020 - Micro Centrifuge Tube 2mL Pack of 500</t>
  </si>
  <si>
    <t>INR 1.434</t>
  </si>
  <si>
    <t>ACH-RD-AB-0310</t>
  </si>
  <si>
    <t>100026 - Anti-h TSH 5404 SPTN-5</t>
  </si>
  <si>
    <t>INR 10.75</t>
  </si>
  <si>
    <t>ACH-RD-AB-0311</t>
  </si>
  <si>
    <t>100819 - Anti-h TSH 5405 SPTN-5</t>
  </si>
  <si>
    <t>ACH-RD-AB-0312</t>
  </si>
  <si>
    <t>100033 - Anti-h TSH 5408 SPTN-1</t>
  </si>
  <si>
    <t>ACH-RD-AB-0313</t>
  </si>
  <si>
    <t>100080 - Anti-h Hemoglobin 7204 SP-5</t>
  </si>
  <si>
    <t>ACH-RD-AB-0314</t>
  </si>
  <si>
    <t>100301 - Anti-h HbA1c 2403 SPTN-5</t>
  </si>
  <si>
    <t>ACH-RD-AB-0315</t>
  </si>
  <si>
    <t>700013 - Anti-h Insulin 9350</t>
  </si>
  <si>
    <t>INR 12.80</t>
  </si>
  <si>
    <t>ACH-RD-AB-0316</t>
  </si>
  <si>
    <t>700014 - Anti-h Insulin 9351</t>
  </si>
  <si>
    <t>ACH-RD-CH-1117</t>
  </si>
  <si>
    <t>H0267 - Hemoglobin A0, Ferrous Stabilized human lyophilized powder</t>
  </si>
  <si>
    <t>INR 1.443</t>
  </si>
  <si>
    <t>ACH-RD-AB-0317</t>
  </si>
  <si>
    <t>AGDENR11 - Dengue-I NS1 Antigen</t>
  </si>
  <si>
    <t>ACH-RD-AB-0318</t>
  </si>
  <si>
    <t>AGDENR21 - Dengue-II NS1 Antigen</t>
  </si>
  <si>
    <t>ACH-RD-AB-0319</t>
  </si>
  <si>
    <t>AGDENR31 - Dengue-III NS1 Antigen</t>
  </si>
  <si>
    <t>ACH-RD-AB-0320</t>
  </si>
  <si>
    <t>AGDENR41 - Dengue-IV NS1 Antigen</t>
  </si>
  <si>
    <t>ACH-RD-AB-0321</t>
  </si>
  <si>
    <t>ABDENM01 - Anti Dengue NS1 Mab</t>
  </si>
  <si>
    <t>ACH-RD-AB-0322</t>
  </si>
  <si>
    <t>ABDENM02 - Anti Dengue NS1 Mab</t>
  </si>
  <si>
    <t>ACH-RD-AB-0323</t>
  </si>
  <si>
    <t>ABDENM03 - Anti Dengue NS1 Mab</t>
  </si>
  <si>
    <t>ACH-RD-AB-0324</t>
  </si>
  <si>
    <t>ABDENM04 - Anti Dengue NS1 Mab</t>
  </si>
  <si>
    <t>ACH-RD-AB-0325</t>
  </si>
  <si>
    <t>2I1 RC3A6 Anti-Insulin</t>
  </si>
  <si>
    <t>INR 6.20</t>
  </si>
  <si>
    <t>ACH-RD-AB-0326</t>
  </si>
  <si>
    <t>2I1 RC8E2 Anti-Insulin</t>
  </si>
  <si>
    <t>ACH-RD-AB-0327</t>
  </si>
  <si>
    <t>2I1 7F8 Anti-Insulin, human</t>
  </si>
  <si>
    <t>ACH-RD-AB-0328</t>
  </si>
  <si>
    <t>2I1 D4B8cc Anti-Insulin, human</t>
  </si>
  <si>
    <t>ACH-RD-AB-0329</t>
  </si>
  <si>
    <t>209-005-088 - AffiniPure Mouse Anti-Human IgG (H+L) (min X Bov, Hrs, Ms Sr Prot</t>
  </si>
  <si>
    <t>INR 7.9688</t>
  </si>
  <si>
    <t>ACH-RD-AB-0330</t>
  </si>
  <si>
    <t>109-005-003 - AffiniPure Goat Anti-Human IgG (H+L)</t>
  </si>
  <si>
    <t>INR 4.52025</t>
  </si>
  <si>
    <t>ACH-RD-AB-0331</t>
  </si>
  <si>
    <t>109-005-011 - AffiniPure Goat Anti-Human Serum IgA, Î± chain specific</t>
  </si>
  <si>
    <t>INR 5.5325</t>
  </si>
  <si>
    <t>ACH-RD-AB-0332</t>
  </si>
  <si>
    <t>109-006-011 - AffiniPureÂ® F(ab')â‚‚ Fragment Goat Anti-Human Serum IgA, Î± chain specific</t>
  </si>
  <si>
    <t>INR 12.838</t>
  </si>
  <si>
    <t>ACH-RD-AB-0333</t>
  </si>
  <si>
    <t>109-005-043 - AffiniPure Goat Anti-Human IgM, Fc5Î¼ fragment specific</t>
  </si>
  <si>
    <t>INR 5.9766</t>
  </si>
  <si>
    <t>ACH-RD-AB-0334</t>
  </si>
  <si>
    <t>109-005-129 -AffiniPure Goat Anti-Human IgM, Fc5Î¼ fragment specific</t>
  </si>
  <si>
    <t>INR 6.79</t>
  </si>
  <si>
    <t>ACH-RD-CH-1118</t>
  </si>
  <si>
    <t>Atto 532 NHS ester</t>
  </si>
  <si>
    <t>INR 32.81892</t>
  </si>
  <si>
    <t>ACH-RD-CH-1119</t>
  </si>
  <si>
    <t>Atto Rho6G NHS este</t>
  </si>
  <si>
    <t>INR 29.79406</t>
  </si>
  <si>
    <t>ACH-RD-CH-1120</t>
  </si>
  <si>
    <t>Atto 647N NHS ester</t>
  </si>
  <si>
    <t>INR 40.90128</t>
  </si>
  <si>
    <t>ACH-RD-CH-1121</t>
  </si>
  <si>
    <t>Atto 633 NHS ester</t>
  </si>
  <si>
    <t>INR 34.5994</t>
  </si>
  <si>
    <t>ACH-RD-CH-1122</t>
  </si>
  <si>
    <t>11/212 Biosynthetic Human Insulin (2nd WHO international Standard)</t>
  </si>
  <si>
    <t>INR 18630.00</t>
  </si>
  <si>
    <t>ACH-MF-CM-0170</t>
  </si>
  <si>
    <t>O-Ring Rubber Set for ISHAK TS4NXT</t>
  </si>
  <si>
    <t>ACH-MF-PM-0022</t>
  </si>
  <si>
    <t>Copper Foil Tape 50mm x 1.8m | EMI Shielding &amp; Conductive Adhesive for Guitar Electronics, DIY Projects, and Audio Repairs (Gold)</t>
  </si>
  <si>
    <t>INR 579.11</t>
  </si>
  <si>
    <t>ACH-EN-EL-0309</t>
  </si>
  <si>
    <t>Anti Mosquito Racquet Rechargeable Insect Killer Bat with LED Light</t>
  </si>
  <si>
    <t>ACH-MF-CM-0171</t>
  </si>
  <si>
    <t>A4 Transparent Mylar Sheet (0.1mm Thickness) for Stencil Making gyro Cut Craft Blank Template Material</t>
  </si>
  <si>
    <t>INR 19.915</t>
  </si>
  <si>
    <t>ACH-MF-CM-0172</t>
  </si>
  <si>
    <t>Air Freshener Spray</t>
  </si>
  <si>
    <t>INR 105.72</t>
  </si>
  <si>
    <t>ACH-RD-CM-0227</t>
  </si>
  <si>
    <t>0030120248 - Eppendorf Safe-Lock Tubes, 2.0 mL, PCR clean, amber (light protection)</t>
  </si>
  <si>
    <t>INR 9.138</t>
  </si>
  <si>
    <t>ACH-MF-JG-0014</t>
  </si>
  <si>
    <t>Base_Plate_V12 Fixture</t>
  </si>
  <si>
    <t>INR 11100.00</t>
  </si>
  <si>
    <t>ACH-MF-CM-0173</t>
  </si>
  <si>
    <t>SN63/PB37 - Hamming Solder Paste</t>
  </si>
  <si>
    <t>INR 1750.00</t>
  </si>
  <si>
    <t>ACH-EN-OP-0031</t>
  </si>
  <si>
    <t>DM550 - Filter - size:25.2*35.6*1.1mm</t>
  </si>
  <si>
    <t>INR 7118.75</t>
  </si>
  <si>
    <t>ACH-EN-OP-0032</t>
  </si>
  <si>
    <t>BP565 - Filter Diameter: 11Â±0.1mm</t>
  </si>
  <si>
    <t>INR 2651.04</t>
  </si>
  <si>
    <t>ACH-EN-OP-0033</t>
  </si>
  <si>
    <t>BP565 - Filter - Diameter: 25Â±0.1mm</t>
  </si>
  <si>
    <t>INR 10080.00</t>
  </si>
  <si>
    <t>ACH-RD-CH-1123</t>
  </si>
  <si>
    <t>BP530 - Filter Diameter: 9Â±0.1mm</t>
  </si>
  <si>
    <t>ACH-EN-OP-0034</t>
  </si>
  <si>
    <t>BP530 - Diameter: 25Â±0.1mm</t>
  </si>
  <si>
    <t>ACH-EN-OP-0035</t>
  </si>
  <si>
    <t>BP660 - Filter Diameter: 25Â±0.1mm</t>
  </si>
  <si>
    <t>ACH-EN-OP-0036</t>
  </si>
  <si>
    <t>BP660 - Filter Diameter: 11Â±0.1mm</t>
  </si>
  <si>
    <t>INR 1176.00</t>
  </si>
  <si>
    <t>ACH-RD-CH-1124</t>
  </si>
  <si>
    <t>10066 - NHS-PEG-NHS - HO023023-2K</t>
  </si>
  <si>
    <t>Biopharma PEG Scientific Inc</t>
  </si>
  <si>
    <t>ACH-RD-CH-1125</t>
  </si>
  <si>
    <t>Estradiol (E2) Rapid Quantitative</t>
  </si>
  <si>
    <t>INR 316.00</t>
  </si>
  <si>
    <t>ACH-EN-ME-0276</t>
  </si>
  <si>
    <t>Type C Iphone Charger Adapter with Type C to C Cable</t>
  </si>
  <si>
    <t>INR 511.00</t>
  </si>
  <si>
    <t>ACH-EN-ME-0277</t>
  </si>
  <si>
    <t>TH-1 - Tungsten Halogen light source, 380nm â€“ 2000nm</t>
  </si>
  <si>
    <t>INR 40000.00</t>
  </si>
  <si>
    <t>Marutek</t>
  </si>
  <si>
    <t>ACH-EN-EQ-0127</t>
  </si>
  <si>
    <t>100006384 - "VACUUM GAUGE MODULE,0.1MTORRâ€_x0090_1000TORR/ 1â€_x0090_ 8VDC LOG</t>
  </si>
  <si>
    <t>INR 204260.00</t>
  </si>
  <si>
    <t>ACH-RD-CH-1126</t>
  </si>
  <si>
    <t>Sticker ACHIRA - Cystatin C</t>
  </si>
  <si>
    <t>ACH-RD-CH-1127</t>
  </si>
  <si>
    <t>Barcodes - Cystatin C</t>
  </si>
  <si>
    <t>INR 2.21</t>
  </si>
  <si>
    <t>ACH-RD-CH-1128</t>
  </si>
  <si>
    <t>Barcodes - CRP</t>
  </si>
  <si>
    <t>ACH-RD-CH-1129</t>
  </si>
  <si>
    <t>671460 - Propanoic acid hydrazide</t>
  </si>
  <si>
    <t>INR 3.1508</t>
  </si>
  <si>
    <t>ACH-RD-CH-1130</t>
  </si>
  <si>
    <t>S2201 - Semicarbazide hydrochloride</t>
  </si>
  <si>
    <t>INR 0.023166</t>
  </si>
  <si>
    <t>ACH-MF-CT-0071</t>
  </si>
  <si>
    <t>Cartridge_LE_Quo_13.08.25</t>
  </si>
  <si>
    <t>ACH-MF-CT-0072</t>
  </si>
  <si>
    <t>Well_LE_Quo_13.08.25</t>
  </si>
  <si>
    <t>ACH-MF-CT-0073</t>
  </si>
  <si>
    <t>Dome_LE_Quo_13.08.25</t>
  </si>
  <si>
    <t>ACH-RD-CH-1131</t>
  </si>
  <si>
    <t>Typhoid IgG/IgM Rapid Tests</t>
  </si>
  <si>
    <t>Quicklab Services Private Limited</t>
  </si>
  <si>
    <t>ACH-RD-CH-1132</t>
  </si>
  <si>
    <t>I Chroma HbA1c FIA Tests</t>
  </si>
  <si>
    <t>INR 148.00</t>
  </si>
  <si>
    <t>ACH-RD-KT-0052</t>
  </si>
  <si>
    <t>Finecare HbA1c FIA Tests</t>
  </si>
  <si>
    <t>ACH-RD-CH-1133</t>
  </si>
  <si>
    <t>LCDF010058X300X - mdi Membrane Laminate -Type: CNPF-SN12-L2-P25, Size: 58x300mm, Pore Size: 10Âµm, NC-25mm</t>
  </si>
  <si>
    <t>ACH-RD-CH-1134</t>
  </si>
  <si>
    <t>LNDFXXX058X300X - NC Membrane Laminate Type: 150CNPH-N-SS40-L2-P25, Size 58x300mm with 25mm NC</t>
  </si>
  <si>
    <t>INR 145.00</t>
  </si>
  <si>
    <t>ACH-MF-CM-0174</t>
  </si>
  <si>
    <t>Rack for Micro Tubes for Storage of 0.5ml &amp; 1.5ml/2.0ml MIcro tube Any color</t>
  </si>
  <si>
    <t>INR 282.84</t>
  </si>
  <si>
    <t>ACH-MF-PM-0023</t>
  </si>
  <si>
    <t>X2 FS Mechanical Gaming Keyboard | 3â€‘Pin Replaceable Clicky Blue Switches, Dynamic Backlighting, All Keys Antiâ€‘Ghosting, Volume Knob, Copilot, Xbox Gamebar, Screenshot &amp; More (Black)</t>
  </si>
  <si>
    <t>ACH-RD-CH-1135</t>
  </si>
  <si>
    <t>FAP-iE010-1 - Malaria Pv-LDH Ag</t>
  </si>
  <si>
    <t>INR 71.20</t>
  </si>
  <si>
    <t>ACH-RD-CH-1136</t>
  </si>
  <si>
    <t>FAB-T027-1A1 - Hb Ab - Hemoglobin</t>
  </si>
  <si>
    <t>INR 7.12</t>
  </si>
  <si>
    <t>ACH-RD-CH-1137</t>
  </si>
  <si>
    <t>FAB-T027-2A6- Hb Ab - Hemoglobin</t>
  </si>
  <si>
    <t>ACH-EN-ME-0278</t>
  </si>
  <si>
    <t>ER12 - Cage Assembly Rod, 12" Long, Ã˜6 mm</t>
  </si>
  <si>
    <t>INR 1803.00</t>
  </si>
  <si>
    <t>ACH-EN-ME-0279</t>
  </si>
  <si>
    <t>MS12B/M - 300 mm x 300 mm x 9.5 mm Mini-Series Aluminum Breadboard, M3 Taps on 12.5 mm Centers</t>
  </si>
  <si>
    <t>INR 30389.00</t>
  </si>
  <si>
    <t>ACH-MF-CM-0175</t>
  </si>
  <si>
    <t>CT011 - Filter - 16-80um</t>
  </si>
  <si>
    <t>INR 0.445</t>
  </si>
  <si>
    <t>ACH-RD-AB-0335</t>
  </si>
  <si>
    <t>100079 - Anti-h Hemoglobin 7202 SPR-5</t>
  </si>
  <si>
    <t>INR 15.40</t>
  </si>
  <si>
    <t>ACH-RD-CH-1138</t>
  </si>
  <si>
    <t>GPDx-DENV-Sero4T-v1 - GenepathDx Dengue serotyping RT PCR reagents</t>
  </si>
  <si>
    <t>INR 726.00</t>
  </si>
  <si>
    <t>ACH-RD-CH-1139</t>
  </si>
  <si>
    <t>GPDX-Respi RFC-5plx - GenePath Dx RespiRFC Pentaplex quantitative RUO reagents</t>
  </si>
  <si>
    <t>ACH-RD-KT-0053</t>
  </si>
  <si>
    <t>PROGESTERONE Kit - Ichroma</t>
  </si>
  <si>
    <t>ACH-RD-KT-0054</t>
  </si>
  <si>
    <t>FERRITIN Kit Kit - Ichroma</t>
  </si>
  <si>
    <t>INR 175.00</t>
  </si>
  <si>
    <t>ACH-RD-CH-1140</t>
  </si>
  <si>
    <t>412422 - PAMAM dendrimer, ethylenediamine core, generation 3.0 solution</t>
  </si>
  <si>
    <t>INR 6.896</t>
  </si>
  <si>
    <t>ACH-MF-CM-0176</t>
  </si>
  <si>
    <t>30510001 - CIJ Makeup CPP001MU 700 ml</t>
  </si>
  <si>
    <t>INR 2194.00</t>
  </si>
  <si>
    <t>ACH-MF-CM-0177</t>
  </si>
  <si>
    <t>20561 80 002 - GLASS BOTTLES - EASY LYO 30 ML</t>
  </si>
  <si>
    <t>INR 116.95</t>
  </si>
  <si>
    <t>ACH-MF-CM-0178</t>
  </si>
  <si>
    <t>20561 91 002 - GLASS BOTTLES - EASY LYO 30 ML</t>
  </si>
  <si>
    <t>ACH-EN-SP-0051</t>
  </si>
  <si>
    <t>One Time Stamping Charges</t>
  </si>
  <si>
    <t>ACH-RD-CH-1141</t>
  </si>
  <si>
    <t>CRP with buffer box</t>
  </si>
  <si>
    <t>ACH-RD-CH-1142</t>
  </si>
  <si>
    <t>TN-I PLUS with buffer box</t>
  </si>
  <si>
    <t>INR 172.80</t>
  </si>
  <si>
    <t>ACH-RD-CM-0228</t>
  </si>
  <si>
    <t>P10238W - Screw Cap Tube, Coloured, Self-Standing, PP, 2.0 mL, Sterile, Non-printed, non -assembled with EPDM ring Cap</t>
  </si>
  <si>
    <t>INR 5.8216</t>
  </si>
  <si>
    <t>ACH-EN-SP-0052</t>
  </si>
  <si>
    <t>Services - Service Agreement dt. 21st Jan 2025</t>
  </si>
  <si>
    <t>INR 4000000.00</t>
  </si>
  <si>
    <t>Avay Biosciences Pvt Ltd</t>
  </si>
  <si>
    <t>ACH-RD-AB-0336</t>
  </si>
  <si>
    <t>2TG12cc 5E6cc Anti-Thyroglobulin</t>
  </si>
  <si>
    <t>INR 10.914</t>
  </si>
  <si>
    <t>ACH-RD-AB-0337</t>
  </si>
  <si>
    <t>2TG12cc 5F9cc Anti-Thyroglobulin</t>
  </si>
  <si>
    <t>ACH-RD-AB-0338</t>
  </si>
  <si>
    <t>E01325M - MAb to Thyroglobulin Monoclonal,Purified</t>
  </si>
  <si>
    <t>INR 27.795</t>
  </si>
  <si>
    <t>ACH-RD-AB-0339</t>
  </si>
  <si>
    <t>E01326M - MAb to Thyroglobulin Monoclonal,Purified</t>
  </si>
  <si>
    <t>ACH-RD-CH-1143</t>
  </si>
  <si>
    <t>FAB-H003-7E2 - cTnI Ab</t>
  </si>
  <si>
    <t>ACH-RD-CH-1144</t>
  </si>
  <si>
    <t>FAB-H003-2C7 - cTnI Ab</t>
  </si>
  <si>
    <t>ACH-RD-CH-1145</t>
  </si>
  <si>
    <t>FAP-HE010 - CK-MB Ag</t>
  </si>
  <si>
    <t>INR 134.40</t>
  </si>
  <si>
    <t>ACH-RD-KT-0055</t>
  </si>
  <si>
    <t>FA370 A - Human Folate Elisa Kit 96 Wells</t>
  </si>
  <si>
    <t>INR 13000.00</t>
  </si>
  <si>
    <t>SK Biogenetic Healthcare</t>
  </si>
  <si>
    <t>ACH-RD-KT-0056</t>
  </si>
  <si>
    <t>TG070T - Human Thyrogloubin Ab Elisa Kit 96 Wells</t>
  </si>
  <si>
    <t>ACH-RD-KT-0057</t>
  </si>
  <si>
    <t>VB369B - Human Vitamin B12 Elisa Kit 96 Wells</t>
  </si>
  <si>
    <t>ACH-RD-KT-0058</t>
  </si>
  <si>
    <t>EIA5925 - Human sTfR Elisa Kit 96 Wells</t>
  </si>
  <si>
    <t>ACH-RD-KT-0059</t>
  </si>
  <si>
    <t>E1206Hu - Human Retinol Binding Protein 4 RBP4 - Elisa Kit 96 Wells</t>
  </si>
  <si>
    <t>INR 30000.00</t>
  </si>
  <si>
    <t>ACH-RD-CH-1146</t>
  </si>
  <si>
    <t>SRL 87272 - Potassium Carbonate anhydrous extrapure, 99%</t>
  </si>
  <si>
    <t>INR 0.000586</t>
  </si>
  <si>
    <t>ACH-RD-CH-1147</t>
  </si>
  <si>
    <t>SRL 24794 - Potassium Bicarbonate extrapure, 99%</t>
  </si>
  <si>
    <t>INR 0.000646</t>
  </si>
  <si>
    <t>ACH-RD-CH-1148</t>
  </si>
  <si>
    <t>Vidas Vitamin B12 Total Test</t>
  </si>
  <si>
    <t>ACH-RD-CH-1149</t>
  </si>
  <si>
    <t>Vidas AntiTg Test</t>
  </si>
  <si>
    <t>INR 262.50</t>
  </si>
  <si>
    <t>ACH-RD-CH-1150</t>
  </si>
  <si>
    <t>Vidas Progesterone Test</t>
  </si>
  <si>
    <t>INR 141.1667</t>
  </si>
  <si>
    <t>ACH-RD-CH-1151</t>
  </si>
  <si>
    <t>907227- Poly(ethylene glycol) diacrylate</t>
  </si>
  <si>
    <t>INR 7.3375</t>
  </si>
  <si>
    <t>ACH-EN-SP-0053</t>
  </si>
  <si>
    <t>New Pump installation</t>
  </si>
  <si>
    <t>INR 42100.00</t>
  </si>
  <si>
    <t>LNR Enterprices</t>
  </si>
  <si>
    <t>ACH-MF-CT-0074</t>
  </si>
  <si>
    <t>LBH_2</t>
  </si>
  <si>
    <t>INR 7500.00</t>
  </si>
  <si>
    <t>ACH-MF-CT-0075</t>
  </si>
  <si>
    <t>LBH_2H</t>
  </si>
  <si>
    <t>ACH-MF-LB-0011</t>
  </si>
  <si>
    <t>200 cm Self Adhesive Black Board Wall Sticker Blackboard with Chalks Chalk Black Board Wall Sticker for Teaching in Home Office School Children Study (PVC, 45 X 200 cm) Chalkboard Sticker</t>
  </si>
  <si>
    <t>INR 224.00</t>
  </si>
  <si>
    <t>ACH-MF-CT-0076</t>
  </si>
  <si>
    <t>Electric Rotating Display Stand, USB Charge 360 Degree Rotating Turntable, 20CM /Load 8KG, Multi-Functional Rotary Table for Photography Products Shows, Jewelry, Cake (Without Battery)</t>
  </si>
  <si>
    <t>INR 1438.98</t>
  </si>
  <si>
    <t>ACH-RD-CH-1152</t>
  </si>
  <si>
    <t>10066 - NHS-PEG-NHS - HO023023-200</t>
  </si>
  <si>
    <t>INR 15.30</t>
  </si>
  <si>
    <t>ACH-RD-CH-1153</t>
  </si>
  <si>
    <t>SRE0010 - 5-Methyltetrahydrofolic acid disodium salt</t>
  </si>
  <si>
    <t>INR 1.25137</t>
  </si>
  <si>
    <t>ACH-RD-CH-1154</t>
  </si>
  <si>
    <t>QR Code - Cystatin C</t>
  </si>
  <si>
    <t>INR 107.36</t>
  </si>
  <si>
    <t>Printo Document Services Pvt. Ltd</t>
  </si>
  <si>
    <t>ACH-EN-ME-0280</t>
  </si>
  <si>
    <t>GS_UL_CE_BISCertified 5V Wall Charger_Part1_2 of LFA Charger</t>
  </si>
  <si>
    <t>INR 64.60</t>
  </si>
  <si>
    <t>ACH-EN-ME-0281</t>
  </si>
  <si>
    <t>Android Type_C Charging Data Cable_Part2_2 of LFA Charger</t>
  </si>
  <si>
    <t>INR 25.80</t>
  </si>
  <si>
    <t>ACH-RD-CH-1155</t>
  </si>
  <si>
    <t>HC-102 - AFSC controls</t>
  </si>
  <si>
    <t>INR 32817.86</t>
  </si>
  <si>
    <t>Analytical Control Systems, Inc.</t>
  </si>
  <si>
    <t>ACH-RD-CH-1156</t>
  </si>
  <si>
    <t>HC-111 - A2 Normal</t>
  </si>
  <si>
    <t>INR 32718.18</t>
  </si>
  <si>
    <t>ACH-RD-AB-0340</t>
  </si>
  <si>
    <t>100129 - Anti-h cTnI 9701 SPRN-5</t>
  </si>
  <si>
    <t>INR 10.2125</t>
  </si>
  <si>
    <t>ACH-RD-AB-0341</t>
  </si>
  <si>
    <t>100125 - Anti-h cTnI 9705 SPTN-1</t>
  </si>
  <si>
    <t>ACH-RD-AB-0342</t>
  </si>
  <si>
    <t>100181 - Anti-h cTnI 9703 SPTN-5</t>
  </si>
  <si>
    <t>ACH-RD-AB-0343</t>
  </si>
  <si>
    <t>100180 - Anti-h cTnI 9707 SPTN-5</t>
  </si>
  <si>
    <t>ACH-RD-AB-0344</t>
  </si>
  <si>
    <t>700050 - Anti-h cTnI RC9750 SPTN-5</t>
  </si>
  <si>
    <t>INR 17.024</t>
  </si>
  <si>
    <t>ACH-RD-AB-0345</t>
  </si>
  <si>
    <t>HM418 - Influenza A Virus Antibody</t>
  </si>
  <si>
    <t>INR 14.0605</t>
  </si>
  <si>
    <t>ACH-RD-AB-0346</t>
  </si>
  <si>
    <t>FK-0028 - Rabbit Anti-BSA Ab</t>
  </si>
  <si>
    <t>INR 2.225</t>
  </si>
  <si>
    <t>ACH-RD-CH-1157</t>
  </si>
  <si>
    <t>800041615 - 5-FAM Cysteamine</t>
  </si>
  <si>
    <t>INR 2.592</t>
  </si>
  <si>
    <t>ACH-EN-ME-0282</t>
  </si>
  <si>
    <t>9800-SUC-200-300 - ESD foil</t>
  </si>
  <si>
    <t>INR 2980.00</t>
  </si>
  <si>
    <t>Holland Shielding Systems B.V.</t>
  </si>
  <si>
    <t>ACH-MF-CM-0179</t>
  </si>
  <si>
    <t>T941196 - Micro Test Plate - Flat Bottom</t>
  </si>
  <si>
    <t>INR 53.20</t>
  </si>
  <si>
    <t>ACH-RD-CM-0229</t>
  </si>
  <si>
    <t>T523041 - White Storage Vial 1mL</t>
  </si>
  <si>
    <t>INR 3.80</t>
  </si>
  <si>
    <t>ACH-EN-EQ-0128</t>
  </si>
  <si>
    <t>9019326 - Belt, toothed, src, detector optics, RG6</t>
  </si>
  <si>
    <t>INR 12600.00</t>
  </si>
  <si>
    <t>Qiagen India Pvt. Ltd.</t>
  </si>
  <si>
    <t>ACH-EN-EQ-0129</t>
  </si>
  <si>
    <t>9242028 - RGQ, Repair Fee</t>
  </si>
  <si>
    <t>INR 61730.00</t>
  </si>
  <si>
    <t>ACH-MF-CT-0077</t>
  </si>
  <si>
    <t>USW_Top Plate Parts</t>
  </si>
  <si>
    <t>INR 36.00</t>
  </si>
  <si>
    <t>ACH-MF-CT-0078</t>
  </si>
  <si>
    <t>SS 316 Bolt</t>
  </si>
  <si>
    <t>ACH-MF-CT-0079</t>
  </si>
  <si>
    <t>Cartridge_LE_Quo_13.09.25</t>
  </si>
  <si>
    <t>ACH-MF-CT-0080</t>
  </si>
  <si>
    <t>Well_LE_Quo_13.09.25</t>
  </si>
  <si>
    <t>ACH-MF-CT-0081</t>
  </si>
  <si>
    <t>Dome_LE_Quo_13.09.25</t>
  </si>
  <si>
    <t>ACH-MF-CT-0082</t>
  </si>
  <si>
    <t>Retainer_LE_13.09.25</t>
  </si>
  <si>
    <t>ACH-EN-ME-0283</t>
  </si>
  <si>
    <t>Assembly^GP_AllCATPart - Supply of 3D Printed Parts</t>
  </si>
  <si>
    <t>INR 3300.00</t>
  </si>
  <si>
    <t>ACH-EN-ME-0284</t>
  </si>
  <si>
    <t>Nozzle^GP - Supply of 3D Printed Parts</t>
  </si>
  <si>
    <t>ACH-EN-ME-0285</t>
  </si>
  <si>
    <t>MHolder^GP - Supply of 3D Printed Parts</t>
  </si>
  <si>
    <t>ACH-EN-ME-0286</t>
  </si>
  <si>
    <t>ExtAdaptor^GP - Supply of 3D Printed Parts</t>
  </si>
  <si>
    <t>ACH-EN-ME-0287</t>
  </si>
  <si>
    <t>TShaft^GP - Supply of 3D Printed Parts</t>
  </si>
  <si>
    <t>ACH-RD-AB-0347</t>
  </si>
  <si>
    <t>V1331 - Anti-Influenza A virus (NP)</t>
  </si>
  <si>
    <t>INR 39.995</t>
  </si>
  <si>
    <t>ACH-RD-CH-1158</t>
  </si>
  <si>
    <t>LA419L - Folate Binding Protein, Native</t>
  </si>
  <si>
    <t>INR 69.685</t>
  </si>
  <si>
    <t>ACH-RD-CH-1159</t>
  </si>
  <si>
    <t>M6035 - 4-(N-Maleimidomethyl)cyclohexane-1-carboxylic acid 3-sulfo-N-hydroxysuccinimide ester sodium salt</t>
  </si>
  <si>
    <t>INR 1.290133</t>
  </si>
  <si>
    <t>ACH-EN-EL-0310</t>
  </si>
  <si>
    <t>NUCLEO-H753ZI -</t>
  </si>
  <si>
    <t>INR 2463.13</t>
  </si>
  <si>
    <t>ACH-EN-EL-0311</t>
  </si>
  <si>
    <t>EC-2995 - DRV8825 Stepper Motor Driver Module</t>
  </si>
  <si>
    <t>INR 91.00</t>
  </si>
  <si>
    <t>ACH-EN-EL-0312</t>
  </si>
  <si>
    <t>EC-5122 - Raspberry Pi Pico (Latest &amp; original)</t>
  </si>
  <si>
    <t>ACH-EN-ME-0288</t>
  </si>
  <si>
    <t>Germicidal Disinfection UVC Light Unit; 16W UVGI; All-In-One Compact Unit; Plug and Play Model GUV</t>
  </si>
  <si>
    <t>INR 1857.14</t>
  </si>
  <si>
    <t>ACH-GN-IT-0055</t>
  </si>
  <si>
    <t>HDMI Splitter 1 in 2 Out with Power Adapter | 4K x 2K UHD 3D HDMI Switch Box | Dual Monitor HDMI Splitter for TV, PC, Laptop, Fire Stick, PS4, PS5, Xbox | Full HD 1080p Support-</t>
  </si>
  <si>
    <t>INR 568.00</t>
  </si>
  <si>
    <t>ACH-RD-CH-1160</t>
  </si>
  <si>
    <t>G9885 - Alpha1-Acid Glycoprotien from Human &amp;</t>
  </si>
  <si>
    <t>INR 2.21112</t>
  </si>
  <si>
    <t>ACH-RD-AB-0348</t>
  </si>
  <si>
    <t>A5566 - Monoclonal Anti-Human A1-Acid</t>
  </si>
  <si>
    <t>INR 12.5652</t>
  </si>
  <si>
    <t>ACH-RD-CH-1161</t>
  </si>
  <si>
    <t>FAP-TN027 - Hemoglobin - Hb Ag</t>
  </si>
  <si>
    <t>ACH-RD-AB-0349</t>
  </si>
  <si>
    <t>E-AB-1043 - Streptavidin(peroxidase/HRP conjugated)</t>
  </si>
  <si>
    <t>INR 13.00</t>
  </si>
  <si>
    <t>ACH-RD-FL-0056</t>
  </si>
  <si>
    <t>HY-D0802 - Biotin NHS (Synonyms: Biotin N-hydroxysuccinimide ester; NHS-Biotin)</t>
  </si>
  <si>
    <t>INR 0.057</t>
  </si>
  <si>
    <t>ACH-RD-CH-1162</t>
  </si>
  <si>
    <t>H1222 - Hydrogen Peroxide (35% in Water)</t>
  </si>
  <si>
    <t>INR 0.010667</t>
  </si>
  <si>
    <t>ACH-RD-CH-1163</t>
  </si>
  <si>
    <t>3796 - sulfo-Cyanine5 tyramide</t>
  </si>
  <si>
    <t>INR 16.50</t>
  </si>
  <si>
    <t>ACH-RD-CH-1164</t>
  </si>
  <si>
    <t>925640 - Poly (ethylene glycol)-block-Poly (sulfobetaine methacrylate)</t>
  </si>
  <si>
    <t>INR 33.54</t>
  </si>
  <si>
    <t>ACH-RD-AB-0350</t>
  </si>
  <si>
    <t>M5028 - Monoclonal Anti-5MTH Folic Acid antibody produced in mouse</t>
  </si>
  <si>
    <t>INR 152.403</t>
  </si>
  <si>
    <t>ACH-RD-CH-1165</t>
  </si>
  <si>
    <t>345876 - Bovine Î³-Globulin, Serum</t>
  </si>
  <si>
    <t>ACH-EN-EQ-0130</t>
  </si>
  <si>
    <t>RP600-VIS-NIR - Reflection Probe</t>
  </si>
  <si>
    <t>Comtek</t>
  </si>
  <si>
    <t>ACH-EN-EQ-0131</t>
  </si>
  <si>
    <t>CUV-H - Cuvette Holder</t>
  </si>
  <si>
    <t>ACH-RD-AB-0351</t>
  </si>
  <si>
    <t>ABBA1C04 - Anti-HbA1c Mab</t>
  </si>
  <si>
    <t>INR 9.68</t>
  </si>
  <si>
    <t>ACH-RD-AB-0352</t>
  </si>
  <si>
    <t>ABHEMG05 - Anti-Hemoglobin Mab</t>
  </si>
  <si>
    <t>ACH-RD-CH-1166</t>
  </si>
  <si>
    <t>T9183 - Phosphate Buffered Saline with Tween 20 (PBS-T) Tablets - pH7.4 Cat</t>
  </si>
  <si>
    <t>INR 337.02</t>
  </si>
  <si>
    <t>ACH-RD-CH-1167</t>
  </si>
  <si>
    <t>T9181 - Phosphate Buffered Saline (PBS) Tablets - pH7.4 Cat</t>
  </si>
  <si>
    <t>INR 299.71</t>
  </si>
  <si>
    <t>Cellin Bio</t>
  </si>
  <si>
    <t>ACH-RD-CH-1168</t>
  </si>
  <si>
    <t>NHD-5.0-HDMI-N-RSXP-CTU - Graphic Display TFT Black 5"</t>
  </si>
  <si>
    <t>INR 13243.48</t>
  </si>
  <si>
    <t>ACH-EN-EL-0313</t>
  </si>
  <si>
    <t>PRO3070 - 300RPM 6V Linear Actuator N20 Micro Metal Gear Motor DC Motor with M4 Screw 100mm Lead Shaft</t>
  </si>
  <si>
    <t>ACH-EN-ME-0289</t>
  </si>
  <si>
    <t>R185742 - Pro-Range TES1-7102 20x20mm Industrial Grade Semiconductor Refrigeration Sheet 8.4V2A Cooling Capacity 9.2W</t>
  </si>
  <si>
    <t>INR 219.00</t>
  </si>
  <si>
    <t>ACH-MF-CT-0083</t>
  </si>
  <si>
    <t>Dome_ITC-0001-0400</t>
  </si>
  <si>
    <t>INR 3.05</t>
  </si>
  <si>
    <t>ACH-RD-CH-1169</t>
  </si>
  <si>
    <t>0030108116 - Protien Lobind Tubes snap cap, Protein LoBindÂ®, 1.5 mL, PCR clean, colorless</t>
  </si>
  <si>
    <t>INR 18.50</t>
  </si>
  <si>
    <t>ACH-RD-CH-1170</t>
  </si>
  <si>
    <t>LP25XXX059X300X - Plastic Backing Type : L-P25, Size: 59X300mm</t>
  </si>
  <si>
    <t>ACH-RD-CH-1171</t>
  </si>
  <si>
    <t>LP25XXX060X300X - Plastic Backing, Type: L-P25, Size: 60X300mm</t>
  </si>
  <si>
    <t>ACH-RD-CM-0230</t>
  </si>
  <si>
    <t>T460092 - Petri Dish 90m clean room sleev of 20</t>
  </si>
  <si>
    <t>INR 7.94</t>
  </si>
  <si>
    <t>ACH-EN-ME-0290</t>
  </si>
  <si>
    <t>PRO4358 - 3mm to 3mm Flexible Coupler for 3D Printer CNC Shaft Metal</t>
  </si>
  <si>
    <t>Probots Techno Solutions</t>
  </si>
  <si>
    <t>ACH-EN-ME-0291</t>
  </si>
  <si>
    <t>LGRO068 - Double Pass Brass Universal Adapter Coupling 2mm x 2mm</t>
  </si>
  <si>
    <t>Kits Guru</t>
  </si>
  <si>
    <t>ACH-EN-EL-0314</t>
  </si>
  <si>
    <t>RS4883 - GA12-N20-12V 1000 RPM ALL METAL GEAR MICRO DC MOTOR WITH PRECIOUS METAL BRUSH (RMCS-2518) - RS4883</t>
  </si>
  <si>
    <t>REES52 - Planting The Seeds of Innovation</t>
  </si>
  <si>
    <t>ACH-EN-EL-0315</t>
  </si>
  <si>
    <t>FF-180 DC Trimmer Motor with Pulley - 1.5V to 9V High-Speed Mini Motor</t>
  </si>
  <si>
    <t>Quartz Components</t>
  </si>
  <si>
    <t>ACH-EN-EL-0316</t>
  </si>
  <si>
    <t>MTD5052N - SENSOR PHOTODIODE 525NM TO18</t>
  </si>
  <si>
    <t>INR 225.276</t>
  </si>
  <si>
    <t>ACH-EN-ME-0292</t>
  </si>
  <si>
    <t>PETG-HS Filament</t>
  </si>
  <si>
    <t>INR 599.00</t>
  </si>
  <si>
    <t>Numakers Asia LLP</t>
  </si>
  <si>
    <t>ACH-MF-CM-0180</t>
  </si>
  <si>
    <t>Navigator Colour Documents Paper Ultra Smooth 120gsm A4 White Ref NAV0330 [250 Sheets]</t>
  </si>
  <si>
    <t>INR 677.97</t>
  </si>
  <si>
    <t>ACH-MF-CM-0181</t>
  </si>
  <si>
    <t>Magazine Holder Countertop Desk File Organizer 4 Compartments | Plastic Vertical File Dividers Book Holder &amp; Cabinet Document Storage Rack</t>
  </si>
  <si>
    <t>INR 355.54</t>
  </si>
  <si>
    <t>ACH-MF-CM-0182</t>
  </si>
  <si>
    <t>Vertical Card Holder, PU Leather and Stainless Steel Credit Card Wallet, Business Card Holder for Men and Women (Black -9 x 1 x 6 Cm)</t>
  </si>
  <si>
    <t>ACH-RD-CM-0231</t>
  </si>
  <si>
    <t>1 inch Synthetical Blunt Tip Dispensing Needle with Luer Lock - 9 Different Sizesï¼Œ45 PCS</t>
  </si>
  <si>
    <t>INR 1498.07</t>
  </si>
  <si>
    <t>ACH-MF-CM-0183</t>
  </si>
  <si>
    <t>Strip Tubes and Caps, 0.1 ml</t>
  </si>
  <si>
    <t>ACH-RD-CH-1172</t>
  </si>
  <si>
    <t>23320 - sulfo-Cyanine5 NHS ester CAS number: 2230212-27-6; 146368-14-1 (N-Ethyl)</t>
  </si>
  <si>
    <t>INR 3.892</t>
  </si>
  <si>
    <t>ACH-RD-CH-1173</t>
  </si>
  <si>
    <t>M2359-3- (Methacryloyloxy)ethyl]dimethylam monio]propionate</t>
  </si>
  <si>
    <t>INR 1.782</t>
  </si>
  <si>
    <t>ACH-RD-AB-0353</t>
  </si>
  <si>
    <t>BRCNS1S119- Monoclonal antibody</t>
  </si>
  <si>
    <t>INR 8.80</t>
  </si>
  <si>
    <t>ACH-MF-CM-0184</t>
  </si>
  <si>
    <t>Cryo Vial Tube 2.0 ml - Sterile</t>
  </si>
  <si>
    <t>ACH-RD-CH-1174</t>
  </si>
  <si>
    <t>801725144 - GENLISA Human Methylenetetrahydrofolate Reductase (MTHFR) ELISA</t>
  </si>
  <si>
    <t>INR 14400.00</t>
  </si>
  <si>
    <t>ACH-RD-CH-1175</t>
  </si>
  <si>
    <t>09/296 Pro-Insulin, human (1st International Standard)</t>
  </si>
  <si>
    <t>INR 17010.00</t>
  </si>
  <si>
    <t>ACH-MF-CM-0185</t>
  </si>
  <si>
    <t>LI-SP101M - Pre-treatment module</t>
  </si>
  <si>
    <t>INR 17000.00</t>
  </si>
  <si>
    <t>ACH-EN-EL-0317</t>
  </si>
  <si>
    <t>LM4G520H5R - Green Laser Module</t>
  </si>
  <si>
    <t>INR 2225.00</t>
  </si>
  <si>
    <t>Iadiy Technology Ltd</t>
  </si>
  <si>
    <t>ACH-EN-ME-0293</t>
  </si>
  <si>
    <t>Gerber_Y107</t>
  </si>
  <si>
    <t>INR 640.80</t>
  </si>
  <si>
    <t>ACH-RD-CM-0232</t>
  </si>
  <si>
    <t>SFPS25RB - PES Syringe FIlters - 25mm</t>
  </si>
  <si>
    <t>INR 4250.00</t>
  </si>
  <si>
    <t>ACH-RD-CM-0233</t>
  </si>
  <si>
    <t>SFPS25XB - PES Syringe FIlters - 45mm</t>
  </si>
  <si>
    <t>ACH-EN-EL-0318</t>
  </si>
  <si>
    <t>RS232 - Millennium Converter</t>
  </si>
  <si>
    <t>INR 2280.00</t>
  </si>
  <si>
    <t>ACH-RD-CH-1176</t>
  </si>
  <si>
    <t>Mono-Carton-QUANT ALFA</t>
  </si>
  <si>
    <t>INR 43.20</t>
  </si>
  <si>
    <t>ACH-MF-CT-0084</t>
  </si>
  <si>
    <t>Beta Cartridge_Black_Lakshmi Enterprises</t>
  </si>
  <si>
    <t>INR 21.50</t>
  </si>
  <si>
    <t>ACH-MF-CT-0085</t>
  </si>
  <si>
    <t>Valve shaft_LE_21.11.25</t>
  </si>
  <si>
    <t>INR 6.10</t>
  </si>
  <si>
    <t>ACH-RD-CM-0234</t>
  </si>
  <si>
    <t>501DRLP/25.7X36 - Optical Filter</t>
  </si>
  <si>
    <t>INR 13350.00</t>
  </si>
  <si>
    <t>ACH-RD-AB-0354</t>
  </si>
  <si>
    <t>LA428 - Estradiol (E2)-3-BSA Antigen</t>
  </si>
  <si>
    <t>INR 42.856</t>
  </si>
  <si>
    <t>ACH-RD-CH-1177</t>
  </si>
  <si>
    <t>A66802H - TRU Block 2</t>
  </si>
  <si>
    <t>INR 433.50</t>
  </si>
  <si>
    <t>ACH-RD-CH-1178</t>
  </si>
  <si>
    <t>5200 - Irgacure 5929 Photoinitiator non-sterile</t>
  </si>
  <si>
    <t>INR 4.0846</t>
  </si>
  <si>
    <t>ATCG India</t>
  </si>
  <si>
    <t>ACH-RD-AB-0355</t>
  </si>
  <si>
    <t>HY-P3152 - Streptavidin</t>
  </si>
  <si>
    <t>ACH-RD-CH-1179</t>
  </si>
  <si>
    <t>3KC533 - HBR 1 - Purified (Heterophilic Blocking Reagent 1)</t>
  </si>
  <si>
    <t>INR 440.00</t>
  </si>
  <si>
    <t>ACH-EN-ME-0294</t>
  </si>
  <si>
    <t>MRS15-400 - Mini guide rail</t>
  </si>
  <si>
    <t>INR 822.00</t>
  </si>
  <si>
    <t>Sugatsune Kogyo India Pvt. Ltd</t>
  </si>
  <si>
    <t>ACH-EN-ME-0295</t>
  </si>
  <si>
    <t>MR15-C - Mini Guide Block</t>
  </si>
  <si>
    <t>ACH-RD-CH-1180</t>
  </si>
  <si>
    <t>Levothyroxine Sodium</t>
  </si>
  <si>
    <t>INR 1.30</t>
  </si>
  <si>
    <t>Aayuz Bioceuticals LLP</t>
  </si>
  <si>
    <t>ACH-RD-CH-1181</t>
  </si>
  <si>
    <t>Liothyrinine Sodium</t>
  </si>
  <si>
    <t>ACH-RD-CM-0235</t>
  </si>
  <si>
    <t>4306737 - MicroAmp Optical 96-well Reaction Plate with Barcode</t>
  </si>
  <si>
    <t>INR 1196.70</t>
  </si>
  <si>
    <t>ACH-RD-KT-0060</t>
  </si>
  <si>
    <t>52906 - QIAamp Viral RNA Mini Kit (250)</t>
  </si>
  <si>
    <t>INR 81067.50</t>
  </si>
  <si>
    <t>ACH-MF-CM-0186</t>
  </si>
  <si>
    <t>TI-GL-NS - TAURUSDISPOÂ® Nitrile Powder Free Gloves, Small</t>
  </si>
  <si>
    <t>INR 6.75</t>
  </si>
  <si>
    <t>ACH-MF-PM-0024</t>
  </si>
  <si>
    <t>Universal Corrugated Box - 5 ply - 11x9x4.7 inch - OD</t>
  </si>
  <si>
    <t>INR 30.38</t>
  </si>
  <si>
    <t>ACH-MF-PM-0025</t>
  </si>
  <si>
    <t>Universal Corrugated Box - 3 ply - 11x8.3x9 inch - OD</t>
  </si>
  <si>
    <t>INR 17.77</t>
  </si>
  <si>
    <t>ACH-MF-CM-0187</t>
  </si>
  <si>
    <t>Shredded Corrugated Board</t>
  </si>
  <si>
    <t>ACH-MF-CM-0188</t>
  </si>
  <si>
    <t>2" Tape Dispenser</t>
  </si>
  <si>
    <t>INR 508.50</t>
  </si>
  <si>
    <t>ACH-MF-CM-0189</t>
  </si>
  <si>
    <t>2" Self Adhesive Brown Tape - 65 mtrs</t>
  </si>
  <si>
    <t>INR 29.52</t>
  </si>
  <si>
    <t>ACH-EN-EQ-0132</t>
  </si>
  <si>
    <t>Storage size : 1700mmW X 700mmD X 890mmHt with openable doors</t>
  </si>
  <si>
    <t>INR 18900.00</t>
  </si>
  <si>
    <t>ACH-EN-EL-0319</t>
  </si>
  <si>
    <t>DMAK Multi Traders 22 Watts LED Square Ceiling Surface Panel Light (Warm White, Yellow,Aluminium)</t>
  </si>
  <si>
    <t>ACH-MF-PM-0026</t>
  </si>
  <si>
    <t>AI Foil Laminate</t>
  </si>
  <si>
    <t>INR 580.00</t>
  </si>
  <si>
    <t>V Serve</t>
  </si>
  <si>
    <t>ACH-RD-CH-1182</t>
  </si>
  <si>
    <t>M5 Phone Stand â€“ Adjustable Cell Phone Holder for desk Compatible with All Smartphones (Black)</t>
  </si>
  <si>
    <t>INR 1099.00</t>
  </si>
  <si>
    <t>ACH-RD-KT-0061</t>
  </si>
  <si>
    <t>PK Viral Transport Media Kit (1 Nylon Nasal Swab + 1 Nylon Oral Swab) Viral transport medium kits</t>
  </si>
  <si>
    <t>Alpha Bio Tech</t>
  </si>
  <si>
    <t>ACH-RD-CH-1183</t>
  </si>
  <si>
    <t>M5801 - 3-Mercaptopropionic acid</t>
  </si>
  <si>
    <t>INR 0.85301</t>
  </si>
  <si>
    <t>ACH-RD-CM-0236</t>
  </si>
  <si>
    <t>Measuring Cylinder - 100 mL</t>
  </si>
  <si>
    <t>ACH-EN-EL-0320</t>
  </si>
  <si>
    <t>PID: 194224 - LC-PCB-FABRICATION - Printed Circuit Board Fabrication</t>
  </si>
  <si>
    <t>EtaPro Technologies Pvt Ltd</t>
  </si>
  <si>
    <t>ACH-EN-EL-0321</t>
  </si>
  <si>
    <t>1798001 - RC0805JR-0710KL, Yageo, SMD Chip Resistor, 10 kohm, Â± 5%, 125 mW, 0805 [2012 Metric], Thick Film, Precision</t>
  </si>
  <si>
    <t>INR 0.22</t>
  </si>
  <si>
    <t>ACH-EN-EL-0322</t>
  </si>
  <si>
    <t>R240993 - CRCW08051M00FKEA-VISHAY-125mW Thick Film Resistors 150V Â±1% Â±100ppm/â„ƒ 1MÎ© 0805 Chip Resistor â€“ Surface Mount ROHS</t>
  </si>
  <si>
    <t>INR 1.11</t>
  </si>
  <si>
    <t>ACH-EN-EL-0323</t>
  </si>
  <si>
    <t>1742452 - MCP6002-I/SN MICROCHIP Operational Amplifier, Dual, 2 Amplifier, 1 MHz, 0.6 V/Âµs, 1.8V to 6V, SOIC, 8 Pins</t>
  </si>
  <si>
    <t>INR 71.00</t>
  </si>
  <si>
    <t>ACH-EN-EL-0324</t>
  </si>
  <si>
    <t>1880549 - TL082ACDT-STMICROELECTRONICS-Operational Amplifier, 2 Amplifier, 4 MHz, 16 V/Âµs, 6V to 36V, Â± 3V to Â± 18V, SOIC, 8 Pins</t>
  </si>
  <si>
    <t>INR 38.00</t>
  </si>
  <si>
    <t>ACH-EN-EL-0325</t>
  </si>
  <si>
    <t>R234397 - TC7660SEOA713-MICROCHIP-DC/DC Charge Pump Adjustable Voltage Regulator, 1.5V to 12V in, -12V to -1.5V/20mA out, SOIC-8</t>
  </si>
  <si>
    <t>INR 98.00</t>
  </si>
  <si>
    <t>ACH-EN-ME-0296</t>
  </si>
  <si>
    <t>R175090 - BH4B-PH(LF)(SN)-JST-PH header (High box type)</t>
  </si>
  <si>
    <t>ACH-RD-AB-0356</t>
  </si>
  <si>
    <t>835815 - I2C ADS1115 16 Bit ADC 4 channel Module with Programmable Gain Amplifier</t>
  </si>
  <si>
    <t>ACH-EN-EL-0326</t>
  </si>
  <si>
    <t>R139450 - CC0805JKX7R9BB474-YAGEO-Cap Ceramic 0.47uF 50V X7R 5% Pad SMD 0805 125Â°C T/R</t>
  </si>
  <si>
    <t>ACH-EN-EL-0327</t>
  </si>
  <si>
    <t>595331 - 10pF 0805 Surface Mount Multilayer Ceramic Capacitor</t>
  </si>
  <si>
    <t>INR 1.80</t>
  </si>
  <si>
    <t>ACH-EN-EL-0328</t>
  </si>
  <si>
    <t>R144576 - GCM21BR72A104KA37L-Murata-Cap Ceramic 0.1uF 100V X7R 10% Pad SMD 0805 125Â°C Automotive AEC-Q200 T/R</t>
  </si>
  <si>
    <t>ACH-EN-EL-0329</t>
  </si>
  <si>
    <t>R216060 - CRCW0805470KFKEA-Vishay Intertech-125mW Thick Film Resistors 150V Â±1% Â±100ppm/â„ƒ 470kÎ© 0805 Chip Resistor â€“ Surface Mount ROHS</t>
  </si>
  <si>
    <t>ACH-EN-EL-0330</t>
  </si>
  <si>
    <t>DRV8825 Stepper Motor Driver Module</t>
  </si>
  <si>
    <t>ACH-EN-EL-0331</t>
  </si>
  <si>
    <t>815859 - Optical Endstop Photoelectric Light Control Optical Limit Switch for 3D Printer</t>
  </si>
  <si>
    <t>INR 81.00</t>
  </si>
  <si>
    <t>ACH-EN-EL-0332</t>
  </si>
  <si>
    <t>TEMD5510FX01 - SENSOR PHOTODIODE 540NM SMD</t>
  </si>
  <si>
    <t>INR 142.075</t>
  </si>
  <si>
    <t>ACH-EN-OP-0037</t>
  </si>
  <si>
    <t>FIL0700-100-95-5 - Emission Filter (Dia: 25mm)</t>
  </si>
  <si>
    <t>INR 9350.00</t>
  </si>
  <si>
    <t>Pantotek Photonics Private Limited</t>
  </si>
  <si>
    <t>ACH-EN-OP-0038</t>
  </si>
  <si>
    <t>FIL0630-20-95-5 - Excitation Filter (Dia: 25mm)</t>
  </si>
  <si>
    <t>ACH-EN-OP-0039</t>
  </si>
  <si>
    <t>FIL3-060/064-065/080-45 - Dichroic Mirror (25.2 x 35.6 mm)</t>
  </si>
  <si>
    <t>INR 7650.00</t>
  </si>
  <si>
    <t>ACH-RD-CH-1184</t>
  </si>
  <si>
    <t>Vidas NT - Pro BNP2</t>
  </si>
  <si>
    <t>INR 620.3333</t>
  </si>
  <si>
    <t>ACH-RD-CH-1185</t>
  </si>
  <si>
    <t>Vidas High Sensitive Tropohine I</t>
  </si>
  <si>
    <t>INR 321.00</t>
  </si>
  <si>
    <t>ACH-RD-CH-1186</t>
  </si>
  <si>
    <t>Vidas Myoglobin</t>
  </si>
  <si>
    <t>INR 294.93333</t>
  </si>
  <si>
    <t>ACH-RD-CH-1187</t>
  </si>
  <si>
    <t>Vidas CKMB</t>
  </si>
  <si>
    <t>INR 185.00</t>
  </si>
  <si>
    <t>ACH-RD-CH-1188</t>
  </si>
  <si>
    <t>Vidas DDimer Exclusion II</t>
  </si>
  <si>
    <t>INR 425.00</t>
  </si>
  <si>
    <t>ACH-EN-ME-0297</t>
  </si>
  <si>
    <t>00 inch Wall Sticker Paper Vinyl Removal Self Adhesive ChalkBoard Sheet45x200cm BLACK Chalkboard Sticker (Pack of 1)</t>
  </si>
  <si>
    <t>INR 184.40</t>
  </si>
  <si>
    <t>ACH-RD-AB-0357</t>
  </si>
  <si>
    <t>S03-MxA-30 - MxA Antibody</t>
  </si>
  <si>
    <t>Ccamp_Assay Development</t>
  </si>
  <si>
    <t>INR 28.927</t>
  </si>
  <si>
    <t>ACH-RD-AB-0358</t>
  </si>
  <si>
    <t>S03-MxA-31 - MxA Antibody</t>
  </si>
  <si>
    <t>INR 28.9287</t>
  </si>
  <si>
    <t>ACH-RD-AB-0359</t>
  </si>
  <si>
    <t>MxA-Ag-1 - MxA Antigen</t>
  </si>
  <si>
    <t>INR 192.60</t>
  </si>
  <si>
    <t>ACH-MF-CM-0190</t>
  </si>
  <si>
    <t>4008-0004 - Seal, 1mL Syringe Quanti/Qu</t>
  </si>
  <si>
    <t>ACH-MF-CM-0191</t>
  </si>
  <si>
    <t>FCP-305/0.22UM MEMBRANE FILTERS DURAPORE PVDF 0.22UM,WH PL 47MM DIA MERCK GVWP04700</t>
  </si>
  <si>
    <t>INR 17.55</t>
  </si>
  <si>
    <t>ACH-MF-CM-0192</t>
  </si>
  <si>
    <t>FCP-305/0.45UM - MEMBRANE FILTERS DURAPORE PVDF 0.45UM, 47MM DIA MERCK HVLP04700 (NON STERILE)</t>
  </si>
  <si>
    <t>INR 14.40</t>
  </si>
  <si>
    <t>ACH-MF-CM-0193</t>
  </si>
  <si>
    <t>T1010 - SPINWIN 6X1.5ML, (MICRO CENTRIFUGE) FIXED SPEED OF 6000 RPM</t>
  </si>
  <si>
    <t>INR 7975.55</t>
  </si>
  <si>
    <t>ACH-RD-CH-1189</t>
  </si>
  <si>
    <t>YK725 - Assembly Roller</t>
  </si>
  <si>
    <t>INR 136500.00</t>
  </si>
  <si>
    <t>Shanghai Kinbio Tech Co., Ltd</t>
  </si>
  <si>
    <t>ACH-RD-CH-1190</t>
  </si>
  <si>
    <t>L0608800500 - Span 80 (Sorbitane Monooleate)</t>
  </si>
  <si>
    <t>INR 0.00147</t>
  </si>
  <si>
    <t>ACH-RD-AB-0360</t>
  </si>
  <si>
    <t>BRJNS1S107- Monoclonal antibody</t>
  </si>
  <si>
    <t>ACH-RD-CH-1191</t>
  </si>
  <si>
    <t>Grade 243 - 22x300mm</t>
  </si>
  <si>
    <t>Strips</t>
  </si>
  <si>
    <t>INR 10.386</t>
  </si>
  <si>
    <t>ACH-RD-CH-1192</t>
  </si>
  <si>
    <t>Hv Plus - 1668 - 12mm x 300mm</t>
  </si>
  <si>
    <t>INR 46.26</t>
  </si>
  <si>
    <t>ACH-RD-CH-1193</t>
  </si>
  <si>
    <t>8951 - 15mm - 15x300mm</t>
  </si>
  <si>
    <t>INR 13.365</t>
  </si>
  <si>
    <t>ACH-RD-CH-1194</t>
  </si>
  <si>
    <t>201102 - Bilirubin Conjugate, Ditaurate, Disodium Salt</t>
  </si>
  <si>
    <t>INR 0.2034</t>
  </si>
  <si>
    <t>ACH-RD-CH-1195</t>
  </si>
  <si>
    <t>B4126 - Bilirubin</t>
  </si>
  <si>
    <t>INR 17.01</t>
  </si>
  <si>
    <t>ACH-RD-CH-1196</t>
  </si>
  <si>
    <t>17811 - 1AMP</t>
  </si>
  <si>
    <t>INR 7079.55</t>
  </si>
  <si>
    <t>ACH-RD-KT-0062</t>
  </si>
  <si>
    <t>801727263 - GENLISA Human Anti-Mouse Antibody (HAMA) ELISA</t>
  </si>
  <si>
    <t>INR 17280.00</t>
  </si>
  <si>
    <t>ACH-RD-CH-1197</t>
  </si>
  <si>
    <t>AMBH97BA09B4 - 6-Methylpterin</t>
  </si>
  <si>
    <t>INR 0.211173</t>
  </si>
  <si>
    <t>ACH-RD-CH-1198</t>
  </si>
  <si>
    <t>U5378 - Urea</t>
  </si>
  <si>
    <t>INR 0.0539</t>
  </si>
  <si>
    <t>ACH-MF-PM-0027</t>
  </si>
  <si>
    <t>iogue Sharp Containers/Puncture Proof Box For Needles 3.5 Ltr</t>
  </si>
  <si>
    <t>INR 227.62</t>
  </si>
  <si>
    <t>ACH-EN-ME-0298</t>
  </si>
  <si>
    <t>C-TMBH3-12 - Urethane Molded Bearings With Screw Rod</t>
  </si>
  <si>
    <t>INR 68.04</t>
  </si>
  <si>
    <t>ACH-EN-ME-0299</t>
  </si>
  <si>
    <t>E-LBGCAB698ZZ - Bearings with Housings, Single Bearing, Standard Flange Type with Retainer Ring</t>
  </si>
  <si>
    <t>INR 353.96</t>
  </si>
  <si>
    <t>ACH-GN-IT-0056</t>
  </si>
  <si>
    <t>Vivobook S14, Intel Core Ultra 5 225H, Intel iGPU,16GB RAM,512GB SSD,FHD+,14",60Hz,Windows 11,M365 Basic (1Year)*,Office Home 2024,Matte Gray,1.4 Kg, S3407CA-LY057WS, Metallic Design Laptop</t>
  </si>
  <si>
    <t>INR 61855.93</t>
  </si>
  <si>
    <t>ACH-RD-CH-1199</t>
  </si>
  <si>
    <t>HbA1c - Auker</t>
  </si>
  <si>
    <t>INR 2520.00</t>
  </si>
  <si>
    <t>ACH-RD-CH-1200</t>
  </si>
  <si>
    <t>CTNI - Auker</t>
  </si>
  <si>
    <t>INR 1980.00</t>
  </si>
  <si>
    <t>ACH-RD-AB-0361</t>
  </si>
  <si>
    <t>FAR-131 - Malaria Pan Antigen Rapid Test Uncut Sheet (cassette)</t>
  </si>
  <si>
    <t>ACH-RD-CH-1201</t>
  </si>
  <si>
    <t>FAR-131-B - Assay Buffer (Malaria Pan</t>
  </si>
  <si>
    <t>ACH-RD-CH-1202</t>
  </si>
  <si>
    <t>FAR-115 - HBsAg Rapid Test Uncut Sheet (cassette)</t>
  </si>
  <si>
    <t>ACH-RD-CH-1203</t>
  </si>
  <si>
    <t>FAR-115-B - Assay Buffer (HBsAg)</t>
  </si>
  <si>
    <t>ACH-RD-AB-0362</t>
  </si>
  <si>
    <t>FAR-116 - HCV Antibody Rapid Test Uncut Sheet (cassette)</t>
  </si>
  <si>
    <t>ACH-RD-CH-1204</t>
  </si>
  <si>
    <t>FAR-116-B - Assay Buffer (HCV)</t>
  </si>
  <si>
    <t>ACH-RD-CH-1205</t>
  </si>
  <si>
    <t>LCD010060X300X - NC Membrane Laminate -Type: CNPF-SN12-L2-P25, Size: 60x300mm, Pore Size:10um, 25mmNC,</t>
  </si>
  <si>
    <t>ACH-RD-CH-1206</t>
  </si>
  <si>
    <t>LNDFXXX060X300X - NC Membrane Laminate Type: 150CNPH-N-SS40-L2-P25, Size: 60x300mm, 25mm NC</t>
  </si>
  <si>
    <t>ACH-RD-CH-1207</t>
  </si>
  <si>
    <t>LKDFXXX060X300X - NC Membrane Laminate -Type: 90CNPH-N-SS40-L2-P25, Size: 60x300mm, 25mm NC</t>
  </si>
  <si>
    <t>ACH-RD-CH-1208</t>
  </si>
  <si>
    <t>LBDF012060X300X - NC Membrane Type: CNPC-SS12-L2-P25, Pore Size: 12Î¼m, Size: 60x300mm, with 25mm NC</t>
  </si>
  <si>
    <t>ACH-RD-CH-1209</t>
  </si>
  <si>
    <t>PTR5XXX007XXXXX - Conjugate Release Matrix Pad -Type: PT-R5, Size: 7mm</t>
  </si>
  <si>
    <t>ACH-RD-CH-1210</t>
  </si>
  <si>
    <t>P080XXX022X300X - mdi Absorbent Pad -Type: AP080, Size: 22x300mm,</t>
  </si>
  <si>
    <t>ACH-RD-CH-1211</t>
  </si>
  <si>
    <t>P110XXX022X300X - Absorbent Pad, Type: AP110, Size: 22x300mm</t>
  </si>
  <si>
    <t>ACH-MF-CT-0086</t>
  </si>
  <si>
    <t>C0001_02 - TFT Rotary Shaft Retain</t>
  </si>
  <si>
    <t>INR 600000.00</t>
  </si>
  <si>
    <t>TDConnex Chennai Pvt. Ltd</t>
  </si>
  <si>
    <t>ACH-EN-EQ-0133</t>
  </si>
  <si>
    <t>CO0001_02 - TFT_ROTARY_SHFFT</t>
  </si>
  <si>
    <t>ACH-EN-EQ-0134</t>
  </si>
  <si>
    <t>NA - USB_To_pPlate</t>
  </si>
  <si>
    <t>INR 1020000.00</t>
  </si>
  <si>
    <t>ACH-MF-CT-0087</t>
  </si>
  <si>
    <t>C0001_02_TFT_RUBBER_VALVE</t>
  </si>
  <si>
    <t>ACH-EN-EQ-0135</t>
  </si>
  <si>
    <t>- TFT_WELL_BT12</t>
  </si>
  <si>
    <t>ACH-MF-CT-0088</t>
  </si>
  <si>
    <t>C0001_02 - TFT Rotary Shaft</t>
  </si>
  <si>
    <t>ACH-RD-CH-1212</t>
  </si>
  <si>
    <t>12779-Cetyltrimethyl Ammonium Bromide (CTAB) for Molecular Biology</t>
  </si>
  <si>
    <t>INR 0.00528</t>
  </si>
  <si>
    <t>ACH-MF-CM-0194</t>
  </si>
  <si>
    <t>001-A009 - Jetwash II-, 10ml</t>
  </si>
  <si>
    <t>ACH-EN-EQ-0136</t>
  </si>
  <si>
    <t>4008-0013 - Syringe PTFE, 1mL</t>
  </si>
  <si>
    <t>INR 29040.00</t>
  </si>
  <si>
    <t>ACH-EN-EQ-0137</t>
  </si>
  <si>
    <t>4008-0020 - Syringe PTFE, 250 mL</t>
  </si>
  <si>
    <t>ACH-RD-AB-0363</t>
  </si>
  <si>
    <t>115-005-020 - AffiniPureÂ® Goat Anti-Mouse IgM, Î¼ chain specific</t>
  </si>
  <si>
    <t>INR 7.0805</t>
  </si>
  <si>
    <t>Everon Life Sciences</t>
  </si>
  <si>
    <t>ACH-RD-CM-0237</t>
  </si>
  <si>
    <t>TS530010 - Screw Cap Tubes 05.5mL Self Standing with Knurls Sterile</t>
  </si>
  <si>
    <t>INR 3.8675</t>
  </si>
  <si>
    <t>ACH-MF-CM-0195</t>
  </si>
  <si>
    <t>TS530000 - Cap with Epdom O Rings Sterile</t>
  </si>
  <si>
    <t>INR 2.6775</t>
  </si>
  <si>
    <t>ACH-RD-CM-0238</t>
  </si>
  <si>
    <t>T532010 - Screw Cap Tubes with Looped Cap Unassembled Non Sterile Self Standing Knurl 0.5 mL</t>
  </si>
  <si>
    <t>INR 6.596</t>
  </si>
  <si>
    <t>ACH-RD-CM-0239</t>
  </si>
  <si>
    <t>TS532010 - Screw Cap with 0.5 mL Self Standing with Knurl</t>
  </si>
  <si>
    <t>INR 7.1145</t>
  </si>
  <si>
    <t>ACH-RD-KT-0063</t>
  </si>
  <si>
    <t>ab102890 - HRP Conjugation Kit - Lightning-LinkÂ®</t>
  </si>
  <si>
    <t>INR 216.00</t>
  </si>
  <si>
    <t>Imperial Life Sciences (P) Ltd</t>
  </si>
  <si>
    <t>ACH-RD-CH-1213</t>
  </si>
  <si>
    <t>AR0061C - Dengue IgG/IgM Rapid Test</t>
  </si>
  <si>
    <t>INR 2343.00</t>
  </si>
  <si>
    <t>ACH-MF-CM-0196</t>
  </si>
  <si>
    <t>P10001 - Last Drop Low Retention Pipet Tips - Natural - 0.2 - 10 Î¼l</t>
  </si>
  <si>
    <t>INR 0.98</t>
  </si>
  <si>
    <t>ACH-RD-CM-0240</t>
  </si>
  <si>
    <t>P10002 - Last Drop Low Retention Pipette Tips - Extended Natural 0.2 - 10 ul</t>
  </si>
  <si>
    <t>ACH-MF-LB-0012</t>
  </si>
  <si>
    <t>200cm Self Adhesive Black Board Sticker</t>
  </si>
  <si>
    <t>INR 216.35</t>
  </si>
  <si>
    <t>ACH-RD-CM-0241</t>
  </si>
  <si>
    <t>23Ga 1" Blunt Tip Industrial Dispensing Needles with Luer Lock Needle for Filling Liquid, Glue and Oil Inks, Orange, 52 Count</t>
  </si>
  <si>
    <t>INR 33.339</t>
  </si>
  <si>
    <t>ACH-MF-PM-0028</t>
  </si>
  <si>
    <t>Peel Open Pouch - 275x135</t>
  </si>
  <si>
    <t>ACH-MF-PM-0029</t>
  </si>
  <si>
    <t>5 GM CILICANT SILICA GEL WHITE (SGW) DESICCANT Pouch 020106500CP1</t>
  </si>
  <si>
    <t>INR 2.20</t>
  </si>
  <si>
    <t>ACH-EN-EL-0333</t>
  </si>
  <si>
    <t>OPA2380AIDGKR - IC TRANSIMPEDANCE 2 CIRC 8VSSOP</t>
  </si>
  <si>
    <t>INR 622.17</t>
  </si>
  <si>
    <t>ACH-EN-EL-0334</t>
  </si>
  <si>
    <t>OPA2353EA/2K5 - IC CMOS 2 CIRCUIT 8VSSOP</t>
  </si>
  <si>
    <t>INR 550.31</t>
  </si>
  <si>
    <t>ACH-EN-EL-0335</t>
  </si>
  <si>
    <t>NUCLEO-H753ZI - NUCLEO-144 STM32H753ZI EVAL BRD</t>
  </si>
  <si>
    <t>INR 2560.54</t>
  </si>
  <si>
    <t>ACH-EN-EL-0336</t>
  </si>
  <si>
    <t>AP3031KTR-G1 - IC LED DRVR RGLTR PWM TSOT23-6</t>
  </si>
  <si>
    <t>INR 19.92</t>
  </si>
  <si>
    <t>ACH-EN-EL-0337</t>
  </si>
  <si>
    <t>LM8G515S10DT - Green Laser Module</t>
  </si>
  <si>
    <t>INR 2484.00</t>
  </si>
  <si>
    <t>ACH-RD-CH-1214</t>
  </si>
  <si>
    <t>HBR-5 - Heterophilic Blocking Reagent</t>
  </si>
  <si>
    <t>INR 0.063</t>
  </si>
  <si>
    <t>ACH-RD-CH-1215</t>
  </si>
  <si>
    <t>HBR-9 - Heterophilic Blocking Reagent</t>
  </si>
  <si>
    <t>ACH-MF-JG-0015</t>
  </si>
  <si>
    <t>Dome 4 cavity vertical injection mold_LE</t>
  </si>
  <si>
    <t>INR 49000.00</t>
  </si>
  <si>
    <t>ACH-EN-EQ-0138</t>
  </si>
  <si>
    <t>Chairs_MFG Setion</t>
  </si>
  <si>
    <t>INR 1610.69</t>
  </si>
  <si>
    <t>Star Furniture</t>
  </si>
  <si>
    <t>ACH-EN-EQ-0139</t>
  </si>
  <si>
    <t>2 HP Reciprocating Air Compressor</t>
  </si>
  <si>
    <t>M R Compressors</t>
  </si>
  <si>
    <t>ACH-EN-EL-0338</t>
  </si>
  <si>
    <t>1121328 - Leadfree so/msop/tssop/soic/sop8 to dip8 Wide-Body Narrow-Body Adapter Board PCB 8p</t>
  </si>
  <si>
    <t>INR 5.80</t>
  </si>
  <si>
    <t>ACH-EN-EL-0339</t>
  </si>
  <si>
    <t>1555059 - Pro-Range 600PCS 10pf-10uf 50V Multilayer Ceramic Capacitor Kit</t>
  </si>
  <si>
    <t>INR 921.00</t>
  </si>
  <si>
    <t>ACH-EN-EL-0340</t>
  </si>
  <si>
    <t>781382 - Metal Film Resistor Assorted kit â€“ 30 Kinds</t>
  </si>
  <si>
    <t>INR 0.1934</t>
  </si>
  <si>
    <t>ACH-EN-EL-0341</t>
  </si>
  <si>
    <t>582344 - 10M Ohm 0.25W Metal Film Resistor</t>
  </si>
  <si>
    <t>ACH-RD-KT-0064</t>
  </si>
  <si>
    <t>ELK11789 - Human MxA(Myxovirus resistant A) ELISA Kit (ELK11789)</t>
  </si>
  <si>
    <t>INR 170.83333</t>
  </si>
  <si>
    <t>Universal Biotechnology Pvt Ltd</t>
  </si>
  <si>
    <t>ACH-RD-CH-1216</t>
  </si>
  <si>
    <t>DTF white ink</t>
  </si>
  <si>
    <t>ACH-MF-CM-0197</t>
  </si>
  <si>
    <t>5ml Clear Tubular Vials</t>
  </si>
  <si>
    <t>Shree Tirupati Pharma Pack</t>
  </si>
  <si>
    <t>ACH-MF-CM-0198</t>
  </si>
  <si>
    <t>5ml Amber Tubular Vials</t>
  </si>
  <si>
    <t>ACH-RD-KT-0065</t>
  </si>
  <si>
    <t>801728120 - GENLISA Human Myxovirus Resistance 1 (MX1) ELISA</t>
  </si>
  <si>
    <t>ACH-MF-CM-0199</t>
  </si>
  <si>
    <t>Clot Tubes 4mL</t>
  </si>
  <si>
    <t>ACH-MF-CM-0200</t>
  </si>
  <si>
    <t>Sodium Citrate Tubes 3.2%</t>
  </si>
  <si>
    <t>INR 3.10</t>
  </si>
  <si>
    <t>ACH-MF-CM-0201</t>
  </si>
  <si>
    <t>Sdoium Fluoride 2mL tubes</t>
  </si>
  <si>
    <t>ACH-MF-CM-0202</t>
  </si>
  <si>
    <t>Sodium Citrate Tubes 3.8%</t>
  </si>
  <si>
    <t>ACH-MF-CM-0203</t>
  </si>
  <si>
    <t>Gel Tubes 3.5mL</t>
  </si>
  <si>
    <t>ACH-MF-CM-0204</t>
  </si>
  <si>
    <t>Lithium Heparin - 3mL</t>
  </si>
  <si>
    <t>ACH-RD-CH-1217</t>
  </si>
  <si>
    <t>Sodium Fluoride 2mL</t>
  </si>
  <si>
    <t>ACH-RD-CH-1218</t>
  </si>
  <si>
    <t>238813 - (Â±)-6-Hydroxy-2,5,7,8-tetramethylchromane-2-carboxylic acid</t>
  </si>
  <si>
    <t>INR 8.84</t>
  </si>
  <si>
    <t>ACH-RD-CH-1219</t>
  </si>
  <si>
    <t>81280 - Poly(ethylene glycol)</t>
  </si>
  <si>
    <t>INR 6.9486</t>
  </si>
  <si>
    <t>ACH-MF-CM-0205</t>
  </si>
  <si>
    <t>32048 - Multi well Culture Plate,PS, 48 wells, 85.4x127.6mm, Sterile to</t>
  </si>
  <si>
    <t>INR 49.349333</t>
  </si>
  <si>
    <t>ACH-MF-CM-0206</t>
  </si>
  <si>
    <t>T581410 - Sterile Square Media Bottles 30mL PETG with HDPE Closure Size 20-415 Quantity per Tray 24/96</t>
  </si>
  <si>
    <t>INR 9853.20</t>
  </si>
  <si>
    <t>ACH-RD-CM-0242</t>
  </si>
  <si>
    <t>BS-360 - Micro Cover Glass Round Special No. 16mm Pkt of 10Gms</t>
  </si>
  <si>
    <t>INR 2640.00</t>
  </si>
  <si>
    <t>ACH-RD-CH-1220</t>
  </si>
  <si>
    <t>RM1239 - Horse serum</t>
  </si>
  <si>
    <t>INR 0.047755</t>
  </si>
  <si>
    <t>ACH-RD-KT-0066</t>
  </si>
  <si>
    <t>Human AGP1(Alpha-1-Acid Glycoprotein 1) ELISA Kit (E-EL-H0001)</t>
  </si>
  <si>
    <t>INR 142.18</t>
  </si>
  <si>
    <t>ACH-EN-EQ-0140</t>
  </si>
  <si>
    <t>ULS Lens 2â€_x009d_</t>
  </si>
  <si>
    <t>INR 29500.00</t>
  </si>
  <si>
    <t>ACH-EN-EQ-0141</t>
  </si>
  <si>
    <t>Mirror Ass# 2</t>
  </si>
  <si>
    <t>INR 22500.00</t>
  </si>
  <si>
    <t>ACH-EN-EQ-0142</t>
  </si>
  <si>
    <t>Mirror Ass# 3</t>
  </si>
  <si>
    <t>ACH-EN-EQ-0143</t>
  </si>
  <si>
    <t>Beam Window</t>
  </si>
  <si>
    <t>ACH-EN-EQ-0144</t>
  </si>
  <si>
    <t>Honey Comb 16x12</t>
  </si>
  <si>
    <t>INR 18500.00</t>
  </si>
  <si>
    <t>ACH-MF-CM-0207</t>
  </si>
  <si>
    <t>Retainer (Carbon PP)</t>
  </si>
  <si>
    <t>INR 10.05</t>
  </si>
  <si>
    <t>ACH-MF-CM-0208</t>
  </si>
  <si>
    <t>Cartridge (Carbon PP)</t>
  </si>
  <si>
    <t>ACH-MF-CM-0209</t>
  </si>
  <si>
    <t>3M9041-ND -</t>
  </si>
  <si>
    <t>INR 0.108286</t>
  </si>
  <si>
    <t>ACH-MF-JG-0016</t>
  </si>
  <si>
    <t>Plastic Injection Mould - Hand Mould As Prototype</t>
  </si>
  <si>
    <t>ACH-RD-CM-0243</t>
  </si>
  <si>
    <t>Eppendorf TM1000-8 Dispensing Tool â€“ 8-Channel, 50â€“1000 Î¼L</t>
  </si>
  <si>
    <t>INR 41800.00</t>
  </si>
  <si>
    <t>PRECISE DEVICE LLC dba LABTAIN</t>
  </si>
  <si>
    <t>ACH-RD-CH-1221</t>
  </si>
  <si>
    <t>Ducting For Kitchen Exhaust (10500 CFM) - 1.25M x 70M x 13MM Insulation</t>
  </si>
  <si>
    <t>SqMtr</t>
  </si>
  <si>
    <t>ACH-MF-CM-0210</t>
  </si>
  <si>
    <t>Dome Assembly</t>
  </si>
  <si>
    <t>ACH-MF-JG-0017</t>
  </si>
  <si>
    <t>Dome vertical injection mold (Design &amp;mfg) Modification</t>
  </si>
  <si>
    <t>INR 16000.00</t>
  </si>
  <si>
    <t>ACH-RD-CM-0244</t>
  </si>
  <si>
    <t>Circular 16mm 10 gms Coverslip</t>
  </si>
  <si>
    <t>INR 119.12</t>
  </si>
  <si>
    <t>ACH-RD-CH-1222</t>
  </si>
  <si>
    <t>365974 - Microtainer EDTA</t>
  </si>
  <si>
    <t>INR 34.93</t>
  </si>
  <si>
    <t>Pharmalines</t>
  </si>
  <si>
    <t>ACH-RD-CH-1223</t>
  </si>
  <si>
    <t>PHR1533- Cholesterol</t>
  </si>
  <si>
    <t>INR 0.02531</t>
  </si>
  <si>
    <t>ACH-EN-EQ-0145</t>
  </si>
  <si>
    <t>SS Tray Tool Cost</t>
  </si>
  <si>
    <t>ACH-EN-EQ-0146</t>
  </si>
  <si>
    <t>SS Tray</t>
  </si>
  <si>
    <t>ACH-EN-OP-0040</t>
  </si>
  <si>
    <t>LANO-M128024-16M</t>
  </si>
  <si>
    <t>INR 7300.00</t>
  </si>
  <si>
    <t>ACH-GN-HK-0066</t>
  </si>
  <si>
    <t>ano Facial Mist Spray Portable Mini Face Mist Handy Sprayer Automatic Eyelash Extensions Cool Facial Steamer, White</t>
  </si>
  <si>
    <t>INR 368.31</t>
  </si>
  <si>
    <t>ACH-MF-JG-0018</t>
  </si>
  <si>
    <t>15 Watt LED Regular Size Round Surface Down Light | Celing Fixture Lamp (White, Pack of 1)</t>
  </si>
  <si>
    <t>INR 281.90</t>
  </si>
  <si>
    <t>ACH-MF-CM-0211</t>
  </si>
  <si>
    <t>3M Cable Tie Mount 25x25mm, Self Adhesive Gray Nylon Base, Heavy Duty Cable Management Mount with Strong 3M Adhesive, Pack of 100Pcs</t>
  </si>
  <si>
    <t>INR 353.87</t>
  </si>
  <si>
    <t>ACH-RD-CM-0245</t>
  </si>
  <si>
    <t>P10406-Centrifuge Tube Conical Bottom, PP AMBER, 15 ml, Sterile Amber,</t>
  </si>
  <si>
    <t>INR 12.3744</t>
  </si>
  <si>
    <t>ACH-EN-ME-0300</t>
  </si>
  <si>
    <t>Base Plate Fixture-Dome Pressing</t>
  </si>
  <si>
    <t>ACH-EN-ME-0301</t>
  </si>
  <si>
    <t>Base Plate Fixture-Flat</t>
  </si>
  <si>
    <t>ACH-EN-ME-0302</t>
  </si>
  <si>
    <t>Bearing adapter</t>
  </si>
  <si>
    <t>ACH-EN-ME-0303</t>
  </si>
  <si>
    <t>Pressing Tool_Dome</t>
  </si>
  <si>
    <t>ACH-MF-CT-0089</t>
  </si>
  <si>
    <t>Pressing Tool_Lamination</t>
  </si>
  <si>
    <t>ACH-EN-ME-0305</t>
  </si>
  <si>
    <t>LBH_2(30ml)</t>
  </si>
  <si>
    <t>ACH-MF-CM-0212</t>
  </si>
  <si>
    <t>Auto Disable Safety Lancets 21G (100 N)</t>
  </si>
  <si>
    <t>SysMed Global</t>
  </si>
  <si>
    <t>ACH-RD-CH-1224</t>
  </si>
  <si>
    <t>C3023 - CHAPS hydrate</t>
  </si>
  <si>
    <t>INR 6.04035</t>
  </si>
  <si>
    <t>ACH-GN-FA-0011</t>
  </si>
  <si>
    <t>Air Cooler with Honeycomb cooling pads</t>
  </si>
  <si>
    <t>INR 8142.00</t>
  </si>
  <si>
    <t>ACH-RD-CH-1225</t>
  </si>
  <si>
    <t>PRHRMB005 Goat antirabbit IgG</t>
  </si>
  <si>
    <t>ACH-RD-CH-1226</t>
  </si>
  <si>
    <t>YGM Acoustic FoamsÂ® Pyramid Acoustic Panels 12â€³Ã—12â€³Ã—2â€³ Thick | Echo &amp; Sound Absorption | Acoustical Sound Proof Foam for Room &amp; Studio | Charcoal Black</t>
  </si>
  <si>
    <t>INR 105.755833</t>
  </si>
  <si>
    <t>ACH-EN-EL-0342</t>
  </si>
  <si>
    <t>Axial Fan 6" | 22W | 7 Blades | 150 mm Sweep | 7.3 dB Low Noise | Window Mount | Wall Switch Control | White Plastic Body</t>
  </si>
  <si>
    <t>ACH-RD-CH-1227</t>
  </si>
  <si>
    <t>MAA-KU Exhaust Fan, 4 inch, volt 110VAC or 220VAC (Black)</t>
  </si>
  <si>
    <t>ACH-RD-CH-1228</t>
  </si>
  <si>
    <t>Titan Shield 10A Double Pole MCB| Overload &amp; Surge Protection| 10-Year Warranty| Durable Polycarbonate Housing| C-Curve Tripping| 10A Breaking Capacity</t>
  </si>
  <si>
    <t>INR 304.24</t>
  </si>
  <si>
    <t>ACH-RD-CH-1229</t>
  </si>
  <si>
    <t>LB003 - 60ul</t>
  </si>
  <si>
    <t>INR 1.425</t>
  </si>
  <si>
    <t>ACH-RD-CH-1230</t>
  </si>
  <si>
    <t>LB002 - 50ul</t>
  </si>
  <si>
    <t>ACH-RD-CH-1231</t>
  </si>
  <si>
    <t>DG039 - LY-1</t>
  </si>
  <si>
    <t>ACH-RD-CH-1232</t>
  </si>
  <si>
    <t>K157 - XH</t>
  </si>
  <si>
    <t>ACH-RD-CH-1233</t>
  </si>
  <si>
    <t>K019 - JH3.8</t>
  </si>
  <si>
    <t>ACH-EN-SP-0054</t>
  </si>
  <si>
    <t>New Temperature Controller Installation &amp; Service Charges.</t>
  </si>
  <si>
    <t>INR 9250.00</t>
  </si>
  <si>
    <t>Akshar Calibration Service</t>
  </si>
  <si>
    <t>ACH-EN-SP-0055</t>
  </si>
  <si>
    <t>Main PCB Repairing Charges (PCB Level), Installation Charges.</t>
  </si>
  <si>
    <t>ACH-EN-SP-0056</t>
  </si>
  <si>
    <t>Deep Cleaning for inner chamber &amp; parts using suitable solutions.</t>
  </si>
  <si>
    <t>⚠  This sheet is READ-ONLY — do not edit directly. All inventory adjustments must be made via '2. Adjustment Log'. Stock On Hand here reflects the Zoho snapshot at import time; live stock is tracked in '3. Live Stock Summary'.</t>
  </si>
  <si>
    <t>ACH-MF-PM-0030</t>
  </si>
  <si>
    <t>Received via GRN GR/DD/1040</t>
  </si>
  <si>
    <t>ACH-MF-PM-0031</t>
  </si>
  <si>
    <t>Received via GRN GR/DD/1040_2</t>
  </si>
  <si>
    <t>ACH-RD-CH-1234</t>
  </si>
  <si>
    <t>Received via GRN GR/DD/1038</t>
  </si>
  <si>
    <t>ACH-RD-CM-0246</t>
  </si>
  <si>
    <t>Received via GRN GR/DD/1035</t>
  </si>
  <si>
    <t>Received via GRN GR/DD/1043_4 (PO ACHIRA/26-27/53) | Request MFG-358</t>
  </si>
  <si>
    <t>Received via GRN GR/DD/1043_3 (PO ACHIRA/26-27/53) | Request MFG-356</t>
  </si>
  <si>
    <t>Received via GRN GR/DD/1043_2 (PO ACHIRA/26-27/53) | Request MFG-385</t>
  </si>
  <si>
    <t>Received via GRN GR/DD/1042 (PO ACHIRA/26-27/54) | Request MFG-385</t>
  </si>
  <si>
    <t>Received via GRN GR/DD/1042 (PO ACHIRA/26-27/54) | Request MFG-384</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</si>
</sst>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numFmt numFmtId="165" formatCode="h:mm am/pm"/>
    <numFmt numFmtId="166" formatCode="m/d/yyyy h:mm:ss"/>
    <numFmt numFmtId="167" formatCode="yyyy-mm-dd"/>
  </numFmts>
  <fonts count="44">
    <font>
      <sz val="11.0"/>
      <color theme="1"/>
      <name val="Calibri"/>
      <scheme val="minor"/>
    </font>
    <font>
      <b/>
      <sz val="10.0"/>
      <color rgb="FFFFFFFF"/>
      <name val="Calibri"/>
      <scheme val="minor"/>
    </font>
    <font>
      <sz val="9.0"/>
      <color theme="1"/>
      <name val="Calibri"/>
      <scheme val="minor"/>
    </font>
    <font>
      <sz val="11.0"/>
      <color rgb="FF000000"/>
      <name val="Calibri"/>
    </font>
    <font>
      <color theme="1"/>
      <name val="Calibri"/>
      <scheme val="minor"/>
    </font>
    <font>
      <b/>
      <sz val="9.0"/>
      <color rgb="FF2E6BB5"/>
      <name val="Courier New"/>
    </font>
    <font>
      <b/>
      <sz val="9.0"/>
      <color rgb="FFB45309"/>
      <name val="Calibri"/>
      <scheme val="minor"/>
    </font>
    <font>
      <b/>
      <sz val="12.0"/>
      <color rgb="FFFFFFFF"/>
      <name val="Arial"/>
    </font>
    <font/>
    <font>
      <sz val="9.0"/>
      <color rgb="FF1A3C6E"/>
      <name val="Arial"/>
    </font>
    <font>
      <b/>
      <sz val="10.0"/>
      <color rgb="FFFFFFFF"/>
      <name val="Arial"/>
    </font>
    <font>
      <b/>
      <sz val="9.0"/>
      <color rgb="FF2E6BB5"/>
      <name val="Arial"/>
    </font>
    <font>
      <i/>
      <sz val="9.0"/>
      <color rgb="FF6B7280"/>
      <name val="Arial"/>
    </font>
    <font>
      <sz val="9.0"/>
      <color rgb="FF374151"/>
      <name val="Arial"/>
    </font>
    <font>
      <sz val="9.0"/>
      <color rgb="FF1E6B3C"/>
      <name val="Arial"/>
    </font>
    <font>
      <sz val="9.0"/>
      <color rgb="FF9B1C1C"/>
      <name val="Arial"/>
    </font>
    <font>
      <b/>
      <sz val="9.0"/>
      <color rgb="FF1A3C6E"/>
      <name val="Arial"/>
    </font>
    <font>
      <sz val="9.0"/>
      <color rgb="FF6B7280"/>
      <name val="Arial"/>
    </font>
    <font>
      <b/>
      <sz val="9.0"/>
      <color theme="1"/>
      <name val="Arial"/>
    </font>
    <font>
      <sz val="11.0"/>
      <color theme="1"/>
      <name val="Calibri"/>
    </font>
    <font>
      <i/>
      <sz val="9.0"/>
      <color rgb="FF2E6BB5"/>
      <name val="Arial"/>
    </font>
    <font>
      <sz val="10.0"/>
      <color rgb="FF374151"/>
      <name val="Arial"/>
    </font>
    <font>
      <b/>
      <sz val="9.0"/>
      <color rgb="FFFFFFFF"/>
      <name val="Arial"/>
    </font>
    <font>
      <i/>
      <sz val="9.0"/>
      <color rgb="FF1A3C6E"/>
      <name val="Arial"/>
    </font>
    <font>
      <sz val="9.0"/>
      <color theme="1"/>
      <name val="Calibri"/>
    </font>
    <font>
      <b/>
      <sz val="9.0"/>
      <color rgb="FFDC2626"/>
      <name val="Calibri"/>
      <scheme val="minor"/>
    </font>
    <font>
      <b/>
      <sz val="9.0"/>
      <color rgb="FF7C3AED"/>
      <name val="Calibri"/>
    </font>
    <font>
      <sz val="9.0"/>
      <color rgb="FF7C3AED"/>
      <name val="Calibri"/>
      <scheme val="minor"/>
    </font>
    <font>
      <sz val="9.0"/>
      <color rgb="FF6B7280"/>
      <name val="Calibri"/>
      <scheme val="minor"/>
    </font>
    <font>
      <sz val="9.0"/>
      <color rgb="FF7C3AED"/>
      <name val="Calibri"/>
    </font>
    <font>
      <b/>
      <sz val="9.0"/>
      <color rgb="FF15803D"/>
      <name val="Calibri"/>
      <scheme val="minor"/>
    </font>
    <font>
      <sz val="11.0"/>
      <color rgb="FF000000"/>
      <name val="&quot;Aptos Narrow&quot;"/>
    </font>
    <font>
      <b/>
      <sz val="14.0"/>
      <color rgb="FFFFFFFF"/>
      <name val="Arial"/>
    </font>
    <font>
      <i/>
      <sz val="10.0"/>
      <color rgb="FF6B7280"/>
      <name val="Arial"/>
    </font>
    <font>
      <b/>
      <sz val="22.0"/>
      <color rgb="FF1A3C6E"/>
      <name val="Arial"/>
    </font>
    <font>
      <b/>
      <sz val="22.0"/>
      <color rgb="FF1E6B3C"/>
      <name val="Arial"/>
    </font>
    <font>
      <b/>
      <sz val="22.0"/>
      <color rgb="FF374151"/>
      <name val="Arial"/>
    </font>
    <font>
      <b/>
      <sz val="22.0"/>
      <color rgb="FF2E6BB5"/>
      <name val="Arial"/>
    </font>
    <font>
      <b/>
      <sz val="22.0"/>
      <color rgb="FFB45309"/>
      <name val="Arial"/>
    </font>
    <font>
      <b/>
      <sz val="9.0"/>
      <color rgb="FF374151"/>
      <name val="Arial"/>
    </font>
    <font>
      <b/>
      <sz val="9.0"/>
      <color rgb="FF1E6B3C"/>
      <name val="Arial"/>
    </font>
    <font>
      <b/>
      <sz val="9.0"/>
      <color rgb="FFB45309"/>
      <name val="Arial"/>
    </font>
    <font>
      <sz val="11.0"/>
      <color rgb="FF000000"/>
      <name val="Arial"/>
    </font>
    <font>
      <i/>
      <sz val="9.0"/>
      <color rgb="FFB45309"/>
      <name val="Arial"/>
    </font>
  </fonts>
  <fills count="14">
    <fill>
      <patternFill patternType="none"/>
    </fill>
    <fill>
      <patternFill patternType="lightGray"/>
    </fill>
    <fill>
      <patternFill patternType="solid">
        <fgColor rgb="FF1A3C6E"/>
        <bgColor rgb="FF1A3C6E"/>
      </patternFill>
    </fill>
    <fill>
      <patternFill patternType="solid">
        <fgColor rgb="FFF3F4F6"/>
        <bgColor rgb="FFF3F4F6"/>
      </patternFill>
    </fill>
    <fill>
      <patternFill patternType="solid">
        <fgColor rgb="FFFFFFFF"/>
        <bgColor rgb="FFFFFFFF"/>
      </patternFill>
    </fill>
    <fill>
      <patternFill patternType="solid">
        <fgColor rgb="FFEBF4FB"/>
        <bgColor rgb="FFEBF4FB"/>
      </patternFill>
    </fill>
    <fill>
      <patternFill patternType="solid">
        <fgColor rgb="FF2E6BB5"/>
        <bgColor rgb="FF2E6BB5"/>
      </patternFill>
    </fill>
    <fill>
      <patternFill patternType="solid">
        <fgColor rgb="FF1E6B3C"/>
        <bgColor rgb="FF1E6B3C"/>
      </patternFill>
    </fill>
    <fill>
      <patternFill patternType="solid">
        <fgColor rgb="FFFFFBEB"/>
        <bgColor rgb="FFFFFBEB"/>
      </patternFill>
    </fill>
    <fill>
      <patternFill patternType="solid">
        <fgColor rgb="FF374151"/>
        <bgColor rgb="FF374151"/>
      </patternFill>
    </fill>
    <fill>
      <patternFill patternType="solid">
        <fgColor rgb="FFB45309"/>
        <bgColor rgb="FFB45309"/>
      </patternFill>
    </fill>
    <fill>
      <patternFill patternType="solid">
        <fgColor rgb="FFD6E4F0"/>
        <bgColor rgb="FFD6E4F0"/>
      </patternFill>
    </fill>
    <fill>
      <patternFill patternType="solid">
        <fgColor rgb="FFD4EDDA"/>
        <bgColor rgb="FFD4EDDA"/>
      </patternFill>
    </fill>
    <fill>
      <patternFill patternType="solid">
        <fgColor rgb="FFFEF3C7"/>
        <bgColor rgb="FFFEF3C7"/>
      </patternFill>
    </fill>
  </fills>
  <borders count="10">
    <border/>
    <border>
      <left/>
      <top/>
      <bottom/>
    </border>
    <border>
      <top/>
      <bottom/>
    </border>
    <border>
      <right/>
      <top/>
      <bottom/>
    </border>
    <border>
      <left style="thin">
        <color rgb="FFFFFFFF"/>
      </left>
      <right style="thin">
        <color rgb="FFFFFFFF"/>
      </right>
      <top style="thin">
        <color rgb="FFFFFFFF"/>
      </top>
      <bottom style="thin">
        <color rgb="FFFFFFFF"/>
      </bottom>
    </border>
    <border>
      <left style="thin">
        <color rgb="FFE5E7EB"/>
      </left>
      <right style="thin">
        <color rgb="FFE5E7EB"/>
      </right>
      <top style="thin">
        <color rgb="FFE5E7EB"/>
      </top>
      <bottom style="thin">
        <color rgb="FFE5E7EB"/>
      </bottom>
    </border>
    <border>
      <left style="thin">
        <color rgb="FFFFFFFF"/>
      </left>
      <right style="thin">
        <color rgb="FFFFFFFF"/>
      </right>
      <bottom style="thin">
        <color rgb="FFFFFFFF"/>
      </bottom>
    </border>
    <border>
      <left/>
      <right/>
      <top/>
      <bottom/>
    </border>
    <border>
      <bottom style="thin">
        <color rgb="FFE5E7EB"/>
      </bottom>
    </border>
    <border>
      <right style="thin">
        <color rgb="FFE5E7EB"/>
      </right>
      <bottom style="thin">
        <color rgb="FFE5E7EB"/>
      </bottom>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vertical="center"/>
    </xf>
    <xf borderId="0" fillId="0" fontId="3" numFmtId="0" xfId="0" applyAlignment="1" applyFont="1">
      <alignment readingOrder="0" shrinkToFit="0" vertical="bottom" wrapText="0"/>
    </xf>
    <xf borderId="0" fillId="3" fontId="2" numFmtId="164" xfId="0" applyAlignment="1" applyFill="1" applyFont="1" applyNumberFormat="1">
      <alignment readingOrder="0" vertical="center"/>
    </xf>
    <xf borderId="0" fillId="0" fontId="4" numFmtId="0" xfId="0" applyAlignment="1" applyFont="1">
      <alignment readingOrder="0"/>
    </xf>
    <xf borderId="0" fillId="3" fontId="2" numFmtId="165" xfId="0" applyAlignment="1" applyFill="1" applyFont="1" applyNumberFormat="1">
      <alignment readingOrder="0" vertical="center"/>
    </xf>
    <xf borderId="0" fillId="0" fontId="4" numFmtId="166" xfId="0" applyAlignment="1" applyFont="1" applyNumberFormat="1">
      <alignment readingOrder="0"/>
    </xf>
    <xf borderId="0" fillId="3" fontId="5" numFmtId="0" xfId="0" applyAlignment="1" applyFill="1" applyFont="1">
      <alignment readingOrder="0" vertical="center"/>
    </xf>
    <xf borderId="0" fillId="3" fontId="2" numFmtId="0" xfId="0" applyAlignment="1" applyFill="1" applyFont="1">
      <alignment vertical="center"/>
    </xf>
    <xf borderId="0" fillId="3" fontId="2" numFmtId="0" xfId="0" applyAlignment="1" applyFill="1" applyFont="1">
      <alignment readingOrder="0" vertical="center"/>
    </xf>
    <xf borderId="0" fillId="3" fontId="6" numFmtId="0" xfId="0" applyAlignment="1" applyFill="1" applyFont="1">
      <alignment readingOrder="0" vertical="center"/>
    </xf>
    <xf borderId="0" fillId="4" fontId="2" numFmtId="0" xfId="0" applyAlignment="1" applyFill="1" applyFont="1">
      <alignment readingOrder="0" vertical="center"/>
    </xf>
    <xf borderId="0" fillId="4" fontId="2" numFmtId="165" xfId="0" applyAlignment="1" applyFill="1" applyFont="1" applyNumberFormat="1">
      <alignment readingOrder="0" vertical="center"/>
    </xf>
    <xf borderId="0" fillId="4" fontId="5" numFmtId="0" xfId="0" applyAlignment="1" applyFill="1" applyFont="1">
      <alignment readingOrder="0" vertical="center"/>
    </xf>
    <xf borderId="0" fillId="4" fontId="2" numFmtId="0" xfId="0" applyAlignment="1" applyFill="1" applyFont="1">
      <alignment vertical="center"/>
    </xf>
    <xf borderId="0" fillId="4" fontId="2" numFmtId="0" xfId="0" applyAlignment="1" applyFill="1" applyFont="1">
      <alignment readingOrder="0" vertical="center"/>
    </xf>
    <xf borderId="0" fillId="4" fontId="6" numFmtId="0" xfId="0" applyAlignment="1" applyFill="1" applyFont="1">
      <alignment readingOrder="0" vertical="center"/>
    </xf>
    <xf borderId="1" fillId="2" fontId="7" numFmtId="0" xfId="0" applyAlignment="1" applyBorder="1" applyFill="1" applyFont="1">
      <alignment horizontal="center" shrinkToFit="0" vertical="center" wrapText="0"/>
    </xf>
    <xf borderId="2" fillId="0" fontId="8" numFmtId="0" xfId="0" applyBorder="1" applyFont="1"/>
    <xf borderId="3" fillId="0" fontId="8" numFmtId="0" xfId="0" applyBorder="1" applyFont="1"/>
    <xf borderId="1" fillId="5" fontId="9" numFmtId="0" xfId="0" applyAlignment="1" applyBorder="1" applyFill="1" applyFont="1">
      <alignment horizontal="left" shrinkToFit="0" vertical="center" wrapText="1"/>
    </xf>
    <xf borderId="4" fillId="6" fontId="10" numFmtId="0" xfId="0" applyAlignment="1" applyBorder="1" applyFill="1" applyFont="1">
      <alignment horizontal="center" shrinkToFit="0" vertical="center" wrapText="1"/>
    </xf>
    <xf borderId="5" fillId="4" fontId="11" numFmtId="0" xfId="0" applyAlignment="1" applyBorder="1" applyFill="1" applyFont="1">
      <alignment shrinkToFit="0" vertical="bottom" wrapText="0"/>
    </xf>
    <xf borderId="5" fillId="4" fontId="12" numFmtId="0" xfId="0" applyAlignment="1" applyBorder="1" applyFill="1" applyFont="1">
      <alignment horizontal="left" shrinkToFit="0" vertical="center" wrapText="0"/>
    </xf>
    <xf borderId="5" fillId="4" fontId="12" numFmtId="0" xfId="0" applyAlignment="1" applyBorder="1" applyFill="1" applyFont="1">
      <alignment horizontal="center" shrinkToFit="0" vertical="center" wrapText="0"/>
    </xf>
    <xf borderId="5" fillId="4" fontId="13" numFmtId="0" xfId="0" applyAlignment="1" applyBorder="1" applyFill="1" applyFont="1">
      <alignment horizontal="right" shrinkToFit="0" vertical="center" wrapText="0"/>
    </xf>
    <xf borderId="5" fillId="4" fontId="14" numFmtId="0" xfId="0" applyAlignment="1" applyBorder="1" applyFill="1" applyFont="1">
      <alignment horizontal="right" shrinkToFit="0" vertical="center" wrapText="0"/>
    </xf>
    <xf borderId="5" fillId="4" fontId="15" numFmtId="0" xfId="0" applyAlignment="1" applyBorder="1" applyFill="1" applyFont="1">
      <alignment horizontal="right" shrinkToFit="0" vertical="center" wrapText="0"/>
    </xf>
    <xf borderId="5" fillId="5" fontId="16" numFmtId="0" xfId="0" applyAlignment="1" applyBorder="1" applyFill="1" applyFont="1">
      <alignment horizontal="right" shrinkToFit="0" vertical="center" wrapText="0"/>
    </xf>
    <xf borderId="5" fillId="4" fontId="17" numFmtId="0" xfId="0" applyAlignment="1" applyBorder="1" applyFill="1" applyFont="1">
      <alignment horizontal="right" shrinkToFit="0" vertical="center" wrapText="0"/>
    </xf>
    <xf borderId="5" fillId="4" fontId="18" numFmtId="0" xfId="0" applyAlignment="1" applyBorder="1" applyFill="1" applyFont="1">
      <alignment horizontal="center" shrinkToFit="0" vertical="center" wrapText="0"/>
    </xf>
    <xf borderId="5" fillId="4" fontId="19" numFmtId="0" xfId="0" applyAlignment="1" applyBorder="1" applyFill="1" applyFont="1">
      <alignment shrinkToFit="0" vertical="bottom" wrapText="0"/>
    </xf>
    <xf borderId="5" fillId="3" fontId="11" numFmtId="0" xfId="0" applyAlignment="1" applyBorder="1" applyFill="1" applyFont="1">
      <alignment shrinkToFit="0" vertical="bottom" wrapText="0"/>
    </xf>
    <xf borderId="5" fillId="3" fontId="12" numFmtId="0" xfId="0" applyAlignment="1" applyBorder="1" applyFill="1" applyFont="1">
      <alignment horizontal="left" shrinkToFit="0" vertical="center" wrapText="0"/>
    </xf>
    <xf borderId="5" fillId="3" fontId="12" numFmtId="0" xfId="0" applyAlignment="1" applyBorder="1" applyFill="1" applyFont="1">
      <alignment horizontal="center" shrinkToFit="0" vertical="center" wrapText="0"/>
    </xf>
    <xf borderId="5" fillId="3" fontId="13" numFmtId="0" xfId="0" applyAlignment="1" applyBorder="1" applyFill="1" applyFont="1">
      <alignment horizontal="right" shrinkToFit="0" vertical="center" wrapText="0"/>
    </xf>
    <xf borderId="5" fillId="3" fontId="14" numFmtId="0" xfId="0" applyAlignment="1" applyBorder="1" applyFill="1" applyFont="1">
      <alignment horizontal="right" shrinkToFit="0" vertical="center" wrapText="0"/>
    </xf>
    <xf borderId="5" fillId="3" fontId="15" numFmtId="0" xfId="0" applyAlignment="1" applyBorder="1" applyFill="1" applyFont="1">
      <alignment horizontal="right" shrinkToFit="0" vertical="center" wrapText="0"/>
    </xf>
    <xf borderId="5" fillId="3" fontId="17" numFmtId="0" xfId="0" applyAlignment="1" applyBorder="1" applyFill="1" applyFont="1">
      <alignment horizontal="right" shrinkToFit="0" vertical="center" wrapText="0"/>
    </xf>
    <xf borderId="5" fillId="3" fontId="18" numFmtId="0" xfId="0" applyAlignment="1" applyBorder="1" applyFill="1" applyFont="1">
      <alignment horizontal="center" shrinkToFit="0" vertical="center" wrapText="0"/>
    </xf>
    <xf borderId="5" fillId="3" fontId="19" numFmtId="0" xfId="0" applyAlignment="1" applyBorder="1" applyFill="1" applyFont="1">
      <alignment shrinkToFit="0" vertical="bottom" wrapText="0"/>
    </xf>
    <xf borderId="2" fillId="2" fontId="7" numFmtId="0" xfId="0" applyAlignment="1" applyBorder="1" applyFill="1" applyFont="1">
      <alignment horizontal="center" shrinkToFit="0" vertical="center" wrapText="0"/>
    </xf>
    <xf borderId="3" fillId="2" fontId="7" numFmtId="0" xfId="0" applyAlignment="1" applyBorder="1" applyFill="1" applyFont="1">
      <alignment horizontal="center" shrinkToFit="0" vertical="center" wrapText="0"/>
    </xf>
    <xf borderId="2" fillId="5" fontId="9" numFmtId="0" xfId="0" applyAlignment="1" applyBorder="1" applyFill="1" applyFont="1">
      <alignment horizontal="left" shrinkToFit="0" vertical="center" wrapText="1"/>
    </xf>
    <xf borderId="3" fillId="5" fontId="9" numFmtId="0" xfId="0" applyAlignment="1" applyBorder="1" applyFill="1" applyFont="1">
      <alignment horizontal="left" shrinkToFit="0" vertical="center" wrapText="1"/>
    </xf>
    <xf borderId="6" fillId="7" fontId="10" numFmtId="0" xfId="0" applyAlignment="1" applyBorder="1" applyFill="1" applyFont="1">
      <alignment horizontal="center" shrinkToFit="0" vertical="center" wrapText="1"/>
    </xf>
    <xf borderId="6" fillId="7" fontId="10" numFmtId="0" xfId="0" applyAlignment="1" applyBorder="1" applyFill="1" applyFont="1">
      <alignment horizontal="center" readingOrder="0" shrinkToFit="0" vertical="center" wrapText="1"/>
    </xf>
    <xf borderId="5" fillId="3" fontId="13" numFmtId="0" xfId="0" applyAlignment="1" applyBorder="1" applyFill="1" applyFont="1">
      <alignment horizontal="left" shrinkToFit="0" vertical="center" wrapText="0"/>
    </xf>
    <xf borderId="4" fillId="6" fontId="10" numFmtId="0" xfId="0" applyAlignment="1" applyBorder="1" applyFill="1" applyFont="1">
      <alignment horizontal="center" shrinkToFit="0" vertical="center" wrapText="0"/>
    </xf>
    <xf borderId="5" fillId="3" fontId="20" numFmtId="0" xfId="0" applyAlignment="1" applyBorder="1" applyFill="1" applyFont="1">
      <alignment horizontal="left" shrinkToFit="0" vertical="center" wrapText="0"/>
    </xf>
    <xf borderId="5" fillId="3" fontId="21" numFmtId="0" xfId="0" applyAlignment="1" applyBorder="1" applyFill="1" applyFont="1">
      <alignment horizontal="left" shrinkToFit="0" vertical="center" wrapText="0"/>
    </xf>
    <xf borderId="5" fillId="4" fontId="21" numFmtId="0" xfId="0" applyAlignment="1" applyBorder="1" applyFill="1" applyFont="1">
      <alignment horizontal="left" shrinkToFit="0" vertical="center" wrapText="0"/>
    </xf>
    <xf borderId="1" fillId="2" fontId="10" numFmtId="0" xfId="0" applyAlignment="1" applyBorder="1" applyFill="1" applyFont="1">
      <alignment horizontal="left" shrinkToFit="0" vertical="center" wrapText="0"/>
    </xf>
    <xf borderId="4" fillId="6" fontId="22" numFmtId="0" xfId="0" applyAlignment="1" applyBorder="1" applyFill="1" applyFont="1">
      <alignment horizontal="center" shrinkToFit="0" vertical="center" wrapText="0"/>
    </xf>
    <xf borderId="5" fillId="3" fontId="11" numFmtId="0" xfId="0" applyAlignment="1" applyBorder="1" applyFill="1" applyFont="1">
      <alignment horizontal="left" shrinkToFit="0" vertical="center" wrapText="0"/>
    </xf>
    <xf borderId="5" fillId="4" fontId="13" numFmtId="0" xfId="0" applyAlignment="1" applyBorder="1" applyFill="1" applyFont="1">
      <alignment horizontal="left" shrinkToFit="0" vertical="center" wrapText="0"/>
    </xf>
    <xf borderId="5" fillId="4" fontId="11" numFmtId="0" xfId="0" applyAlignment="1" applyBorder="1" applyFill="1" applyFont="1">
      <alignment horizontal="left" shrinkToFit="0" vertical="center" wrapText="0"/>
    </xf>
    <xf borderId="5" fillId="4" fontId="20" numFmtId="0" xfId="0" applyAlignment="1" applyBorder="1" applyFill="1" applyFont="1">
      <alignment horizontal="left" shrinkToFit="0" vertical="center" wrapText="0"/>
    </xf>
    <xf borderId="5" fillId="8" fontId="13" numFmtId="0" xfId="0" applyAlignment="1" applyBorder="1" applyFill="1" applyFont="1">
      <alignment horizontal="left" shrinkToFit="0" vertical="center" wrapText="0"/>
    </xf>
    <xf borderId="0" fillId="4" fontId="2" numFmtId="164" xfId="0" applyAlignment="1" applyFill="1" applyFont="1" applyNumberFormat="1">
      <alignment readingOrder="0" vertical="center"/>
    </xf>
    <xf borderId="7" fillId="4" fontId="5" numFmtId="0" xfId="0" applyAlignment="1" applyBorder="1" applyFill="1" applyFont="1">
      <alignment readingOrder="0" shrinkToFit="0" vertical="center" wrapText="0"/>
    </xf>
    <xf borderId="1" fillId="5" fontId="23" numFmtId="0" xfId="0" applyAlignment="1" applyBorder="1" applyFill="1" applyFont="1">
      <alignment horizontal="left" shrinkToFit="0" vertical="center" wrapText="0"/>
    </xf>
    <xf borderId="7" fillId="4" fontId="24" numFmtId="0" xfId="0" applyAlignment="1" applyBorder="1" applyFill="1" applyFont="1">
      <alignment readingOrder="0" shrinkToFit="0" vertical="center" wrapText="0"/>
    </xf>
    <xf borderId="7" fillId="4" fontId="24" numFmtId="0" xfId="0" applyAlignment="1" applyBorder="1" applyFill="1" applyFont="1">
      <alignment readingOrder="0" shrinkToFit="0" vertical="center" wrapText="0"/>
    </xf>
    <xf borderId="0" fillId="4" fontId="25" numFmtId="0" xfId="0" applyAlignment="1" applyFill="1" applyFont="1">
      <alignment readingOrder="0" vertical="center"/>
    </xf>
    <xf borderId="0" fillId="4" fontId="26" numFmtId="0" xfId="0" applyAlignment="1" applyFill="1" applyFont="1">
      <alignment readingOrder="0" shrinkToFit="0" vertical="center" wrapText="0"/>
    </xf>
    <xf borderId="7" fillId="4" fontId="26" numFmtId="0" xfId="0" applyAlignment="1" applyBorder="1" applyFill="1" applyFont="1">
      <alignment readingOrder="0" shrinkToFit="0" vertical="center" wrapText="0"/>
    </xf>
    <xf borderId="0" fillId="4" fontId="27" numFmtId="0" xfId="0" applyAlignment="1" applyFill="1" applyFont="1">
      <alignment readingOrder="0" vertical="center"/>
    </xf>
    <xf borderId="0" fillId="4" fontId="28" numFmtId="0" xfId="0" applyAlignment="1" applyFill="1" applyFont="1">
      <alignment readingOrder="0" vertical="center"/>
    </xf>
    <xf borderId="7" fillId="3" fontId="5" numFmtId="0" xfId="0" applyAlignment="1" applyBorder="1" applyFill="1" applyFont="1">
      <alignment readingOrder="0" shrinkToFit="0" vertical="center" wrapText="0"/>
    </xf>
    <xf borderId="7" fillId="3" fontId="24" numFmtId="0" xfId="0" applyAlignment="1" applyBorder="1" applyFill="1" applyFont="1">
      <alignment readingOrder="0" shrinkToFit="0" vertical="center" wrapText="0"/>
    </xf>
    <xf borderId="7" fillId="3" fontId="24" numFmtId="0" xfId="0" applyAlignment="1" applyBorder="1" applyFill="1" applyFont="1">
      <alignment readingOrder="0" shrinkToFit="0" vertical="center" wrapText="0"/>
    </xf>
    <xf borderId="0" fillId="3" fontId="25" numFmtId="0" xfId="0" applyAlignment="1" applyFill="1" applyFont="1">
      <alignment readingOrder="0" vertical="center"/>
    </xf>
    <xf borderId="0" fillId="3" fontId="26" numFmtId="0" xfId="0" applyAlignment="1" applyFill="1" applyFont="1">
      <alignment readingOrder="0" shrinkToFit="0" vertical="center" wrapText="0"/>
    </xf>
    <xf borderId="7" fillId="3" fontId="26" numFmtId="0" xfId="0" applyAlignment="1" applyBorder="1" applyFill="1" applyFont="1">
      <alignment readingOrder="0" shrinkToFit="0" vertical="center" wrapText="0"/>
    </xf>
    <xf borderId="0" fillId="3" fontId="27" numFmtId="0" xfId="0" applyAlignment="1" applyFill="1" applyFont="1">
      <alignment readingOrder="0" vertical="center"/>
    </xf>
    <xf borderId="0" fillId="3" fontId="28" numFmtId="0" xfId="0" applyAlignment="1" applyFill="1" applyFont="1">
      <alignment readingOrder="0" vertical="center"/>
    </xf>
    <xf borderId="0" fillId="4" fontId="29" numFmtId="0" xfId="0" applyAlignment="1" applyFill="1" applyFont="1">
      <alignment readingOrder="0" shrinkToFit="0" vertical="center" wrapText="0"/>
    </xf>
    <xf borderId="0" fillId="3" fontId="29" numFmtId="0" xfId="0" applyAlignment="1" applyFill="1" applyFont="1">
      <alignment readingOrder="0" shrinkToFit="0" vertical="center" wrapText="0"/>
    </xf>
    <xf borderId="0" fillId="3" fontId="2" numFmtId="20" xfId="0" applyAlignment="1" applyFill="1" applyFont="1" applyNumberFormat="1">
      <alignment readingOrder="0" vertical="center"/>
    </xf>
    <xf borderId="0" fillId="3" fontId="30" numFmtId="0" xfId="0" applyAlignment="1" applyFill="1" applyFont="1">
      <alignment vertical="center"/>
    </xf>
    <xf borderId="0" fillId="3" fontId="24" numFmtId="0" xfId="0" applyAlignment="1" applyFill="1" applyFont="1">
      <alignment shrinkToFit="0" vertical="center" wrapText="0"/>
    </xf>
    <xf quotePrefix="1" borderId="0" fillId="4" fontId="30" numFmtId="49" xfId="0" applyAlignment="1" applyFill="1" applyFont="1" applyNumberFormat="1">
      <alignment readingOrder="0" vertical="center"/>
    </xf>
    <xf borderId="0" fillId="4" fontId="24" numFmtId="0" xfId="0" applyAlignment="1" applyFill="1" applyFont="1">
      <alignment shrinkToFit="0" vertical="center" wrapText="0"/>
    </xf>
    <xf quotePrefix="1" borderId="0" fillId="3" fontId="30" numFmtId="49" xfId="0" applyAlignment="1" applyFill="1" applyFont="1" applyNumberFormat="1">
      <alignment readingOrder="0" vertical="center"/>
    </xf>
    <xf borderId="0" fillId="3" fontId="24" numFmtId="0" xfId="0" applyAlignment="1" applyFill="1" applyFont="1">
      <alignment readingOrder="0" shrinkToFit="0" vertical="center" wrapText="0"/>
    </xf>
    <xf borderId="0" fillId="0" fontId="31" numFmtId="0" xfId="0" applyAlignment="1" applyFont="1">
      <alignment readingOrder="0" shrinkToFit="0" vertical="bottom" wrapText="0"/>
    </xf>
    <xf borderId="0" fillId="0" fontId="31" numFmtId="11" xfId="0" applyAlignment="1" applyFont="1" applyNumberFormat="1">
      <alignment horizontal="right" readingOrder="0" shrinkToFit="0" vertical="bottom" wrapText="0"/>
    </xf>
    <xf borderId="0" fillId="4" fontId="2" numFmtId="167" xfId="0" applyAlignment="1" applyFill="1" applyFont="1" applyNumberFormat="1">
      <alignment readingOrder="0" vertical="center"/>
    </xf>
    <xf borderId="0" fillId="0" fontId="31" numFmtId="0" xfId="0" applyAlignment="1" applyFont="1">
      <alignment horizontal="right" readingOrder="0" shrinkToFit="0" vertical="bottom" wrapText="0"/>
    </xf>
    <xf borderId="0" fillId="4" fontId="2" numFmtId="21" xfId="0" applyAlignment="1" applyFill="1" applyFont="1" applyNumberFormat="1">
      <alignment readingOrder="0" vertical="center"/>
    </xf>
    <xf borderId="0" fillId="0" fontId="31" numFmtId="0" xfId="0" applyAlignment="1" applyFont="1">
      <alignment shrinkToFit="0" vertical="bottom" wrapText="0"/>
    </xf>
    <xf borderId="0" fillId="0" fontId="31" numFmtId="0" xfId="0" applyAlignment="1" applyFont="1">
      <alignment shrinkToFit="0" vertical="bottom" wrapText="0"/>
    </xf>
    <xf borderId="0" fillId="3" fontId="2" numFmtId="167" xfId="0" applyAlignment="1" applyFill="1" applyFont="1" applyNumberFormat="1">
      <alignment readingOrder="0" vertical="center"/>
    </xf>
    <xf borderId="0" fillId="3" fontId="2" numFmtId="21" xfId="0" applyAlignment="1" applyFill="1" applyFont="1" applyNumberFormat="1">
      <alignment readingOrder="0" vertical="center"/>
    </xf>
    <xf borderId="1" fillId="2" fontId="32" numFmtId="0" xfId="0" applyAlignment="1" applyBorder="1" applyFill="1" applyFont="1">
      <alignment horizontal="center" shrinkToFit="0" vertical="center" wrapText="0"/>
    </xf>
    <xf borderId="1" fillId="3" fontId="33" numFmtId="0" xfId="0" applyAlignment="1" applyBorder="1" applyFill="1" applyFont="1">
      <alignment horizontal="center" shrinkToFit="0" vertical="center" wrapText="0"/>
    </xf>
    <xf borderId="1" fillId="2" fontId="10" numFmtId="0" xfId="0" applyAlignment="1" applyBorder="1" applyFill="1" applyFont="1">
      <alignment horizontal="center" shrinkToFit="0" vertical="center" wrapText="0"/>
    </xf>
    <xf borderId="0" fillId="4" fontId="24" numFmtId="0" xfId="0" applyAlignment="1" applyFill="1" applyFont="1">
      <alignment readingOrder="0" shrinkToFit="0" vertical="center" wrapText="0"/>
    </xf>
    <xf borderId="1" fillId="7" fontId="10" numFmtId="0" xfId="0" applyAlignment="1" applyBorder="1" applyFill="1" applyFont="1">
      <alignment horizontal="center" shrinkToFit="0" vertical="center" wrapText="0"/>
    </xf>
    <xf borderId="1" fillId="9" fontId="10" numFmtId="0" xfId="0" applyAlignment="1" applyBorder="1" applyFill="1" applyFont="1">
      <alignment horizontal="center" shrinkToFit="0" vertical="center" wrapText="0"/>
    </xf>
    <xf borderId="1" fillId="6" fontId="10" numFmtId="0" xfId="0" applyAlignment="1" applyBorder="1" applyFill="1" applyFont="1">
      <alignment horizontal="center" shrinkToFit="0" vertical="center" wrapText="0"/>
    </xf>
    <xf borderId="1" fillId="10" fontId="10" numFmtId="0" xfId="0" applyAlignment="1" applyBorder="1" applyFill="1" applyFont="1">
      <alignment horizontal="center" shrinkToFit="0" vertical="center" wrapText="0"/>
    </xf>
    <xf borderId="1" fillId="11" fontId="34" numFmtId="0" xfId="0" applyAlignment="1" applyBorder="1" applyFill="1" applyFont="1">
      <alignment horizontal="center" shrinkToFit="0" vertical="center" wrapText="0"/>
    </xf>
    <xf borderId="1" fillId="12" fontId="35" numFmtId="0" xfId="0" applyAlignment="1" applyBorder="1" applyFill="1" applyFont="1">
      <alignment horizontal="center" shrinkToFit="0" vertical="center" wrapText="0"/>
    </xf>
    <xf borderId="1" fillId="3" fontId="36" numFmtId="0" xfId="0" applyAlignment="1" applyBorder="1" applyFill="1" applyFont="1">
      <alignment horizontal="center" shrinkToFit="0" vertical="center" wrapText="0"/>
    </xf>
    <xf borderId="1" fillId="5" fontId="37" numFmtId="0" xfId="0" applyAlignment="1" applyBorder="1" applyFill="1" applyFont="1">
      <alignment horizontal="center" shrinkToFit="0" vertical="center" wrapText="0"/>
    </xf>
    <xf borderId="0" fillId="3" fontId="25" numFmtId="49" xfId="0" applyAlignment="1" applyFill="1" applyFont="1" applyNumberFormat="1">
      <alignment readingOrder="0" vertical="center"/>
    </xf>
    <xf borderId="1" fillId="13" fontId="38" numFmtId="0" xfId="0" applyAlignment="1" applyBorder="1" applyFill="1" applyFont="1">
      <alignment horizontal="center" shrinkToFit="0" vertical="center" wrapText="0"/>
    </xf>
    <xf borderId="0" fillId="0" fontId="4" numFmtId="0" xfId="0" applyFont="1"/>
    <xf borderId="7" fillId="8" fontId="19" numFmtId="0" xfId="0" applyAlignment="1" applyBorder="1" applyFill="1" applyFont="1">
      <alignment shrinkToFit="0" vertical="bottom" wrapText="0"/>
    </xf>
    <xf borderId="1" fillId="11" fontId="19" numFmtId="0" xfId="0" applyAlignment="1" applyBorder="1" applyFill="1" applyFont="1">
      <alignment shrinkToFit="0" vertical="bottom" wrapText="0"/>
    </xf>
    <xf borderId="0" fillId="8" fontId="19" numFmtId="0" xfId="0" applyAlignment="1" applyFill="1" applyFont="1">
      <alignment shrinkToFit="0" vertical="bottom" wrapText="0"/>
    </xf>
    <xf borderId="1" fillId="12" fontId="19" numFmtId="0" xfId="0" applyAlignment="1" applyBorder="1" applyFill="1" applyFont="1">
      <alignment shrinkToFit="0" vertical="bottom" wrapText="0"/>
    </xf>
    <xf borderId="1" fillId="3" fontId="19" numFmtId="0" xfId="0" applyAlignment="1" applyBorder="1" applyFill="1" applyFont="1">
      <alignment shrinkToFit="0" vertical="bottom" wrapText="0"/>
    </xf>
    <xf borderId="1" fillId="5" fontId="19" numFmtId="0" xfId="0" applyAlignment="1" applyBorder="1" applyFill="1" applyFont="1">
      <alignment shrinkToFit="0" vertical="bottom" wrapText="0"/>
    </xf>
    <xf borderId="1" fillId="13" fontId="19" numFmtId="0" xfId="0" applyAlignment="1" applyBorder="1" applyFill="1" applyFont="1">
      <alignment shrinkToFit="0" vertical="bottom" wrapText="0"/>
    </xf>
    <xf borderId="8" fillId="0" fontId="31" numFmtId="0" xfId="0" applyAlignment="1" applyBorder="1" applyFont="1">
      <alignment readingOrder="0" shrinkToFit="0" vertical="bottom" wrapText="0"/>
    </xf>
    <xf borderId="9" fillId="0" fontId="8" numFmtId="0" xfId="0" applyBorder="1" applyFont="1"/>
    <xf borderId="5" fillId="3" fontId="39" numFmtId="0" xfId="0" applyAlignment="1" applyBorder="1" applyFill="1" applyFont="1">
      <alignment horizontal="left" shrinkToFit="0" vertical="center" wrapText="0"/>
    </xf>
    <xf borderId="5" fillId="12" fontId="40" numFmtId="0" xfId="0" applyAlignment="1" applyBorder="1" applyFill="1" applyFont="1">
      <alignment horizontal="left" shrinkToFit="0" vertical="center" wrapText="0"/>
    </xf>
    <xf borderId="5" fillId="12" fontId="13" numFmtId="0" xfId="0" applyAlignment="1" applyBorder="1" applyFill="1" applyFont="1">
      <alignment horizontal="left" shrinkToFit="0" vertical="center" wrapText="0"/>
    </xf>
    <xf borderId="5" fillId="12" fontId="13" numFmtId="0" xfId="0" applyAlignment="1" applyBorder="1" applyFill="1" applyFont="1">
      <alignment horizontal="right" shrinkToFit="0" vertical="center" wrapText="0"/>
    </xf>
    <xf borderId="5" fillId="13" fontId="41" numFmtId="0" xfId="0" applyAlignment="1" applyBorder="1" applyFill="1" applyFont="1">
      <alignment horizontal="left" shrinkToFit="0" vertical="center" wrapText="0"/>
    </xf>
    <xf borderId="5" fillId="13" fontId="13" numFmtId="0" xfId="0" applyAlignment="1" applyBorder="1" applyFill="1" applyFont="1">
      <alignment horizontal="left" shrinkToFit="0" vertical="center" wrapText="0"/>
    </xf>
    <xf borderId="5" fillId="13" fontId="13" numFmtId="0" xfId="0" applyAlignment="1" applyBorder="1" applyFill="1" applyFont="1">
      <alignment horizontal="right" shrinkToFit="0" vertical="center" wrapText="0"/>
    </xf>
    <xf borderId="5" fillId="11" fontId="11" numFmtId="0" xfId="0" applyAlignment="1" applyBorder="1" applyFill="1" applyFont="1">
      <alignment horizontal="left" shrinkToFit="0" vertical="center" wrapText="0"/>
    </xf>
    <xf borderId="5" fillId="11" fontId="13" numFmtId="0" xfId="0" applyAlignment="1" applyBorder="1" applyFill="1" applyFont="1">
      <alignment horizontal="left" shrinkToFit="0" vertical="center" wrapText="0"/>
    </xf>
    <xf borderId="5" fillId="11" fontId="13" numFmtId="0" xfId="0" applyAlignment="1" applyBorder="1" applyFill="1" applyFont="1">
      <alignment horizontal="right" shrinkToFit="0" vertical="center" wrapText="0"/>
    </xf>
    <xf borderId="8" fillId="0" fontId="8" numFmtId="0" xfId="0" applyBorder="1" applyFont="1"/>
    <xf borderId="0" fillId="0" fontId="42" numFmtId="11" xfId="0" applyAlignment="1" applyFont="1" applyNumberFormat="1">
      <alignment horizontal="right" readingOrder="0" shrinkToFit="0" vertical="bottom" wrapText="0"/>
    </xf>
    <xf quotePrefix="1" borderId="0" fillId="0" fontId="31" numFmtId="0" xfId="0" applyAlignment="1" applyFont="1">
      <alignment readingOrder="0" shrinkToFit="0" vertical="bottom" wrapText="0"/>
    </xf>
    <xf borderId="1" fillId="13" fontId="43" numFmtId="0" xfId="0" applyAlignment="1" applyBorder="1" applyFill="1" applyFont="1">
      <alignment horizontal="left" shrinkToFit="0" vertical="center" wrapText="1"/>
    </xf>
    <xf borderId="0" fillId="13" fontId="43" numFmtId="0" xfId="0" applyAlignment="1" applyFill="1" applyFont="1">
      <alignment horizontal="left" readingOrder="0" shrinkToFit="0" vertical="center" wrapText="1"/>
    </xf>
    <xf borderId="0" fillId="13" fontId="43" numFmtId="0" xfId="0" applyAlignment="1" applyFill="1" applyFont="1">
      <alignment horizontal="left" shrinkToFit="0" vertical="center" wrapText="1"/>
    </xf>
    <xf borderId="0" fillId="13" fontId="43" numFmtId="0" xfId="0" applyAlignment="1" applyFill="1" applyFont="1">
      <alignment horizontal="left" readingOrder="0" shrinkToFit="0" vertical="center" wrapText="1"/>
    </xf>
    <xf borderId="0" fillId="13" fontId="43" numFmtId="166" xfId="0" applyAlignment="1" applyFill="1" applyFont="1" applyNumberForma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8.0"/>
    <col customWidth="1" min="2" max="2" width="29.0"/>
    <col customWidth="1" min="3" max="3" width="55.0"/>
    <col customWidth="1" min="4" max="4" width="8.0"/>
    <col customWidth="1" min="5" max="5" width="14.0"/>
    <col customWidth="1" min="6" max="6" width="22.0"/>
    <col customWidth="1" min="7" max="8" width="18.0"/>
    <col customWidth="1" min="9" max="9" width="8.0"/>
    <col customWidth="1" min="10" max="11" width="14.0"/>
    <col customWidth="1" min="12" max="12" width="12.0"/>
    <col customWidth="1" min="13" max="13" width="28.0"/>
    <col customWidth="1" min="14" max="14" width="30.0"/>
    <col customWidth="1" min="15" max="15" width="10.0"/>
    <col customWidth="1" min="16" max="16" width="12.0"/>
    <col customWidth="1" min="17" max="17" width="14.0"/>
    <col customWidth="1" min="18" max="18" width="20.0"/>
  </cols>
  <sheetData>
    <row r="1" ht="27.75" customHeight="1">
      <c r="A1" s="18" t="s">
        <v>348</v>
      </c>
      <c r="B1" s="19"/>
      <c r="C1" s="19"/>
      <c r="D1" s="19"/>
      <c r="E1" s="19"/>
      <c r="F1" s="19"/>
      <c r="G1" s="19"/>
      <c r="H1" s="19"/>
      <c r="I1" s="19"/>
      <c r="J1" s="19"/>
      <c r="K1" s="19"/>
      <c r="L1" s="19"/>
      <c r="M1" s="19"/>
      <c r="N1" s="19"/>
      <c r="O1" s="19"/>
      <c r="P1" s="19"/>
      <c r="Q1" s="19"/>
      <c r="R1" s="20"/>
    </row>
    <row r="2" ht="36.0" customHeight="1">
      <c r="A2" s="49" t="s">
        <v>6</v>
      </c>
      <c r="B2" s="49" t="s">
        <v>352</v>
      </c>
      <c r="C2" s="49" t="s">
        <v>8</v>
      </c>
      <c r="D2" s="49" t="s">
        <v>10</v>
      </c>
      <c r="E2" s="49" t="s">
        <v>355</v>
      </c>
      <c r="F2" s="49" t="s">
        <v>356</v>
      </c>
      <c r="G2" s="49" t="s">
        <v>357</v>
      </c>
      <c r="H2" s="49" t="s">
        <v>7</v>
      </c>
      <c r="I2" s="49" t="s">
        <v>12</v>
      </c>
      <c r="J2" s="49" t="s">
        <v>358</v>
      </c>
      <c r="K2" s="49" t="s">
        <v>359</v>
      </c>
      <c r="L2" s="49" t="s">
        <v>164</v>
      </c>
      <c r="M2" s="49" t="s">
        <v>360</v>
      </c>
      <c r="N2" s="49" t="s">
        <v>361</v>
      </c>
      <c r="O2" s="49" t="s">
        <v>21</v>
      </c>
      <c r="P2" s="49" t="s">
        <v>362</v>
      </c>
      <c r="Q2" s="49" t="s">
        <v>364</v>
      </c>
      <c r="R2" s="49" t="s">
        <v>19</v>
      </c>
    </row>
    <row r="3">
      <c r="A3" s="87" t="s">
        <v>170</v>
      </c>
      <c r="B3" s="88">
        <v>1.22E18</v>
      </c>
      <c r="C3" s="87" t="s">
        <v>368</v>
      </c>
      <c r="D3" s="87" t="s">
        <v>87</v>
      </c>
      <c r="E3" s="87" t="s">
        <v>88</v>
      </c>
      <c r="F3" s="87" t="s">
        <v>368</v>
      </c>
      <c r="H3" s="87" t="s">
        <v>369</v>
      </c>
      <c r="I3" s="87" t="s">
        <v>340</v>
      </c>
      <c r="J3" s="87" t="s">
        <v>370</v>
      </c>
      <c r="K3" s="90">
        <v>500000.0</v>
      </c>
      <c r="L3" s="92"/>
      <c r="M3" s="87" t="s">
        <v>200</v>
      </c>
      <c r="O3" s="87" t="s">
        <v>371</v>
      </c>
      <c r="P3" s="87" t="s">
        <v>372</v>
      </c>
    </row>
    <row r="4">
      <c r="A4" s="87" t="s">
        <v>173</v>
      </c>
      <c r="B4" s="88">
        <v>1.22E18</v>
      </c>
      <c r="C4" s="87" t="s">
        <v>339</v>
      </c>
      <c r="D4" s="87" t="s">
        <v>87</v>
      </c>
      <c r="E4" s="87" t="s">
        <v>88</v>
      </c>
      <c r="F4" s="87" t="s">
        <v>373</v>
      </c>
      <c r="H4" s="87" t="s">
        <v>374</v>
      </c>
      <c r="I4" s="87" t="s">
        <v>340</v>
      </c>
      <c r="J4" s="87" t="s">
        <v>375</v>
      </c>
      <c r="K4" s="90">
        <v>14350.0</v>
      </c>
      <c r="L4" s="92"/>
      <c r="M4" s="87" t="s">
        <v>200</v>
      </c>
      <c r="O4" s="87" t="s">
        <v>377</v>
      </c>
      <c r="P4" s="87" t="s">
        <v>372</v>
      </c>
    </row>
    <row r="5">
      <c r="A5" s="87" t="s">
        <v>190</v>
      </c>
      <c r="B5" s="88">
        <v>1.22E18</v>
      </c>
      <c r="C5" s="87" t="s">
        <v>303</v>
      </c>
      <c r="D5" s="87" t="s">
        <v>87</v>
      </c>
      <c r="E5" s="87" t="s">
        <v>88</v>
      </c>
      <c r="F5" s="87" t="s">
        <v>379</v>
      </c>
      <c r="G5" s="93"/>
      <c r="H5" s="87" t="s">
        <v>381</v>
      </c>
      <c r="J5" s="87" t="s">
        <v>382</v>
      </c>
      <c r="K5" s="90">
        <v>0.0</v>
      </c>
      <c r="L5" s="92"/>
      <c r="M5" s="87" t="s">
        <v>200</v>
      </c>
      <c r="N5" s="87" t="s">
        <v>383</v>
      </c>
      <c r="O5" s="87" t="s">
        <v>377</v>
      </c>
      <c r="P5" s="87" t="s">
        <v>372</v>
      </c>
    </row>
    <row r="6">
      <c r="A6" s="87" t="s">
        <v>384</v>
      </c>
      <c r="B6" s="88">
        <v>1.22E18</v>
      </c>
      <c r="C6" s="87" t="s">
        <v>314</v>
      </c>
      <c r="D6" s="87" t="s">
        <v>262</v>
      </c>
      <c r="E6" s="87" t="s">
        <v>267</v>
      </c>
      <c r="F6" s="87" t="s">
        <v>314</v>
      </c>
      <c r="H6" s="87" t="s">
        <v>385</v>
      </c>
      <c r="I6" s="87" t="s">
        <v>315</v>
      </c>
      <c r="J6" s="87" t="s">
        <v>386</v>
      </c>
      <c r="K6" s="90">
        <v>0.0</v>
      </c>
      <c r="L6" s="92"/>
      <c r="M6" s="87" t="s">
        <v>200</v>
      </c>
      <c r="N6" s="87" t="s">
        <v>387</v>
      </c>
      <c r="O6" s="87" t="s">
        <v>377</v>
      </c>
      <c r="P6" s="87" t="s">
        <v>372</v>
      </c>
    </row>
    <row r="7">
      <c r="A7" s="87" t="s">
        <v>223</v>
      </c>
      <c r="B7" s="88">
        <v>1.22E18</v>
      </c>
      <c r="C7" s="87" t="s">
        <v>388</v>
      </c>
      <c r="D7" s="87" t="s">
        <v>87</v>
      </c>
      <c r="E7" s="87" t="s">
        <v>88</v>
      </c>
      <c r="F7" s="87" t="s">
        <v>388</v>
      </c>
      <c r="H7" s="87" t="s">
        <v>369</v>
      </c>
      <c r="I7" s="87" t="s">
        <v>315</v>
      </c>
      <c r="J7" s="87" t="s">
        <v>389</v>
      </c>
      <c r="K7" s="90">
        <v>0.0</v>
      </c>
      <c r="L7" s="92"/>
      <c r="M7" s="87" t="s">
        <v>200</v>
      </c>
      <c r="N7" s="87" t="s">
        <v>390</v>
      </c>
      <c r="O7" s="87" t="s">
        <v>377</v>
      </c>
      <c r="P7" s="87" t="s">
        <v>372</v>
      </c>
    </row>
    <row r="8">
      <c r="A8" s="87" t="s">
        <v>392</v>
      </c>
      <c r="B8" s="88">
        <v>1.22E18</v>
      </c>
      <c r="C8" s="87" t="s">
        <v>393</v>
      </c>
      <c r="D8" s="87" t="s">
        <v>87</v>
      </c>
      <c r="E8" s="87" t="s">
        <v>88</v>
      </c>
      <c r="F8" s="87" t="s">
        <v>393</v>
      </c>
      <c r="H8" s="87" t="s">
        <v>395</v>
      </c>
      <c r="I8" s="87" t="s">
        <v>327</v>
      </c>
      <c r="J8" s="87" t="s">
        <v>396</v>
      </c>
      <c r="K8" s="90">
        <v>50000.0</v>
      </c>
      <c r="L8" s="92"/>
      <c r="M8" s="87" t="s">
        <v>200</v>
      </c>
      <c r="O8" s="87" t="s">
        <v>377</v>
      </c>
      <c r="P8" s="87" t="s">
        <v>372</v>
      </c>
    </row>
    <row r="9">
      <c r="A9" s="87" t="s">
        <v>397</v>
      </c>
      <c r="B9" s="88">
        <v>1.22E18</v>
      </c>
      <c r="C9" s="87" t="s">
        <v>398</v>
      </c>
      <c r="D9" s="87" t="s">
        <v>87</v>
      </c>
      <c r="E9" s="87" t="s">
        <v>88</v>
      </c>
      <c r="F9" s="87" t="s">
        <v>398</v>
      </c>
      <c r="H9" s="87" t="s">
        <v>395</v>
      </c>
      <c r="I9" s="87" t="s">
        <v>327</v>
      </c>
      <c r="J9" s="87" t="s">
        <v>400</v>
      </c>
      <c r="K9" s="90">
        <v>5000.0</v>
      </c>
      <c r="L9" s="92"/>
      <c r="M9" s="87" t="s">
        <v>200</v>
      </c>
      <c r="N9" s="87" t="s">
        <v>401</v>
      </c>
      <c r="O9" s="87" t="s">
        <v>377</v>
      </c>
      <c r="P9" s="87" t="s">
        <v>372</v>
      </c>
    </row>
    <row r="10">
      <c r="A10" s="87" t="s">
        <v>402</v>
      </c>
      <c r="B10" s="88">
        <v>1.22E18</v>
      </c>
      <c r="C10" s="87" t="s">
        <v>403</v>
      </c>
      <c r="D10" s="87" t="s">
        <v>87</v>
      </c>
      <c r="E10" s="87" t="s">
        <v>88</v>
      </c>
      <c r="F10" s="87" t="s">
        <v>403</v>
      </c>
      <c r="H10" s="87" t="s">
        <v>369</v>
      </c>
      <c r="I10" s="87" t="s">
        <v>315</v>
      </c>
      <c r="J10" s="87" t="s">
        <v>405</v>
      </c>
      <c r="K10" s="90">
        <v>0.0</v>
      </c>
      <c r="L10" s="92"/>
      <c r="M10" s="87" t="s">
        <v>200</v>
      </c>
      <c r="N10" s="87" t="s">
        <v>390</v>
      </c>
      <c r="O10" s="87" t="s">
        <v>377</v>
      </c>
      <c r="P10" s="87" t="s">
        <v>372</v>
      </c>
    </row>
    <row r="11">
      <c r="A11" s="87" t="s">
        <v>406</v>
      </c>
      <c r="B11" s="88">
        <v>1.22E18</v>
      </c>
      <c r="C11" s="87" t="s">
        <v>407</v>
      </c>
      <c r="D11" s="87" t="s">
        <v>87</v>
      </c>
      <c r="E11" s="87" t="s">
        <v>228</v>
      </c>
      <c r="F11" s="87" t="s">
        <v>373</v>
      </c>
      <c r="H11" s="87" t="s">
        <v>408</v>
      </c>
      <c r="I11" s="87" t="s">
        <v>340</v>
      </c>
      <c r="J11" s="87" t="s">
        <v>409</v>
      </c>
      <c r="K11" s="90">
        <v>2600.0</v>
      </c>
      <c r="L11" s="92"/>
      <c r="M11" s="87" t="s">
        <v>200</v>
      </c>
      <c r="O11" s="87" t="s">
        <v>377</v>
      </c>
      <c r="P11" s="87" t="s">
        <v>372</v>
      </c>
    </row>
    <row r="12">
      <c r="A12" s="87" t="s">
        <v>412</v>
      </c>
      <c r="B12" s="88">
        <v>1.22E18</v>
      </c>
      <c r="C12" s="87" t="s">
        <v>414</v>
      </c>
      <c r="D12" s="87" t="s">
        <v>57</v>
      </c>
      <c r="E12" s="87" t="s">
        <v>287</v>
      </c>
      <c r="F12" s="87" t="s">
        <v>415</v>
      </c>
      <c r="G12" s="93"/>
      <c r="H12" s="87" t="s">
        <v>416</v>
      </c>
      <c r="I12" s="87" t="s">
        <v>103</v>
      </c>
      <c r="J12" s="87" t="s">
        <v>417</v>
      </c>
      <c r="K12" s="90">
        <v>1.0</v>
      </c>
      <c r="L12" s="92"/>
      <c r="M12" s="93"/>
      <c r="N12" s="93"/>
      <c r="O12" s="87" t="s">
        <v>377</v>
      </c>
      <c r="P12" s="87" t="s">
        <v>372</v>
      </c>
    </row>
    <row r="13">
      <c r="A13" s="87" t="s">
        <v>325</v>
      </c>
      <c r="B13" s="88">
        <v>1.22E18</v>
      </c>
      <c r="C13" s="87" t="s">
        <v>326</v>
      </c>
      <c r="D13" s="87" t="s">
        <v>87</v>
      </c>
      <c r="E13" s="87" t="s">
        <v>88</v>
      </c>
      <c r="F13" s="87" t="s">
        <v>326</v>
      </c>
      <c r="H13" s="87" t="s">
        <v>369</v>
      </c>
      <c r="I13" s="87" t="s">
        <v>327</v>
      </c>
      <c r="J13" s="87" t="s">
        <v>424</v>
      </c>
      <c r="K13" s="90">
        <v>0.0</v>
      </c>
      <c r="L13" s="92"/>
      <c r="M13" s="87" t="s">
        <v>200</v>
      </c>
      <c r="N13" s="87" t="s">
        <v>390</v>
      </c>
      <c r="O13" s="87" t="s">
        <v>377</v>
      </c>
      <c r="P13" s="87" t="s">
        <v>372</v>
      </c>
    </row>
    <row r="14">
      <c r="A14" s="87" t="s">
        <v>425</v>
      </c>
      <c r="B14" s="88">
        <v>1.22E18</v>
      </c>
      <c r="C14" s="87" t="s">
        <v>426</v>
      </c>
      <c r="D14" s="87" t="s">
        <v>87</v>
      </c>
      <c r="E14" s="87" t="s">
        <v>88</v>
      </c>
      <c r="F14" s="87" t="s">
        <v>426</v>
      </c>
      <c r="H14" s="87" t="s">
        <v>369</v>
      </c>
      <c r="I14" s="87" t="s">
        <v>315</v>
      </c>
      <c r="J14" s="87" t="s">
        <v>430</v>
      </c>
      <c r="K14" s="90">
        <v>0.0</v>
      </c>
      <c r="L14" s="92"/>
      <c r="M14" s="87" t="s">
        <v>200</v>
      </c>
      <c r="O14" s="87" t="s">
        <v>377</v>
      </c>
      <c r="P14" s="87" t="s">
        <v>372</v>
      </c>
    </row>
    <row r="15">
      <c r="A15" s="87" t="s">
        <v>431</v>
      </c>
      <c r="B15" s="88">
        <v>1.22E18</v>
      </c>
      <c r="C15" s="87" t="s">
        <v>433</v>
      </c>
      <c r="D15" s="87" t="s">
        <v>87</v>
      </c>
      <c r="E15" s="87" t="s">
        <v>88</v>
      </c>
      <c r="F15" s="87" t="s">
        <v>433</v>
      </c>
      <c r="H15" s="87" t="s">
        <v>369</v>
      </c>
      <c r="I15" s="87" t="s">
        <v>327</v>
      </c>
      <c r="J15" s="87" t="s">
        <v>436</v>
      </c>
      <c r="K15" s="90">
        <v>7980.0</v>
      </c>
      <c r="L15" s="92"/>
      <c r="M15" s="87" t="s">
        <v>200</v>
      </c>
      <c r="O15" s="87" t="s">
        <v>377</v>
      </c>
      <c r="P15" s="87" t="s">
        <v>372</v>
      </c>
    </row>
    <row r="16">
      <c r="A16" s="87" t="s">
        <v>438</v>
      </c>
      <c r="B16" s="88">
        <v>1.22E18</v>
      </c>
      <c r="C16" s="87" t="s">
        <v>441</v>
      </c>
      <c r="D16" s="87" t="s">
        <v>87</v>
      </c>
      <c r="E16" s="87" t="s">
        <v>233</v>
      </c>
      <c r="F16" s="87" t="s">
        <v>441</v>
      </c>
      <c r="H16" s="87" t="s">
        <v>369</v>
      </c>
      <c r="I16" s="87" t="s">
        <v>340</v>
      </c>
      <c r="J16" s="87" t="s">
        <v>442</v>
      </c>
      <c r="K16" s="90">
        <v>100000.0</v>
      </c>
      <c r="L16" s="92"/>
      <c r="M16" s="87" t="s">
        <v>200</v>
      </c>
      <c r="N16" s="87" t="s">
        <v>390</v>
      </c>
      <c r="O16" s="87" t="s">
        <v>377</v>
      </c>
      <c r="P16" s="87" t="s">
        <v>372</v>
      </c>
    </row>
    <row r="17">
      <c r="A17" s="87" t="s">
        <v>445</v>
      </c>
      <c r="B17" s="88">
        <v>1.22E18</v>
      </c>
      <c r="C17" s="87" t="s">
        <v>446</v>
      </c>
      <c r="D17" s="87" t="s">
        <v>87</v>
      </c>
      <c r="E17" s="87" t="s">
        <v>88</v>
      </c>
      <c r="F17" s="87" t="s">
        <v>446</v>
      </c>
      <c r="H17" s="87" t="s">
        <v>369</v>
      </c>
      <c r="I17" s="87" t="s">
        <v>327</v>
      </c>
      <c r="J17" s="87" t="s">
        <v>449</v>
      </c>
      <c r="K17" s="90">
        <v>0.0</v>
      </c>
      <c r="L17" s="92"/>
      <c r="M17" s="87" t="s">
        <v>200</v>
      </c>
      <c r="N17" s="87" t="s">
        <v>390</v>
      </c>
      <c r="O17" s="87" t="s">
        <v>377</v>
      </c>
      <c r="P17" s="87" t="s">
        <v>372</v>
      </c>
    </row>
    <row r="18">
      <c r="A18" s="87" t="s">
        <v>452</v>
      </c>
      <c r="B18" s="88">
        <v>1.22E18</v>
      </c>
      <c r="C18" s="87" t="s">
        <v>454</v>
      </c>
      <c r="D18" s="87" t="s">
        <v>87</v>
      </c>
      <c r="E18" s="87" t="s">
        <v>88</v>
      </c>
      <c r="F18" s="87" t="s">
        <v>454</v>
      </c>
      <c r="H18" s="87" t="s">
        <v>369</v>
      </c>
      <c r="I18" s="87" t="s">
        <v>327</v>
      </c>
      <c r="J18" s="87" t="s">
        <v>458</v>
      </c>
      <c r="K18" s="90">
        <v>0.0</v>
      </c>
      <c r="L18" s="92"/>
      <c r="M18" s="87" t="s">
        <v>200</v>
      </c>
      <c r="N18" s="87" t="s">
        <v>390</v>
      </c>
      <c r="O18" s="87" t="s">
        <v>377</v>
      </c>
      <c r="P18" s="87" t="s">
        <v>372</v>
      </c>
    </row>
    <row r="19">
      <c r="A19" s="87" t="s">
        <v>460</v>
      </c>
      <c r="B19" s="88">
        <v>1.22E18</v>
      </c>
      <c r="C19" s="87" t="s">
        <v>461</v>
      </c>
      <c r="D19" s="87" t="s">
        <v>87</v>
      </c>
      <c r="E19" s="87" t="s">
        <v>88</v>
      </c>
      <c r="F19" s="87" t="s">
        <v>461</v>
      </c>
      <c r="H19" s="87" t="s">
        <v>369</v>
      </c>
      <c r="I19" s="87" t="s">
        <v>315</v>
      </c>
      <c r="J19" s="87" t="s">
        <v>464</v>
      </c>
      <c r="K19" s="90">
        <v>0.0</v>
      </c>
      <c r="L19" s="92"/>
      <c r="M19" s="87" t="s">
        <v>200</v>
      </c>
      <c r="N19" s="87" t="s">
        <v>390</v>
      </c>
      <c r="O19" s="87" t="s">
        <v>377</v>
      </c>
      <c r="P19" s="87" t="s">
        <v>372</v>
      </c>
    </row>
    <row r="20">
      <c r="A20" s="87" t="s">
        <v>466</v>
      </c>
      <c r="B20" s="88">
        <v>1.22E18</v>
      </c>
      <c r="C20" s="87" t="s">
        <v>467</v>
      </c>
      <c r="D20" s="87" t="s">
        <v>87</v>
      </c>
      <c r="E20" s="87" t="s">
        <v>88</v>
      </c>
      <c r="F20" s="87" t="s">
        <v>467</v>
      </c>
      <c r="H20" s="87" t="s">
        <v>471</v>
      </c>
      <c r="I20" s="87" t="s">
        <v>327</v>
      </c>
      <c r="J20" s="87" t="s">
        <v>473</v>
      </c>
      <c r="K20" s="90">
        <v>251357.0</v>
      </c>
      <c r="L20" s="92"/>
      <c r="M20" s="87" t="s">
        <v>200</v>
      </c>
      <c r="N20" s="87" t="s">
        <v>474</v>
      </c>
      <c r="O20" s="87" t="s">
        <v>377</v>
      </c>
      <c r="P20" s="87" t="s">
        <v>372</v>
      </c>
    </row>
    <row r="21" ht="15.75" customHeight="1">
      <c r="A21" s="87" t="s">
        <v>476</v>
      </c>
      <c r="B21" s="88">
        <v>1.22E18</v>
      </c>
      <c r="C21" s="87" t="s">
        <v>477</v>
      </c>
      <c r="D21" s="87" t="s">
        <v>87</v>
      </c>
      <c r="E21" s="87" t="s">
        <v>88</v>
      </c>
      <c r="F21" s="87" t="s">
        <v>477</v>
      </c>
      <c r="H21" s="87" t="s">
        <v>369</v>
      </c>
      <c r="I21" s="87" t="s">
        <v>315</v>
      </c>
      <c r="J21" s="87" t="s">
        <v>478</v>
      </c>
      <c r="K21" s="90">
        <v>480000.0</v>
      </c>
      <c r="L21" s="92"/>
      <c r="M21" s="87" t="s">
        <v>200</v>
      </c>
      <c r="N21" s="87" t="s">
        <v>390</v>
      </c>
      <c r="O21" s="87" t="s">
        <v>377</v>
      </c>
      <c r="P21" s="87" t="s">
        <v>372</v>
      </c>
    </row>
    <row r="22" ht="15.75" customHeight="1">
      <c r="A22" s="87" t="s">
        <v>483</v>
      </c>
      <c r="B22" s="88">
        <v>1.22E18</v>
      </c>
      <c r="C22" s="87" t="s">
        <v>484</v>
      </c>
      <c r="D22" s="87" t="s">
        <v>87</v>
      </c>
      <c r="E22" s="87" t="s">
        <v>88</v>
      </c>
      <c r="F22" s="87" t="s">
        <v>484</v>
      </c>
      <c r="H22" s="87" t="s">
        <v>487</v>
      </c>
      <c r="I22" s="87" t="s">
        <v>340</v>
      </c>
      <c r="J22" s="87" t="s">
        <v>488</v>
      </c>
      <c r="K22" s="90">
        <v>0.0</v>
      </c>
      <c r="L22" s="92"/>
      <c r="M22" s="87" t="s">
        <v>200</v>
      </c>
      <c r="N22" s="87" t="s">
        <v>489</v>
      </c>
      <c r="O22" s="87" t="s">
        <v>377</v>
      </c>
      <c r="P22" s="87" t="s">
        <v>372</v>
      </c>
    </row>
    <row r="23" ht="15.75" customHeight="1">
      <c r="A23" s="87" t="s">
        <v>490</v>
      </c>
      <c r="B23" s="88">
        <v>1.22E18</v>
      </c>
      <c r="C23" s="87" t="s">
        <v>491</v>
      </c>
      <c r="D23" s="87" t="s">
        <v>87</v>
      </c>
      <c r="E23" s="87" t="s">
        <v>88</v>
      </c>
      <c r="F23" s="87" t="s">
        <v>491</v>
      </c>
      <c r="H23" s="87" t="s">
        <v>369</v>
      </c>
      <c r="I23" s="87" t="s">
        <v>315</v>
      </c>
      <c r="J23" s="87" t="s">
        <v>492</v>
      </c>
      <c r="K23" s="90">
        <v>0.0</v>
      </c>
      <c r="L23" s="92"/>
      <c r="M23" s="87" t="s">
        <v>200</v>
      </c>
      <c r="N23" s="87" t="s">
        <v>390</v>
      </c>
      <c r="O23" s="87" t="s">
        <v>377</v>
      </c>
      <c r="P23" s="87" t="s">
        <v>372</v>
      </c>
    </row>
    <row r="24" ht="15.75" customHeight="1">
      <c r="A24" s="87" t="s">
        <v>168</v>
      </c>
      <c r="B24" s="88">
        <v>1.22E18</v>
      </c>
      <c r="C24" s="87" t="s">
        <v>493</v>
      </c>
      <c r="D24" s="87" t="s">
        <v>87</v>
      </c>
      <c r="E24" s="87" t="s">
        <v>241</v>
      </c>
      <c r="F24" s="87" t="s">
        <v>493</v>
      </c>
      <c r="H24" s="87" t="s">
        <v>494</v>
      </c>
      <c r="I24" s="87" t="s">
        <v>495</v>
      </c>
      <c r="J24" s="87" t="s">
        <v>496</v>
      </c>
      <c r="K24" s="90">
        <v>0.0</v>
      </c>
      <c r="L24" s="92"/>
      <c r="M24" s="87" t="s">
        <v>200</v>
      </c>
      <c r="N24" s="87" t="s">
        <v>497</v>
      </c>
      <c r="O24" s="87" t="s">
        <v>377</v>
      </c>
      <c r="P24" s="87" t="s">
        <v>372</v>
      </c>
    </row>
    <row r="25" ht="15.75" customHeight="1">
      <c r="A25" s="87" t="s">
        <v>498</v>
      </c>
      <c r="B25" s="88">
        <v>1.22E18</v>
      </c>
      <c r="C25" s="87" t="s">
        <v>499</v>
      </c>
      <c r="D25" s="87" t="s">
        <v>87</v>
      </c>
      <c r="E25" s="87" t="s">
        <v>233</v>
      </c>
      <c r="F25" s="87" t="s">
        <v>499</v>
      </c>
      <c r="H25" s="87" t="s">
        <v>500</v>
      </c>
      <c r="I25" s="87" t="s">
        <v>340</v>
      </c>
      <c r="J25" s="87" t="s">
        <v>501</v>
      </c>
      <c r="K25" s="90">
        <v>7000.0</v>
      </c>
      <c r="L25" s="92"/>
      <c r="M25" s="87" t="s">
        <v>200</v>
      </c>
      <c r="N25" s="87" t="s">
        <v>502</v>
      </c>
      <c r="O25" s="87" t="s">
        <v>377</v>
      </c>
      <c r="P25" s="87" t="s">
        <v>372</v>
      </c>
    </row>
    <row r="26" ht="15.75" customHeight="1">
      <c r="A26" s="87" t="s">
        <v>503</v>
      </c>
      <c r="B26" s="88">
        <v>1.22E18</v>
      </c>
      <c r="C26" s="87" t="s">
        <v>504</v>
      </c>
      <c r="D26" s="87" t="s">
        <v>87</v>
      </c>
      <c r="E26" s="87" t="s">
        <v>241</v>
      </c>
      <c r="F26" s="87" t="s">
        <v>504</v>
      </c>
      <c r="H26" s="87" t="s">
        <v>494</v>
      </c>
      <c r="I26" s="87" t="s">
        <v>495</v>
      </c>
      <c r="J26" s="87" t="s">
        <v>505</v>
      </c>
      <c r="K26" s="90">
        <v>0.0</v>
      </c>
      <c r="L26" s="92"/>
      <c r="M26" s="87" t="s">
        <v>200</v>
      </c>
      <c r="N26" s="87" t="s">
        <v>497</v>
      </c>
      <c r="O26" s="87" t="s">
        <v>377</v>
      </c>
      <c r="P26" s="87" t="s">
        <v>372</v>
      </c>
    </row>
    <row r="27" ht="15.75" customHeight="1">
      <c r="A27" s="87" t="s">
        <v>506</v>
      </c>
      <c r="B27" s="88">
        <v>1.22E18</v>
      </c>
      <c r="C27" s="87" t="s">
        <v>507</v>
      </c>
      <c r="D27" s="87" t="s">
        <v>87</v>
      </c>
      <c r="E27" s="87" t="s">
        <v>241</v>
      </c>
      <c r="F27" s="87" t="s">
        <v>507</v>
      </c>
      <c r="H27" s="87" t="s">
        <v>494</v>
      </c>
      <c r="I27" s="87" t="s">
        <v>495</v>
      </c>
      <c r="J27" s="87" t="s">
        <v>505</v>
      </c>
      <c r="K27" s="90">
        <v>0.0</v>
      </c>
      <c r="L27" s="92"/>
      <c r="M27" s="87" t="s">
        <v>200</v>
      </c>
      <c r="N27" s="87" t="s">
        <v>497</v>
      </c>
      <c r="O27" s="87" t="s">
        <v>377</v>
      </c>
      <c r="P27" s="87" t="s">
        <v>372</v>
      </c>
    </row>
    <row r="28" ht="15.75" customHeight="1">
      <c r="A28" s="87" t="s">
        <v>509</v>
      </c>
      <c r="B28" s="88">
        <v>1.22E18</v>
      </c>
      <c r="C28" s="87" t="s">
        <v>510</v>
      </c>
      <c r="D28" s="87" t="s">
        <v>87</v>
      </c>
      <c r="E28" s="87" t="s">
        <v>88</v>
      </c>
      <c r="F28" s="118" t="s">
        <v>510</v>
      </c>
      <c r="G28" s="119"/>
      <c r="H28" s="87" t="s">
        <v>369</v>
      </c>
      <c r="I28" s="87" t="s">
        <v>315</v>
      </c>
      <c r="J28" s="87" t="s">
        <v>513</v>
      </c>
      <c r="K28" s="90">
        <v>0.0</v>
      </c>
      <c r="L28" s="92"/>
      <c r="M28" s="87" t="s">
        <v>200</v>
      </c>
      <c r="N28" s="87" t="s">
        <v>390</v>
      </c>
      <c r="O28" s="87" t="s">
        <v>377</v>
      </c>
      <c r="P28" s="87" t="s">
        <v>372</v>
      </c>
    </row>
    <row r="29" ht="15.75" customHeight="1">
      <c r="A29" s="87" t="s">
        <v>514</v>
      </c>
      <c r="B29" s="88">
        <v>1.22E18</v>
      </c>
      <c r="C29" s="87" t="s">
        <v>515</v>
      </c>
      <c r="D29" s="87" t="s">
        <v>87</v>
      </c>
      <c r="E29" s="87" t="s">
        <v>88</v>
      </c>
      <c r="F29" s="87" t="s">
        <v>515</v>
      </c>
      <c r="H29" s="87" t="s">
        <v>369</v>
      </c>
      <c r="I29" s="87" t="s">
        <v>327</v>
      </c>
      <c r="J29" s="87" t="s">
        <v>516</v>
      </c>
      <c r="K29" s="90">
        <v>0.0</v>
      </c>
      <c r="L29" s="92"/>
      <c r="M29" s="87" t="s">
        <v>200</v>
      </c>
      <c r="N29" s="87" t="s">
        <v>390</v>
      </c>
      <c r="O29" s="87" t="s">
        <v>377</v>
      </c>
      <c r="P29" s="87" t="s">
        <v>372</v>
      </c>
    </row>
    <row r="30" ht="15.75" customHeight="1">
      <c r="A30" s="87" t="s">
        <v>167</v>
      </c>
      <c r="B30" s="88">
        <v>1.22E18</v>
      </c>
      <c r="C30" s="87" t="s">
        <v>517</v>
      </c>
      <c r="D30" s="87" t="s">
        <v>87</v>
      </c>
      <c r="E30" s="87" t="s">
        <v>228</v>
      </c>
      <c r="F30" s="87" t="s">
        <v>517</v>
      </c>
      <c r="H30" s="87" t="s">
        <v>518</v>
      </c>
      <c r="I30" s="87" t="s">
        <v>315</v>
      </c>
      <c r="J30" s="87" t="s">
        <v>519</v>
      </c>
      <c r="K30" s="90">
        <v>0.0</v>
      </c>
      <c r="L30" s="92"/>
      <c r="M30" s="87" t="s">
        <v>200</v>
      </c>
      <c r="O30" s="87" t="s">
        <v>377</v>
      </c>
      <c r="P30" s="87" t="s">
        <v>372</v>
      </c>
    </row>
    <row r="31" ht="15.75" customHeight="1">
      <c r="A31" s="87" t="s">
        <v>520</v>
      </c>
      <c r="B31" s="88">
        <v>1.22E18</v>
      </c>
      <c r="C31" s="87" t="s">
        <v>521</v>
      </c>
      <c r="D31" s="87" t="s">
        <v>87</v>
      </c>
      <c r="E31" s="87" t="s">
        <v>233</v>
      </c>
      <c r="F31" s="87" t="s">
        <v>521</v>
      </c>
      <c r="H31" s="87" t="s">
        <v>471</v>
      </c>
      <c r="I31" s="87" t="s">
        <v>327</v>
      </c>
      <c r="J31" s="87" t="s">
        <v>522</v>
      </c>
      <c r="K31" s="90">
        <v>0.0</v>
      </c>
      <c r="L31" s="92"/>
      <c r="M31" s="87" t="s">
        <v>200</v>
      </c>
      <c r="O31" s="87" t="s">
        <v>377</v>
      </c>
      <c r="P31" s="87" t="s">
        <v>372</v>
      </c>
    </row>
    <row r="32" ht="15.75" customHeight="1">
      <c r="A32" s="87" t="s">
        <v>523</v>
      </c>
      <c r="B32" s="88">
        <v>1.22E18</v>
      </c>
      <c r="C32" s="87" t="s">
        <v>524</v>
      </c>
      <c r="D32" s="87" t="s">
        <v>87</v>
      </c>
      <c r="E32" s="87" t="s">
        <v>233</v>
      </c>
      <c r="F32" s="87" t="s">
        <v>524</v>
      </c>
      <c r="H32" s="87" t="s">
        <v>525</v>
      </c>
      <c r="I32" s="87" t="s">
        <v>340</v>
      </c>
      <c r="J32" s="87" t="s">
        <v>526</v>
      </c>
      <c r="K32" s="90">
        <v>33000.0</v>
      </c>
      <c r="L32" s="92"/>
      <c r="M32" s="87" t="s">
        <v>200</v>
      </c>
      <c r="N32" s="87" t="s">
        <v>527</v>
      </c>
      <c r="O32" s="87" t="s">
        <v>377</v>
      </c>
      <c r="P32" s="87" t="s">
        <v>372</v>
      </c>
    </row>
    <row r="33" ht="15.75" customHeight="1">
      <c r="A33" s="87" t="s">
        <v>528</v>
      </c>
      <c r="B33" s="88">
        <v>1.22E18</v>
      </c>
      <c r="C33" s="87" t="s">
        <v>524</v>
      </c>
      <c r="D33" s="87" t="s">
        <v>87</v>
      </c>
      <c r="E33" s="87" t="s">
        <v>233</v>
      </c>
      <c r="F33" s="87" t="s">
        <v>524</v>
      </c>
      <c r="H33" s="87" t="s">
        <v>525</v>
      </c>
      <c r="I33" s="87" t="s">
        <v>340</v>
      </c>
      <c r="J33" s="87" t="s">
        <v>526</v>
      </c>
      <c r="K33" s="90">
        <v>33000.0</v>
      </c>
      <c r="L33" s="92"/>
      <c r="M33" s="87" t="s">
        <v>529</v>
      </c>
      <c r="N33" s="87" t="s">
        <v>527</v>
      </c>
      <c r="O33" s="87" t="s">
        <v>377</v>
      </c>
      <c r="P33" s="87" t="s">
        <v>372</v>
      </c>
    </row>
    <row r="34" ht="15.75" customHeight="1">
      <c r="A34" s="87" t="s">
        <v>530</v>
      </c>
      <c r="B34" s="88">
        <v>1.22E18</v>
      </c>
      <c r="C34" s="87" t="s">
        <v>531</v>
      </c>
      <c r="D34" s="87" t="s">
        <v>87</v>
      </c>
      <c r="E34" s="87" t="s">
        <v>233</v>
      </c>
      <c r="F34" s="87" t="s">
        <v>531</v>
      </c>
      <c r="H34" s="87" t="s">
        <v>525</v>
      </c>
      <c r="I34" s="87" t="s">
        <v>340</v>
      </c>
      <c r="J34" s="87" t="s">
        <v>532</v>
      </c>
      <c r="K34" s="90">
        <v>0.0</v>
      </c>
      <c r="L34" s="92"/>
      <c r="M34" s="87" t="s">
        <v>200</v>
      </c>
      <c r="N34" s="87" t="s">
        <v>527</v>
      </c>
      <c r="O34" s="87" t="s">
        <v>377</v>
      </c>
      <c r="P34" s="87" t="s">
        <v>372</v>
      </c>
    </row>
    <row r="35" ht="15.75" customHeight="1">
      <c r="A35" s="87" t="s">
        <v>533</v>
      </c>
      <c r="B35" s="88">
        <v>1.22E18</v>
      </c>
      <c r="C35" s="87" t="s">
        <v>534</v>
      </c>
      <c r="D35" s="87" t="s">
        <v>87</v>
      </c>
      <c r="E35" s="87" t="s">
        <v>233</v>
      </c>
      <c r="F35" s="87" t="s">
        <v>534</v>
      </c>
      <c r="H35" s="87" t="s">
        <v>525</v>
      </c>
      <c r="I35" s="87" t="s">
        <v>340</v>
      </c>
      <c r="J35" s="87" t="s">
        <v>532</v>
      </c>
      <c r="K35" s="90">
        <v>0.0</v>
      </c>
      <c r="L35" s="92"/>
      <c r="M35" s="87" t="s">
        <v>200</v>
      </c>
      <c r="N35" s="87" t="s">
        <v>527</v>
      </c>
      <c r="O35" s="87" t="s">
        <v>377</v>
      </c>
      <c r="P35" s="87" t="s">
        <v>372</v>
      </c>
    </row>
    <row r="36" ht="15.75" customHeight="1">
      <c r="A36" s="87" t="s">
        <v>536</v>
      </c>
      <c r="B36" s="88">
        <v>1.22E18</v>
      </c>
      <c r="C36" s="87" t="s">
        <v>537</v>
      </c>
      <c r="D36" s="87" t="s">
        <v>87</v>
      </c>
      <c r="E36" s="87" t="s">
        <v>233</v>
      </c>
      <c r="F36" s="87" t="s">
        <v>537</v>
      </c>
      <c r="H36" s="87" t="s">
        <v>525</v>
      </c>
      <c r="I36" s="87" t="s">
        <v>340</v>
      </c>
      <c r="J36" s="87" t="s">
        <v>532</v>
      </c>
      <c r="K36" s="90">
        <v>0.0</v>
      </c>
      <c r="L36" s="92"/>
      <c r="M36" s="87" t="s">
        <v>200</v>
      </c>
      <c r="O36" s="87" t="s">
        <v>377</v>
      </c>
      <c r="P36" s="87" t="s">
        <v>372</v>
      </c>
    </row>
    <row r="37" ht="15.75" customHeight="1">
      <c r="A37" s="87" t="s">
        <v>538</v>
      </c>
      <c r="B37" s="88">
        <v>1.22E18</v>
      </c>
      <c r="C37" s="87" t="s">
        <v>539</v>
      </c>
      <c r="D37" s="87" t="s">
        <v>87</v>
      </c>
      <c r="E37" s="87" t="s">
        <v>233</v>
      </c>
      <c r="F37" s="87" t="s">
        <v>539</v>
      </c>
      <c r="H37" s="87" t="s">
        <v>525</v>
      </c>
      <c r="I37" s="87" t="s">
        <v>340</v>
      </c>
      <c r="J37" s="87" t="s">
        <v>532</v>
      </c>
      <c r="K37" s="90">
        <v>0.0</v>
      </c>
      <c r="L37" s="92"/>
      <c r="M37" s="87" t="s">
        <v>200</v>
      </c>
      <c r="N37" s="87" t="s">
        <v>527</v>
      </c>
      <c r="O37" s="87" t="s">
        <v>377</v>
      </c>
      <c r="P37" s="87" t="s">
        <v>372</v>
      </c>
    </row>
    <row r="38" ht="15.75" customHeight="1">
      <c r="A38" s="87" t="s">
        <v>540</v>
      </c>
      <c r="B38" s="88">
        <v>1.22E18</v>
      </c>
      <c r="C38" s="87" t="s">
        <v>541</v>
      </c>
      <c r="D38" s="87" t="s">
        <v>87</v>
      </c>
      <c r="E38" s="87" t="s">
        <v>233</v>
      </c>
      <c r="F38" s="87" t="s">
        <v>541</v>
      </c>
      <c r="H38" s="87" t="s">
        <v>525</v>
      </c>
      <c r="I38" s="87" t="s">
        <v>340</v>
      </c>
      <c r="J38" s="87" t="s">
        <v>532</v>
      </c>
      <c r="K38" s="90">
        <v>0.0</v>
      </c>
      <c r="L38" s="92"/>
      <c r="M38" s="87" t="s">
        <v>200</v>
      </c>
      <c r="O38" s="87" t="s">
        <v>377</v>
      </c>
      <c r="P38" s="87" t="s">
        <v>372</v>
      </c>
    </row>
    <row r="39" ht="15.75" customHeight="1">
      <c r="A39" s="87" t="s">
        <v>542</v>
      </c>
      <c r="B39" s="88">
        <v>1.22E18</v>
      </c>
      <c r="C39" s="87" t="s">
        <v>543</v>
      </c>
      <c r="D39" s="87" t="s">
        <v>87</v>
      </c>
      <c r="E39" s="87" t="s">
        <v>233</v>
      </c>
      <c r="F39" s="87" t="s">
        <v>543</v>
      </c>
      <c r="H39" s="87" t="s">
        <v>525</v>
      </c>
      <c r="I39" s="87" t="s">
        <v>340</v>
      </c>
      <c r="J39" s="87" t="s">
        <v>532</v>
      </c>
      <c r="K39" s="90">
        <v>0.0</v>
      </c>
      <c r="L39" s="92"/>
      <c r="M39" s="87" t="s">
        <v>200</v>
      </c>
      <c r="N39" s="87" t="s">
        <v>527</v>
      </c>
      <c r="O39" s="87" t="s">
        <v>377</v>
      </c>
      <c r="P39" s="87" t="s">
        <v>372</v>
      </c>
    </row>
    <row r="40" ht="15.75" customHeight="1">
      <c r="A40" s="87" t="s">
        <v>544</v>
      </c>
      <c r="B40" s="88">
        <v>1.22E18</v>
      </c>
      <c r="C40" s="87" t="s">
        <v>545</v>
      </c>
      <c r="D40" s="87" t="s">
        <v>87</v>
      </c>
      <c r="E40" s="87" t="s">
        <v>233</v>
      </c>
      <c r="F40" s="87" t="s">
        <v>545</v>
      </c>
      <c r="H40" s="87" t="s">
        <v>525</v>
      </c>
      <c r="I40" s="87" t="s">
        <v>340</v>
      </c>
      <c r="J40" s="87" t="s">
        <v>532</v>
      </c>
      <c r="K40" s="90">
        <v>0.0</v>
      </c>
      <c r="L40" s="92"/>
      <c r="M40" s="87" t="s">
        <v>200</v>
      </c>
      <c r="N40" s="87" t="s">
        <v>527</v>
      </c>
      <c r="O40" s="87" t="s">
        <v>377</v>
      </c>
      <c r="P40" s="87" t="s">
        <v>372</v>
      </c>
    </row>
    <row r="41" ht="15.75" customHeight="1">
      <c r="A41" s="87" t="s">
        <v>546</v>
      </c>
      <c r="B41" s="88">
        <v>1.22E18</v>
      </c>
      <c r="C41" s="87" t="s">
        <v>547</v>
      </c>
      <c r="D41" s="87" t="s">
        <v>87</v>
      </c>
      <c r="E41" s="87" t="s">
        <v>233</v>
      </c>
      <c r="F41" s="87" t="s">
        <v>547</v>
      </c>
      <c r="H41" s="87" t="s">
        <v>525</v>
      </c>
      <c r="I41" s="87" t="s">
        <v>340</v>
      </c>
      <c r="J41" s="87" t="s">
        <v>532</v>
      </c>
      <c r="K41" s="90">
        <v>0.0</v>
      </c>
      <c r="L41" s="92"/>
      <c r="M41" s="87" t="s">
        <v>200</v>
      </c>
      <c r="N41" s="87" t="s">
        <v>527</v>
      </c>
      <c r="O41" s="87" t="s">
        <v>377</v>
      </c>
      <c r="P41" s="87" t="s">
        <v>372</v>
      </c>
    </row>
    <row r="42" ht="15.75" customHeight="1">
      <c r="A42" s="87" t="s">
        <v>548</v>
      </c>
      <c r="B42" s="88">
        <v>1.22E18</v>
      </c>
      <c r="C42" s="87" t="s">
        <v>549</v>
      </c>
      <c r="D42" s="87" t="s">
        <v>87</v>
      </c>
      <c r="E42" s="87" t="s">
        <v>88</v>
      </c>
      <c r="F42" s="87" t="s">
        <v>373</v>
      </c>
      <c r="H42" s="87" t="s">
        <v>369</v>
      </c>
      <c r="I42" s="87" t="s">
        <v>340</v>
      </c>
      <c r="J42" s="87" t="s">
        <v>550</v>
      </c>
      <c r="K42" s="90">
        <v>2000.0</v>
      </c>
      <c r="L42" s="92"/>
      <c r="M42" s="87" t="s">
        <v>200</v>
      </c>
      <c r="N42" s="87" t="s">
        <v>390</v>
      </c>
      <c r="O42" s="87" t="s">
        <v>377</v>
      </c>
      <c r="P42" s="87" t="s">
        <v>372</v>
      </c>
    </row>
    <row r="43" ht="15.75" customHeight="1">
      <c r="A43" s="87" t="s">
        <v>551</v>
      </c>
      <c r="B43" s="88">
        <v>1.22E18</v>
      </c>
      <c r="C43" s="87" t="s">
        <v>552</v>
      </c>
      <c r="D43" s="87" t="s">
        <v>87</v>
      </c>
      <c r="E43" s="87" t="s">
        <v>233</v>
      </c>
      <c r="F43" s="87" t="s">
        <v>552</v>
      </c>
      <c r="H43" s="87" t="s">
        <v>369</v>
      </c>
      <c r="I43" s="87" t="s">
        <v>340</v>
      </c>
      <c r="J43" s="87" t="s">
        <v>553</v>
      </c>
      <c r="K43" s="90">
        <v>10.0</v>
      </c>
      <c r="L43" s="92"/>
      <c r="M43" s="87" t="s">
        <v>200</v>
      </c>
      <c r="N43" s="87" t="s">
        <v>390</v>
      </c>
      <c r="O43" s="87" t="s">
        <v>377</v>
      </c>
      <c r="P43" s="87" t="s">
        <v>372</v>
      </c>
    </row>
    <row r="44" ht="15.75" customHeight="1">
      <c r="A44" s="87" t="s">
        <v>554</v>
      </c>
      <c r="B44" s="88">
        <v>1.22E18</v>
      </c>
      <c r="C44" s="87" t="s">
        <v>555</v>
      </c>
      <c r="D44" s="87" t="s">
        <v>87</v>
      </c>
      <c r="E44" s="87" t="s">
        <v>233</v>
      </c>
      <c r="F44" s="87" t="s">
        <v>555</v>
      </c>
      <c r="H44" s="87" t="s">
        <v>369</v>
      </c>
      <c r="I44" s="87" t="s">
        <v>340</v>
      </c>
      <c r="J44" s="87" t="s">
        <v>553</v>
      </c>
      <c r="K44" s="90">
        <v>125000.0</v>
      </c>
      <c r="L44" s="92"/>
      <c r="M44" s="87" t="s">
        <v>200</v>
      </c>
      <c r="N44" s="87" t="s">
        <v>390</v>
      </c>
      <c r="O44" s="87" t="s">
        <v>377</v>
      </c>
      <c r="P44" s="87" t="s">
        <v>372</v>
      </c>
    </row>
    <row r="45" ht="15.75" customHeight="1">
      <c r="A45" s="87" t="s">
        <v>556</v>
      </c>
      <c r="B45" s="88">
        <v>1.22E18</v>
      </c>
      <c r="C45" s="87" t="s">
        <v>557</v>
      </c>
      <c r="D45" s="87" t="s">
        <v>87</v>
      </c>
      <c r="E45" s="87" t="s">
        <v>233</v>
      </c>
      <c r="F45" s="87" t="s">
        <v>557</v>
      </c>
      <c r="H45" s="87" t="s">
        <v>369</v>
      </c>
      <c r="I45" s="87" t="s">
        <v>340</v>
      </c>
      <c r="J45" s="87" t="s">
        <v>553</v>
      </c>
      <c r="K45" s="90">
        <v>9800.0</v>
      </c>
      <c r="L45" s="92"/>
      <c r="M45" s="87" t="s">
        <v>200</v>
      </c>
      <c r="N45" s="87" t="s">
        <v>390</v>
      </c>
      <c r="O45" s="87" t="s">
        <v>377</v>
      </c>
      <c r="P45" s="87" t="s">
        <v>372</v>
      </c>
    </row>
    <row r="46" ht="15.75" customHeight="1">
      <c r="A46" s="87" t="s">
        <v>558</v>
      </c>
      <c r="B46" s="88">
        <v>1.22E18</v>
      </c>
      <c r="C46" s="87" t="s">
        <v>559</v>
      </c>
      <c r="D46" s="87" t="s">
        <v>87</v>
      </c>
      <c r="E46" s="87" t="s">
        <v>233</v>
      </c>
      <c r="F46" s="87" t="s">
        <v>559</v>
      </c>
      <c r="H46" s="87" t="s">
        <v>560</v>
      </c>
      <c r="I46" s="87" t="s">
        <v>315</v>
      </c>
      <c r="J46" s="87" t="s">
        <v>561</v>
      </c>
      <c r="K46" s="90">
        <v>0.0</v>
      </c>
      <c r="L46" s="92"/>
      <c r="M46" s="87" t="s">
        <v>200</v>
      </c>
      <c r="N46" s="87" t="s">
        <v>562</v>
      </c>
      <c r="O46" s="87" t="s">
        <v>377</v>
      </c>
      <c r="P46" s="87" t="s">
        <v>372</v>
      </c>
    </row>
    <row r="47" ht="15.75" customHeight="1">
      <c r="A47" s="87" t="s">
        <v>563</v>
      </c>
      <c r="B47" s="88">
        <v>1.22E18</v>
      </c>
      <c r="C47" s="87" t="s">
        <v>564</v>
      </c>
      <c r="D47" s="87" t="s">
        <v>87</v>
      </c>
      <c r="E47" s="87" t="s">
        <v>233</v>
      </c>
      <c r="F47" s="87" t="s">
        <v>564</v>
      </c>
      <c r="H47" s="87" t="s">
        <v>560</v>
      </c>
      <c r="I47" s="87" t="s">
        <v>315</v>
      </c>
      <c r="J47" s="87" t="s">
        <v>565</v>
      </c>
      <c r="K47" s="90">
        <v>0.0</v>
      </c>
      <c r="L47" s="92"/>
      <c r="M47" s="87" t="s">
        <v>200</v>
      </c>
      <c r="N47" s="87" t="s">
        <v>562</v>
      </c>
      <c r="O47" s="87" t="s">
        <v>377</v>
      </c>
      <c r="P47" s="87" t="s">
        <v>372</v>
      </c>
    </row>
    <row r="48" ht="15.75" customHeight="1">
      <c r="A48" s="87" t="s">
        <v>296</v>
      </c>
      <c r="B48" s="88">
        <v>1.22E18</v>
      </c>
      <c r="C48" s="87" t="s">
        <v>566</v>
      </c>
      <c r="D48" s="87" t="s">
        <v>87</v>
      </c>
      <c r="E48" s="87" t="s">
        <v>228</v>
      </c>
      <c r="F48" s="87" t="s">
        <v>373</v>
      </c>
      <c r="H48" s="87" t="s">
        <v>408</v>
      </c>
      <c r="I48" s="87" t="s">
        <v>340</v>
      </c>
      <c r="J48" s="87" t="s">
        <v>567</v>
      </c>
      <c r="K48" s="90">
        <v>9477.0</v>
      </c>
      <c r="L48" s="92"/>
      <c r="M48" s="87" t="s">
        <v>200</v>
      </c>
      <c r="O48" s="87" t="s">
        <v>377</v>
      </c>
      <c r="P48" s="87" t="s">
        <v>372</v>
      </c>
    </row>
    <row r="49" ht="15.75" customHeight="1">
      <c r="A49" s="87" t="s">
        <v>568</v>
      </c>
      <c r="B49" s="88">
        <v>1.22E18</v>
      </c>
      <c r="C49" s="87" t="s">
        <v>569</v>
      </c>
      <c r="D49" s="87" t="s">
        <v>87</v>
      </c>
      <c r="E49" s="87" t="s">
        <v>88</v>
      </c>
      <c r="F49" s="87" t="s">
        <v>569</v>
      </c>
      <c r="H49" s="87" t="s">
        <v>570</v>
      </c>
      <c r="I49" s="87" t="s">
        <v>340</v>
      </c>
      <c r="J49" s="87" t="s">
        <v>571</v>
      </c>
      <c r="K49" s="90">
        <v>0.0</v>
      </c>
      <c r="L49" s="92"/>
      <c r="M49" s="87" t="s">
        <v>200</v>
      </c>
      <c r="O49" s="87" t="s">
        <v>377</v>
      </c>
      <c r="P49" s="87" t="s">
        <v>372</v>
      </c>
    </row>
    <row r="50" ht="15.75" customHeight="1">
      <c r="A50" s="87" t="s">
        <v>572</v>
      </c>
      <c r="B50" s="88">
        <v>1.22E18</v>
      </c>
      <c r="C50" s="87" t="s">
        <v>573</v>
      </c>
      <c r="D50" s="87" t="s">
        <v>87</v>
      </c>
      <c r="E50" s="87" t="s">
        <v>88</v>
      </c>
      <c r="F50" s="118" t="s">
        <v>573</v>
      </c>
      <c r="G50" s="119"/>
      <c r="H50" s="87" t="s">
        <v>471</v>
      </c>
      <c r="I50" s="87" t="s">
        <v>315</v>
      </c>
      <c r="J50" s="87" t="s">
        <v>405</v>
      </c>
      <c r="K50" s="90">
        <v>500000.0</v>
      </c>
      <c r="L50" s="92"/>
      <c r="M50" s="87" t="s">
        <v>200</v>
      </c>
      <c r="O50" s="87" t="s">
        <v>377</v>
      </c>
      <c r="P50" s="87" t="s">
        <v>372</v>
      </c>
    </row>
    <row r="51" ht="15.75" customHeight="1">
      <c r="A51" s="87" t="s">
        <v>574</v>
      </c>
      <c r="B51" s="88">
        <v>1.22E18</v>
      </c>
      <c r="C51" s="87" t="s">
        <v>573</v>
      </c>
      <c r="D51" s="87" t="s">
        <v>87</v>
      </c>
      <c r="E51" s="87" t="s">
        <v>88</v>
      </c>
      <c r="F51" s="118" t="s">
        <v>573</v>
      </c>
      <c r="G51" s="119"/>
      <c r="H51" s="87" t="s">
        <v>471</v>
      </c>
      <c r="I51" s="87" t="s">
        <v>315</v>
      </c>
      <c r="J51" s="87" t="s">
        <v>405</v>
      </c>
      <c r="K51" s="90">
        <v>500000.0</v>
      </c>
      <c r="L51" s="92"/>
      <c r="M51" s="87" t="s">
        <v>575</v>
      </c>
      <c r="O51" s="87" t="s">
        <v>377</v>
      </c>
      <c r="P51" s="87" t="s">
        <v>372</v>
      </c>
    </row>
    <row r="52" ht="15.75" customHeight="1">
      <c r="A52" s="87" t="s">
        <v>576</v>
      </c>
      <c r="B52" s="88">
        <v>1.22E18</v>
      </c>
      <c r="C52" s="87" t="s">
        <v>577</v>
      </c>
      <c r="D52" s="87" t="s">
        <v>87</v>
      </c>
      <c r="E52" s="87" t="s">
        <v>88</v>
      </c>
      <c r="F52" s="87" t="s">
        <v>577</v>
      </c>
      <c r="H52" s="87" t="s">
        <v>369</v>
      </c>
      <c r="I52" s="87" t="s">
        <v>340</v>
      </c>
      <c r="J52" s="87" t="s">
        <v>578</v>
      </c>
      <c r="K52" s="90">
        <v>0.0</v>
      </c>
      <c r="L52" s="92"/>
      <c r="M52" s="87" t="s">
        <v>200</v>
      </c>
      <c r="N52" s="87" t="s">
        <v>390</v>
      </c>
      <c r="O52" s="87" t="s">
        <v>377</v>
      </c>
      <c r="P52" s="87" t="s">
        <v>372</v>
      </c>
    </row>
    <row r="53" ht="15.75" customHeight="1">
      <c r="A53" s="87" t="s">
        <v>579</v>
      </c>
      <c r="B53" s="88">
        <v>1.22E18</v>
      </c>
      <c r="C53" s="87" t="s">
        <v>580</v>
      </c>
      <c r="D53" s="87" t="s">
        <v>87</v>
      </c>
      <c r="E53" s="87" t="s">
        <v>88</v>
      </c>
      <c r="F53" s="87" t="s">
        <v>580</v>
      </c>
      <c r="H53" s="87" t="s">
        <v>570</v>
      </c>
      <c r="I53" s="87" t="s">
        <v>315</v>
      </c>
      <c r="J53" s="87" t="s">
        <v>449</v>
      </c>
      <c r="K53" s="90">
        <v>0.0</v>
      </c>
      <c r="L53" s="92"/>
      <c r="M53" s="87" t="s">
        <v>200</v>
      </c>
      <c r="O53" s="87" t="s">
        <v>377</v>
      </c>
      <c r="P53" s="87" t="s">
        <v>372</v>
      </c>
    </row>
    <row r="54" ht="15.75" customHeight="1">
      <c r="A54" s="87" t="s">
        <v>581</v>
      </c>
      <c r="B54" s="88">
        <v>1.22E18</v>
      </c>
      <c r="C54" s="87" t="s">
        <v>582</v>
      </c>
      <c r="D54" s="87" t="s">
        <v>87</v>
      </c>
      <c r="E54" s="87" t="s">
        <v>228</v>
      </c>
      <c r="F54" s="87" t="s">
        <v>582</v>
      </c>
      <c r="H54" s="87" t="s">
        <v>583</v>
      </c>
      <c r="I54" s="87" t="s">
        <v>315</v>
      </c>
      <c r="J54" s="87" t="s">
        <v>449</v>
      </c>
      <c r="K54" s="90">
        <v>0.0</v>
      </c>
      <c r="L54" s="92"/>
      <c r="M54" s="87" t="s">
        <v>200</v>
      </c>
      <c r="O54" s="87" t="s">
        <v>377</v>
      </c>
      <c r="P54" s="87" t="s">
        <v>372</v>
      </c>
    </row>
    <row r="55" ht="15.75" customHeight="1">
      <c r="A55" s="87" t="s">
        <v>584</v>
      </c>
      <c r="B55" s="88">
        <v>1.22E18</v>
      </c>
      <c r="C55" s="87" t="s">
        <v>585</v>
      </c>
      <c r="D55" s="87" t="s">
        <v>87</v>
      </c>
      <c r="E55" s="87" t="s">
        <v>233</v>
      </c>
      <c r="F55" s="87" t="s">
        <v>379</v>
      </c>
      <c r="G55" s="93"/>
      <c r="H55" s="87" t="s">
        <v>586</v>
      </c>
      <c r="I55" s="87" t="s">
        <v>315</v>
      </c>
      <c r="J55" s="87" t="s">
        <v>587</v>
      </c>
      <c r="K55" s="90">
        <v>0.0</v>
      </c>
      <c r="L55" s="92"/>
      <c r="M55" s="87" t="s">
        <v>200</v>
      </c>
      <c r="N55" s="87" t="s">
        <v>588</v>
      </c>
      <c r="O55" s="87" t="s">
        <v>377</v>
      </c>
      <c r="P55" s="87" t="s">
        <v>372</v>
      </c>
    </row>
    <row r="56" ht="15.75" customHeight="1">
      <c r="A56" s="87" t="s">
        <v>589</v>
      </c>
      <c r="B56" s="88">
        <v>1.22E18</v>
      </c>
      <c r="C56" s="87" t="s">
        <v>590</v>
      </c>
      <c r="D56" s="87" t="s">
        <v>87</v>
      </c>
      <c r="E56" s="87" t="s">
        <v>88</v>
      </c>
      <c r="F56" s="87" t="s">
        <v>590</v>
      </c>
      <c r="H56" s="87" t="s">
        <v>369</v>
      </c>
      <c r="I56" s="87" t="s">
        <v>327</v>
      </c>
      <c r="J56" s="87" t="s">
        <v>591</v>
      </c>
      <c r="K56" s="90">
        <v>1000.0</v>
      </c>
      <c r="L56" s="92"/>
      <c r="M56" s="87" t="s">
        <v>200</v>
      </c>
      <c r="N56" s="87" t="s">
        <v>390</v>
      </c>
      <c r="O56" s="87" t="s">
        <v>377</v>
      </c>
      <c r="P56" s="87" t="s">
        <v>372</v>
      </c>
    </row>
    <row r="57" ht="15.75" customHeight="1">
      <c r="A57" s="87" t="s">
        <v>592</v>
      </c>
      <c r="B57" s="88">
        <v>1.22E18</v>
      </c>
      <c r="C57" s="87" t="s">
        <v>593</v>
      </c>
      <c r="D57" s="87" t="s">
        <v>87</v>
      </c>
      <c r="E57" s="87" t="s">
        <v>88</v>
      </c>
      <c r="F57" s="87" t="s">
        <v>593</v>
      </c>
      <c r="H57" s="87" t="s">
        <v>369</v>
      </c>
      <c r="I57" s="87" t="s">
        <v>315</v>
      </c>
      <c r="J57" s="87" t="s">
        <v>594</v>
      </c>
      <c r="K57" s="90">
        <v>3000.0</v>
      </c>
      <c r="L57" s="92"/>
      <c r="M57" s="87" t="s">
        <v>200</v>
      </c>
      <c r="N57" s="87" t="s">
        <v>390</v>
      </c>
      <c r="O57" s="87" t="s">
        <v>377</v>
      </c>
      <c r="P57" s="87" t="s">
        <v>372</v>
      </c>
    </row>
    <row r="58" ht="15.75" customHeight="1">
      <c r="A58" s="87" t="s">
        <v>595</v>
      </c>
      <c r="B58" s="88">
        <v>1.22E18</v>
      </c>
      <c r="C58" s="87" t="s">
        <v>596</v>
      </c>
      <c r="D58" s="87" t="s">
        <v>87</v>
      </c>
      <c r="E58" s="87" t="s">
        <v>228</v>
      </c>
      <c r="F58" s="87" t="s">
        <v>596</v>
      </c>
      <c r="H58" s="87" t="s">
        <v>597</v>
      </c>
      <c r="I58" s="87" t="s">
        <v>327</v>
      </c>
      <c r="J58" s="87" t="s">
        <v>598</v>
      </c>
      <c r="K58" s="90">
        <v>0.0</v>
      </c>
      <c r="L58" s="92"/>
      <c r="M58" s="87" t="s">
        <v>200</v>
      </c>
      <c r="O58" s="87" t="s">
        <v>377</v>
      </c>
      <c r="P58" s="87" t="s">
        <v>372</v>
      </c>
    </row>
    <row r="59" ht="15.75" customHeight="1">
      <c r="A59" s="87" t="s">
        <v>599</v>
      </c>
      <c r="B59" s="88">
        <v>1.22E18</v>
      </c>
      <c r="C59" s="87" t="s">
        <v>600</v>
      </c>
      <c r="D59" s="87" t="s">
        <v>87</v>
      </c>
      <c r="E59" s="87" t="s">
        <v>88</v>
      </c>
      <c r="F59" s="87" t="s">
        <v>600</v>
      </c>
      <c r="H59" s="87" t="s">
        <v>369</v>
      </c>
      <c r="I59" s="87" t="s">
        <v>315</v>
      </c>
      <c r="J59" s="87" t="s">
        <v>601</v>
      </c>
      <c r="K59" s="90">
        <v>0.0</v>
      </c>
      <c r="L59" s="92"/>
      <c r="M59" s="87" t="s">
        <v>200</v>
      </c>
      <c r="N59" s="87" t="s">
        <v>390</v>
      </c>
      <c r="O59" s="87" t="s">
        <v>377</v>
      </c>
      <c r="P59" s="87" t="s">
        <v>372</v>
      </c>
    </row>
    <row r="60" ht="15.75" customHeight="1">
      <c r="A60" s="87" t="s">
        <v>602</v>
      </c>
      <c r="B60" s="88">
        <v>1.22E18</v>
      </c>
      <c r="C60" s="87" t="s">
        <v>603</v>
      </c>
      <c r="D60" s="87" t="s">
        <v>87</v>
      </c>
      <c r="E60" s="87" t="s">
        <v>88</v>
      </c>
      <c r="F60" s="87" t="s">
        <v>603</v>
      </c>
      <c r="H60" s="87" t="s">
        <v>395</v>
      </c>
      <c r="I60" s="87" t="s">
        <v>327</v>
      </c>
      <c r="J60" s="87" t="s">
        <v>604</v>
      </c>
      <c r="K60" s="90">
        <v>1000.0</v>
      </c>
      <c r="L60" s="92"/>
      <c r="M60" s="87" t="s">
        <v>200</v>
      </c>
      <c r="O60" s="87" t="s">
        <v>377</v>
      </c>
      <c r="P60" s="87" t="s">
        <v>372</v>
      </c>
    </row>
    <row r="61" ht="15.75" customHeight="1">
      <c r="A61" s="87" t="s">
        <v>605</v>
      </c>
      <c r="B61" s="88">
        <v>1.22E18</v>
      </c>
      <c r="C61" s="87" t="s">
        <v>606</v>
      </c>
      <c r="D61" s="87" t="s">
        <v>87</v>
      </c>
      <c r="E61" s="87" t="s">
        <v>88</v>
      </c>
      <c r="F61" s="87" t="s">
        <v>606</v>
      </c>
      <c r="H61" s="87" t="s">
        <v>369</v>
      </c>
      <c r="I61" s="87" t="s">
        <v>340</v>
      </c>
      <c r="J61" s="87" t="s">
        <v>607</v>
      </c>
      <c r="K61" s="90">
        <v>0.0</v>
      </c>
      <c r="L61" s="92"/>
      <c r="M61" s="87" t="s">
        <v>200</v>
      </c>
      <c r="N61" s="87" t="s">
        <v>390</v>
      </c>
      <c r="O61" s="87" t="s">
        <v>377</v>
      </c>
      <c r="P61" s="87" t="s">
        <v>372</v>
      </c>
    </row>
    <row r="62" ht="15.75" customHeight="1">
      <c r="A62" s="87" t="s">
        <v>608</v>
      </c>
      <c r="B62" s="88">
        <v>1.22E18</v>
      </c>
      <c r="C62" s="87" t="s">
        <v>609</v>
      </c>
      <c r="D62" s="87" t="s">
        <v>87</v>
      </c>
      <c r="E62" s="87" t="s">
        <v>228</v>
      </c>
      <c r="F62" s="87" t="s">
        <v>373</v>
      </c>
      <c r="H62" s="87" t="s">
        <v>408</v>
      </c>
      <c r="I62" s="87" t="s">
        <v>340</v>
      </c>
      <c r="J62" s="87" t="s">
        <v>610</v>
      </c>
      <c r="K62" s="90">
        <v>2490.0</v>
      </c>
      <c r="L62" s="92"/>
      <c r="M62" s="87" t="s">
        <v>200</v>
      </c>
      <c r="N62" s="87" t="s">
        <v>408</v>
      </c>
      <c r="O62" s="87" t="s">
        <v>377</v>
      </c>
      <c r="P62" s="87" t="s">
        <v>372</v>
      </c>
    </row>
    <row r="63" ht="15.75" customHeight="1">
      <c r="A63" s="87" t="s">
        <v>611</v>
      </c>
      <c r="B63" s="88">
        <v>1.22E18</v>
      </c>
      <c r="C63" s="87" t="s">
        <v>612</v>
      </c>
      <c r="D63" s="87" t="s">
        <v>87</v>
      </c>
      <c r="E63" s="87" t="s">
        <v>228</v>
      </c>
      <c r="F63" s="87" t="s">
        <v>612</v>
      </c>
      <c r="H63" s="87" t="s">
        <v>570</v>
      </c>
      <c r="I63" s="87" t="s">
        <v>340</v>
      </c>
      <c r="J63" s="87" t="s">
        <v>613</v>
      </c>
      <c r="K63" s="90">
        <v>0.0</v>
      </c>
      <c r="L63" s="92"/>
      <c r="M63" s="87" t="s">
        <v>200</v>
      </c>
      <c r="O63" s="87" t="s">
        <v>377</v>
      </c>
      <c r="P63" s="87" t="s">
        <v>372</v>
      </c>
    </row>
    <row r="64" ht="15.75" customHeight="1">
      <c r="A64" s="87" t="s">
        <v>614</v>
      </c>
      <c r="B64" s="88">
        <v>1.22E18</v>
      </c>
      <c r="C64" s="87" t="s">
        <v>615</v>
      </c>
      <c r="D64" s="87" t="s">
        <v>87</v>
      </c>
      <c r="E64" s="87" t="s">
        <v>228</v>
      </c>
      <c r="F64" s="87" t="s">
        <v>615</v>
      </c>
      <c r="H64" s="87" t="s">
        <v>374</v>
      </c>
      <c r="I64" s="87" t="s">
        <v>315</v>
      </c>
      <c r="J64" s="87" t="s">
        <v>616</v>
      </c>
      <c r="K64" s="90">
        <v>0.0</v>
      </c>
      <c r="L64" s="92"/>
      <c r="M64" s="87" t="s">
        <v>200</v>
      </c>
      <c r="N64" s="87" t="s">
        <v>617</v>
      </c>
      <c r="O64" s="87" t="s">
        <v>377</v>
      </c>
      <c r="P64" s="87" t="s">
        <v>372</v>
      </c>
    </row>
    <row r="65" ht="15.75" customHeight="1">
      <c r="A65" s="87" t="s">
        <v>618</v>
      </c>
      <c r="B65" s="88">
        <v>1.22E18</v>
      </c>
      <c r="C65" s="87" t="s">
        <v>619</v>
      </c>
      <c r="D65" s="87" t="s">
        <v>87</v>
      </c>
      <c r="E65" s="87" t="s">
        <v>88</v>
      </c>
      <c r="F65" s="87" t="s">
        <v>619</v>
      </c>
      <c r="H65" s="87" t="s">
        <v>369</v>
      </c>
      <c r="I65" s="87" t="s">
        <v>327</v>
      </c>
      <c r="J65" s="87" t="s">
        <v>620</v>
      </c>
      <c r="K65" s="90">
        <v>10000.0</v>
      </c>
      <c r="L65" s="92"/>
      <c r="M65" s="87" t="s">
        <v>200</v>
      </c>
      <c r="N65" s="87" t="s">
        <v>390</v>
      </c>
      <c r="O65" s="87" t="s">
        <v>377</v>
      </c>
      <c r="P65" s="87" t="s">
        <v>372</v>
      </c>
    </row>
    <row r="66" ht="15.75" customHeight="1">
      <c r="A66" s="87" t="s">
        <v>621</v>
      </c>
      <c r="B66" s="88">
        <v>1.22E18</v>
      </c>
      <c r="C66" s="87" t="s">
        <v>622</v>
      </c>
      <c r="D66" s="87" t="s">
        <v>87</v>
      </c>
      <c r="E66" s="87" t="s">
        <v>88</v>
      </c>
      <c r="F66" s="87" t="s">
        <v>622</v>
      </c>
      <c r="H66" s="87" t="s">
        <v>369</v>
      </c>
      <c r="I66" s="87" t="s">
        <v>327</v>
      </c>
      <c r="J66" s="87" t="s">
        <v>623</v>
      </c>
      <c r="K66" s="90">
        <v>0.0</v>
      </c>
      <c r="L66" s="92"/>
      <c r="M66" s="87" t="s">
        <v>200</v>
      </c>
      <c r="N66" s="87" t="s">
        <v>390</v>
      </c>
      <c r="O66" s="87" t="s">
        <v>377</v>
      </c>
      <c r="P66" s="87" t="s">
        <v>372</v>
      </c>
    </row>
    <row r="67" ht="15.75" customHeight="1">
      <c r="A67" s="87" t="s">
        <v>624</v>
      </c>
      <c r="B67" s="88">
        <v>1.22E18</v>
      </c>
      <c r="C67" s="87" t="s">
        <v>625</v>
      </c>
      <c r="D67" s="87" t="s">
        <v>87</v>
      </c>
      <c r="E67" s="87" t="s">
        <v>88</v>
      </c>
      <c r="F67" s="87" t="s">
        <v>625</v>
      </c>
      <c r="H67" s="87" t="s">
        <v>369</v>
      </c>
      <c r="I67" s="87" t="s">
        <v>315</v>
      </c>
      <c r="J67" s="87" t="s">
        <v>601</v>
      </c>
      <c r="K67" s="90">
        <v>0.0</v>
      </c>
      <c r="L67" s="92"/>
      <c r="M67" s="87" t="s">
        <v>200</v>
      </c>
      <c r="N67" s="87" t="s">
        <v>390</v>
      </c>
      <c r="O67" s="87" t="s">
        <v>377</v>
      </c>
      <c r="P67" s="87" t="s">
        <v>372</v>
      </c>
    </row>
    <row r="68" ht="15.75" customHeight="1">
      <c r="A68" s="87" t="s">
        <v>626</v>
      </c>
      <c r="B68" s="88">
        <v>1.22E18</v>
      </c>
      <c r="C68" s="87" t="s">
        <v>627</v>
      </c>
      <c r="D68" s="87" t="s">
        <v>87</v>
      </c>
      <c r="E68" s="87" t="s">
        <v>88</v>
      </c>
      <c r="F68" s="87" t="s">
        <v>627</v>
      </c>
      <c r="H68" s="87" t="s">
        <v>369</v>
      </c>
      <c r="I68" s="87" t="s">
        <v>327</v>
      </c>
      <c r="J68" s="87" t="s">
        <v>628</v>
      </c>
      <c r="K68" s="90">
        <v>0.0</v>
      </c>
      <c r="L68" s="92"/>
      <c r="M68" s="87" t="s">
        <v>200</v>
      </c>
      <c r="N68" s="87" t="s">
        <v>390</v>
      </c>
      <c r="O68" s="87" t="s">
        <v>377</v>
      </c>
      <c r="P68" s="87" t="s">
        <v>372</v>
      </c>
    </row>
    <row r="69" ht="15.75" customHeight="1">
      <c r="A69" s="87" t="s">
        <v>629</v>
      </c>
      <c r="B69" s="88">
        <v>1.22E18</v>
      </c>
      <c r="C69" s="87" t="s">
        <v>630</v>
      </c>
      <c r="D69" s="87" t="s">
        <v>87</v>
      </c>
      <c r="E69" s="87" t="s">
        <v>88</v>
      </c>
      <c r="F69" s="87" t="s">
        <v>630</v>
      </c>
      <c r="H69" s="87" t="s">
        <v>369</v>
      </c>
      <c r="I69" s="87" t="s">
        <v>315</v>
      </c>
      <c r="J69" s="87" t="s">
        <v>631</v>
      </c>
      <c r="K69" s="90">
        <v>0.0</v>
      </c>
      <c r="L69" s="92"/>
      <c r="M69" s="87" t="s">
        <v>200</v>
      </c>
      <c r="N69" s="87" t="s">
        <v>390</v>
      </c>
      <c r="O69" s="87" t="s">
        <v>377</v>
      </c>
      <c r="P69" s="87" t="s">
        <v>372</v>
      </c>
    </row>
    <row r="70" ht="15.75" customHeight="1">
      <c r="A70" s="87" t="s">
        <v>632</v>
      </c>
      <c r="B70" s="88">
        <v>1.22E18</v>
      </c>
      <c r="C70" s="87" t="s">
        <v>633</v>
      </c>
      <c r="D70" s="87" t="s">
        <v>87</v>
      </c>
      <c r="E70" s="87" t="s">
        <v>88</v>
      </c>
      <c r="F70" s="87" t="s">
        <v>633</v>
      </c>
      <c r="H70" s="87" t="s">
        <v>369</v>
      </c>
      <c r="I70" s="87" t="s">
        <v>340</v>
      </c>
      <c r="J70" s="87" t="s">
        <v>634</v>
      </c>
      <c r="K70" s="90">
        <v>0.0</v>
      </c>
      <c r="L70" s="92"/>
      <c r="M70" s="87" t="s">
        <v>200</v>
      </c>
      <c r="N70" s="87" t="s">
        <v>390</v>
      </c>
      <c r="O70" s="87" t="s">
        <v>377</v>
      </c>
      <c r="P70" s="87" t="s">
        <v>372</v>
      </c>
    </row>
    <row r="71" ht="15.75" customHeight="1">
      <c r="A71" s="87" t="s">
        <v>635</v>
      </c>
      <c r="B71" s="88">
        <v>1.22E18</v>
      </c>
      <c r="C71" s="87" t="s">
        <v>636</v>
      </c>
      <c r="D71" s="87" t="s">
        <v>87</v>
      </c>
      <c r="E71" s="87" t="s">
        <v>88</v>
      </c>
      <c r="F71" s="87" t="s">
        <v>636</v>
      </c>
      <c r="H71" s="87" t="s">
        <v>369</v>
      </c>
      <c r="I71" s="87" t="s">
        <v>327</v>
      </c>
      <c r="J71" s="87" t="s">
        <v>637</v>
      </c>
      <c r="K71" s="90">
        <v>0.0</v>
      </c>
      <c r="L71" s="92"/>
      <c r="M71" s="87" t="s">
        <v>200</v>
      </c>
      <c r="N71" s="87" t="s">
        <v>390</v>
      </c>
      <c r="O71" s="87" t="s">
        <v>377</v>
      </c>
      <c r="P71" s="87" t="s">
        <v>372</v>
      </c>
    </row>
    <row r="72" ht="15.75" customHeight="1">
      <c r="A72" s="87" t="s">
        <v>638</v>
      </c>
      <c r="B72" s="88">
        <v>1.22E18</v>
      </c>
      <c r="C72" s="87" t="s">
        <v>639</v>
      </c>
      <c r="D72" s="87" t="s">
        <v>87</v>
      </c>
      <c r="E72" s="87" t="s">
        <v>88</v>
      </c>
      <c r="F72" s="87" t="s">
        <v>639</v>
      </c>
      <c r="H72" s="87" t="s">
        <v>570</v>
      </c>
      <c r="I72" s="87" t="s">
        <v>340</v>
      </c>
      <c r="J72" s="87" t="s">
        <v>640</v>
      </c>
      <c r="K72" s="90">
        <v>0.0</v>
      </c>
      <c r="L72" s="92"/>
      <c r="M72" s="87" t="s">
        <v>200</v>
      </c>
      <c r="O72" s="87" t="s">
        <v>377</v>
      </c>
      <c r="P72" s="87" t="s">
        <v>372</v>
      </c>
    </row>
    <row r="73" ht="15.75" customHeight="1">
      <c r="A73" s="87" t="s">
        <v>641</v>
      </c>
      <c r="B73" s="88">
        <v>1.22E18</v>
      </c>
      <c r="C73" s="87" t="s">
        <v>642</v>
      </c>
      <c r="D73" s="87" t="s">
        <v>87</v>
      </c>
      <c r="E73" s="87" t="s">
        <v>228</v>
      </c>
      <c r="F73" s="87" t="s">
        <v>642</v>
      </c>
      <c r="H73" s="87" t="s">
        <v>369</v>
      </c>
      <c r="I73" s="87" t="s">
        <v>340</v>
      </c>
      <c r="J73" s="87" t="s">
        <v>643</v>
      </c>
      <c r="K73" s="90">
        <v>0.0</v>
      </c>
      <c r="L73" s="92"/>
      <c r="M73" s="87" t="s">
        <v>200</v>
      </c>
      <c r="N73" s="87" t="s">
        <v>390</v>
      </c>
      <c r="O73" s="87" t="s">
        <v>377</v>
      </c>
      <c r="P73" s="87" t="s">
        <v>372</v>
      </c>
    </row>
    <row r="74" ht="15.75" customHeight="1">
      <c r="A74" s="87" t="s">
        <v>644</v>
      </c>
      <c r="B74" s="88">
        <v>1.22E18</v>
      </c>
      <c r="C74" s="87" t="s">
        <v>645</v>
      </c>
      <c r="D74" s="87" t="s">
        <v>262</v>
      </c>
      <c r="E74" s="87" t="s">
        <v>267</v>
      </c>
      <c r="F74" s="87" t="s">
        <v>645</v>
      </c>
      <c r="H74" s="87" t="s">
        <v>385</v>
      </c>
      <c r="I74" s="87" t="s">
        <v>315</v>
      </c>
      <c r="J74" s="87" t="s">
        <v>646</v>
      </c>
      <c r="K74" s="90">
        <v>0.0</v>
      </c>
      <c r="L74" s="92"/>
      <c r="M74" s="87" t="s">
        <v>200</v>
      </c>
      <c r="N74" s="87" t="s">
        <v>387</v>
      </c>
      <c r="O74" s="87" t="s">
        <v>377</v>
      </c>
      <c r="P74" s="87" t="s">
        <v>372</v>
      </c>
    </row>
    <row r="75" ht="15.75" customHeight="1">
      <c r="A75" s="87" t="s">
        <v>647</v>
      </c>
      <c r="B75" s="88">
        <v>1.22E18</v>
      </c>
      <c r="C75" s="87" t="s">
        <v>645</v>
      </c>
      <c r="D75" s="87" t="s">
        <v>262</v>
      </c>
      <c r="E75" s="87" t="s">
        <v>267</v>
      </c>
      <c r="F75" s="87" t="s">
        <v>645</v>
      </c>
      <c r="H75" s="87" t="s">
        <v>385</v>
      </c>
      <c r="I75" s="87" t="s">
        <v>315</v>
      </c>
      <c r="J75" s="87" t="s">
        <v>646</v>
      </c>
      <c r="K75" s="90">
        <v>0.0</v>
      </c>
      <c r="L75" s="92"/>
      <c r="M75" s="87" t="s">
        <v>575</v>
      </c>
      <c r="N75" s="87" t="s">
        <v>387</v>
      </c>
      <c r="O75" s="87" t="s">
        <v>377</v>
      </c>
      <c r="P75" s="87" t="s">
        <v>372</v>
      </c>
    </row>
    <row r="76" ht="15.75" customHeight="1">
      <c r="A76" s="87" t="s">
        <v>648</v>
      </c>
      <c r="B76" s="88">
        <v>1.22E18</v>
      </c>
      <c r="C76" s="87" t="s">
        <v>649</v>
      </c>
      <c r="D76" s="87" t="s">
        <v>87</v>
      </c>
      <c r="E76" s="87" t="s">
        <v>88</v>
      </c>
      <c r="F76" s="87" t="s">
        <v>649</v>
      </c>
      <c r="H76" s="87" t="s">
        <v>471</v>
      </c>
      <c r="I76" s="87" t="s">
        <v>327</v>
      </c>
      <c r="J76" s="87" t="s">
        <v>650</v>
      </c>
      <c r="K76" s="90">
        <v>0.0</v>
      </c>
      <c r="L76" s="92"/>
      <c r="M76" s="87" t="s">
        <v>200</v>
      </c>
      <c r="O76" s="87" t="s">
        <v>377</v>
      </c>
      <c r="P76" s="87" t="s">
        <v>372</v>
      </c>
    </row>
    <row r="77" ht="15.75" customHeight="1">
      <c r="A77" s="87" t="s">
        <v>651</v>
      </c>
      <c r="B77" s="88">
        <v>1.22E18</v>
      </c>
      <c r="C77" s="87" t="s">
        <v>649</v>
      </c>
      <c r="D77" s="87" t="s">
        <v>87</v>
      </c>
      <c r="E77" s="87" t="s">
        <v>88</v>
      </c>
      <c r="F77" s="87" t="s">
        <v>649</v>
      </c>
      <c r="H77" s="87" t="s">
        <v>471</v>
      </c>
      <c r="I77" s="87" t="s">
        <v>327</v>
      </c>
      <c r="J77" s="87" t="s">
        <v>650</v>
      </c>
      <c r="K77" s="90">
        <v>0.0</v>
      </c>
      <c r="L77" s="92"/>
      <c r="M77" s="87" t="s">
        <v>529</v>
      </c>
      <c r="O77" s="87" t="s">
        <v>377</v>
      </c>
      <c r="P77" s="87" t="s">
        <v>372</v>
      </c>
    </row>
    <row r="78" ht="15.75" customHeight="1">
      <c r="A78" s="87" t="s">
        <v>652</v>
      </c>
      <c r="B78" s="88">
        <v>1.22E18</v>
      </c>
      <c r="C78" s="87" t="s">
        <v>653</v>
      </c>
      <c r="D78" s="87" t="s">
        <v>87</v>
      </c>
      <c r="E78" s="87" t="s">
        <v>88</v>
      </c>
      <c r="F78" s="118" t="s">
        <v>653</v>
      </c>
      <c r="G78" s="119"/>
      <c r="H78" s="87" t="s">
        <v>369</v>
      </c>
      <c r="I78" s="87" t="s">
        <v>327</v>
      </c>
      <c r="J78" s="87" t="s">
        <v>654</v>
      </c>
      <c r="K78" s="90">
        <v>700.0</v>
      </c>
      <c r="L78" s="92"/>
      <c r="M78" s="87" t="s">
        <v>200</v>
      </c>
      <c r="N78" s="87" t="s">
        <v>390</v>
      </c>
      <c r="O78" s="87" t="s">
        <v>377</v>
      </c>
      <c r="P78" s="87" t="s">
        <v>372</v>
      </c>
    </row>
    <row r="79" ht="15.75" customHeight="1">
      <c r="A79" s="87" t="s">
        <v>655</v>
      </c>
      <c r="B79" s="88">
        <v>1.22E18</v>
      </c>
      <c r="C79" s="87" t="s">
        <v>656</v>
      </c>
      <c r="D79" s="87" t="s">
        <v>87</v>
      </c>
      <c r="E79" s="87" t="s">
        <v>228</v>
      </c>
      <c r="F79" s="87" t="s">
        <v>656</v>
      </c>
      <c r="H79" s="87" t="s">
        <v>408</v>
      </c>
      <c r="I79" s="87" t="s">
        <v>340</v>
      </c>
      <c r="J79" s="87" t="s">
        <v>610</v>
      </c>
      <c r="K79" s="90">
        <v>0.0</v>
      </c>
      <c r="L79" s="92"/>
      <c r="M79" s="87" t="s">
        <v>200</v>
      </c>
      <c r="N79" s="87" t="s">
        <v>408</v>
      </c>
      <c r="O79" s="87" t="s">
        <v>377</v>
      </c>
      <c r="P79" s="87" t="s">
        <v>372</v>
      </c>
    </row>
    <row r="80" ht="15.75" customHeight="1">
      <c r="A80" s="87" t="s">
        <v>657</v>
      </c>
      <c r="B80" s="88">
        <v>1.22E18</v>
      </c>
      <c r="C80" s="87" t="s">
        <v>658</v>
      </c>
      <c r="D80" s="87" t="s">
        <v>87</v>
      </c>
      <c r="E80" s="87" t="s">
        <v>241</v>
      </c>
      <c r="F80" s="87" t="s">
        <v>658</v>
      </c>
      <c r="H80" s="87" t="s">
        <v>494</v>
      </c>
      <c r="I80" s="87" t="s">
        <v>495</v>
      </c>
      <c r="J80" s="87" t="s">
        <v>659</v>
      </c>
      <c r="K80" s="90">
        <v>0.0</v>
      </c>
      <c r="L80" s="92"/>
      <c r="M80" s="87" t="s">
        <v>200</v>
      </c>
      <c r="N80" s="87" t="s">
        <v>497</v>
      </c>
      <c r="O80" s="87" t="s">
        <v>377</v>
      </c>
      <c r="P80" s="87" t="s">
        <v>372</v>
      </c>
    </row>
    <row r="81" ht="15.75" customHeight="1">
      <c r="A81" s="87" t="s">
        <v>660</v>
      </c>
      <c r="B81" s="88">
        <v>1.22E18</v>
      </c>
      <c r="C81" s="87" t="s">
        <v>661</v>
      </c>
      <c r="D81" s="87" t="s">
        <v>87</v>
      </c>
      <c r="E81" s="87" t="s">
        <v>88</v>
      </c>
      <c r="F81" s="87" t="s">
        <v>661</v>
      </c>
      <c r="H81" s="87" t="s">
        <v>369</v>
      </c>
      <c r="I81" s="87" t="s">
        <v>340</v>
      </c>
      <c r="J81" s="87" t="s">
        <v>662</v>
      </c>
      <c r="K81" s="90">
        <v>0.0</v>
      </c>
      <c r="L81" s="92"/>
      <c r="M81" s="87" t="s">
        <v>200</v>
      </c>
      <c r="O81" s="87" t="s">
        <v>377</v>
      </c>
      <c r="P81" s="87" t="s">
        <v>372</v>
      </c>
    </row>
    <row r="82" ht="15.75" customHeight="1">
      <c r="A82" s="87" t="s">
        <v>663</v>
      </c>
      <c r="B82" s="88">
        <v>1.22E18</v>
      </c>
      <c r="C82" s="87" t="s">
        <v>664</v>
      </c>
      <c r="D82" s="87" t="s">
        <v>87</v>
      </c>
      <c r="E82" s="87" t="s">
        <v>228</v>
      </c>
      <c r="F82" s="87" t="s">
        <v>664</v>
      </c>
      <c r="H82" s="87" t="s">
        <v>665</v>
      </c>
      <c r="I82" s="87" t="s">
        <v>315</v>
      </c>
      <c r="J82" s="87" t="s">
        <v>666</v>
      </c>
      <c r="K82" s="90">
        <v>0.0</v>
      </c>
      <c r="L82" s="92"/>
      <c r="M82" s="87" t="s">
        <v>200</v>
      </c>
      <c r="O82" s="87" t="s">
        <v>377</v>
      </c>
      <c r="P82" s="87" t="s">
        <v>372</v>
      </c>
    </row>
    <row r="83" ht="15.75" customHeight="1">
      <c r="A83" s="87" t="s">
        <v>667</v>
      </c>
      <c r="B83" s="88">
        <v>1.22E18</v>
      </c>
      <c r="C83" s="87" t="s">
        <v>668</v>
      </c>
      <c r="D83" s="87" t="s">
        <v>87</v>
      </c>
      <c r="E83" s="87" t="s">
        <v>88</v>
      </c>
      <c r="F83" s="87" t="s">
        <v>668</v>
      </c>
      <c r="H83" s="87" t="s">
        <v>669</v>
      </c>
      <c r="I83" s="87" t="s">
        <v>103</v>
      </c>
      <c r="J83" s="87" t="s">
        <v>449</v>
      </c>
      <c r="K83" s="90">
        <v>0.0</v>
      </c>
      <c r="L83" s="92"/>
      <c r="M83" s="87" t="s">
        <v>200</v>
      </c>
      <c r="N83" s="87" t="s">
        <v>669</v>
      </c>
      <c r="O83" s="87" t="s">
        <v>377</v>
      </c>
      <c r="P83" s="87" t="s">
        <v>372</v>
      </c>
    </row>
    <row r="84" ht="15.75" customHeight="1">
      <c r="A84" s="87" t="s">
        <v>670</v>
      </c>
      <c r="B84" s="88">
        <v>1.22E18</v>
      </c>
      <c r="C84" s="87" t="s">
        <v>671</v>
      </c>
      <c r="D84" s="87" t="s">
        <v>87</v>
      </c>
      <c r="E84" s="87" t="s">
        <v>88</v>
      </c>
      <c r="F84" s="87" t="s">
        <v>671</v>
      </c>
      <c r="H84" s="87" t="s">
        <v>369</v>
      </c>
      <c r="I84" s="87" t="s">
        <v>315</v>
      </c>
      <c r="J84" s="87" t="s">
        <v>672</v>
      </c>
      <c r="K84" s="90">
        <v>0.0</v>
      </c>
      <c r="L84" s="92"/>
      <c r="M84" s="87" t="s">
        <v>200</v>
      </c>
      <c r="N84" s="87" t="s">
        <v>390</v>
      </c>
      <c r="O84" s="87" t="s">
        <v>377</v>
      </c>
      <c r="P84" s="87" t="s">
        <v>372</v>
      </c>
    </row>
    <row r="85" ht="15.75" customHeight="1">
      <c r="A85" s="87" t="s">
        <v>673</v>
      </c>
      <c r="B85" s="88">
        <v>1.22E18</v>
      </c>
      <c r="C85" s="87" t="s">
        <v>674</v>
      </c>
      <c r="D85" s="87" t="s">
        <v>87</v>
      </c>
      <c r="E85" s="87" t="s">
        <v>88</v>
      </c>
      <c r="F85" s="87" t="s">
        <v>674</v>
      </c>
      <c r="H85" s="87" t="s">
        <v>369</v>
      </c>
      <c r="I85" s="87" t="s">
        <v>327</v>
      </c>
      <c r="J85" s="87" t="s">
        <v>675</v>
      </c>
      <c r="K85" s="90">
        <v>0.0</v>
      </c>
      <c r="L85" s="92"/>
      <c r="M85" s="87" t="s">
        <v>200</v>
      </c>
      <c r="N85" s="87" t="s">
        <v>390</v>
      </c>
      <c r="O85" s="87" t="s">
        <v>377</v>
      </c>
      <c r="P85" s="87" t="s">
        <v>372</v>
      </c>
    </row>
    <row r="86" ht="15.75" customHeight="1">
      <c r="A86" s="87" t="s">
        <v>676</v>
      </c>
      <c r="B86" s="88">
        <v>1.22E18</v>
      </c>
      <c r="C86" s="87" t="s">
        <v>677</v>
      </c>
      <c r="D86" s="87" t="s">
        <v>87</v>
      </c>
      <c r="E86" s="87" t="s">
        <v>88</v>
      </c>
      <c r="F86" s="87" t="s">
        <v>677</v>
      </c>
      <c r="H86" s="87" t="s">
        <v>487</v>
      </c>
      <c r="I86" s="87" t="s">
        <v>340</v>
      </c>
      <c r="J86" s="87" t="s">
        <v>678</v>
      </c>
      <c r="K86" s="90">
        <v>0.0</v>
      </c>
      <c r="L86" s="92"/>
      <c r="M86" s="87" t="s">
        <v>200</v>
      </c>
      <c r="N86" s="87" t="s">
        <v>489</v>
      </c>
      <c r="O86" s="87" t="s">
        <v>377</v>
      </c>
      <c r="P86" s="87" t="s">
        <v>372</v>
      </c>
    </row>
    <row r="87" ht="15.75" customHeight="1">
      <c r="A87" s="87" t="s">
        <v>679</v>
      </c>
      <c r="B87" s="88">
        <v>1.22E18</v>
      </c>
      <c r="C87" s="87" t="s">
        <v>680</v>
      </c>
      <c r="D87" s="87" t="s">
        <v>87</v>
      </c>
      <c r="E87" s="87" t="s">
        <v>233</v>
      </c>
      <c r="F87" s="87" t="s">
        <v>680</v>
      </c>
      <c r="H87" s="87" t="s">
        <v>681</v>
      </c>
      <c r="I87" s="87" t="s">
        <v>340</v>
      </c>
      <c r="J87" s="87" t="s">
        <v>682</v>
      </c>
      <c r="K87" s="90">
        <v>0.0</v>
      </c>
      <c r="L87" s="92"/>
      <c r="M87" s="87" t="s">
        <v>200</v>
      </c>
      <c r="O87" s="87" t="s">
        <v>377</v>
      </c>
      <c r="P87" s="87" t="s">
        <v>372</v>
      </c>
    </row>
    <row r="88" ht="15.75" customHeight="1">
      <c r="A88" s="87" t="s">
        <v>683</v>
      </c>
      <c r="B88" s="88">
        <v>1.22E18</v>
      </c>
      <c r="C88" s="87" t="s">
        <v>684</v>
      </c>
      <c r="D88" s="87" t="s">
        <v>87</v>
      </c>
      <c r="E88" s="87" t="s">
        <v>88</v>
      </c>
      <c r="F88" s="87" t="s">
        <v>684</v>
      </c>
      <c r="H88" s="87" t="s">
        <v>369</v>
      </c>
      <c r="I88" s="87" t="s">
        <v>103</v>
      </c>
      <c r="J88" s="87" t="s">
        <v>685</v>
      </c>
      <c r="K88" s="90">
        <v>0.0</v>
      </c>
      <c r="L88" s="92"/>
      <c r="M88" s="87" t="s">
        <v>200</v>
      </c>
      <c r="N88" s="87" t="s">
        <v>390</v>
      </c>
      <c r="O88" s="87" t="s">
        <v>377</v>
      </c>
      <c r="P88" s="87" t="s">
        <v>372</v>
      </c>
    </row>
    <row r="89" ht="15.75" customHeight="1">
      <c r="A89" s="87" t="s">
        <v>686</v>
      </c>
      <c r="B89" s="88">
        <v>1.22E18</v>
      </c>
      <c r="C89" s="87" t="s">
        <v>687</v>
      </c>
      <c r="D89" s="87" t="s">
        <v>87</v>
      </c>
      <c r="E89" s="87" t="s">
        <v>88</v>
      </c>
      <c r="F89" s="87" t="s">
        <v>687</v>
      </c>
      <c r="H89" s="87" t="s">
        <v>688</v>
      </c>
      <c r="I89" s="87" t="s">
        <v>340</v>
      </c>
      <c r="J89" s="87" t="s">
        <v>689</v>
      </c>
      <c r="K89" s="90">
        <v>0.0</v>
      </c>
      <c r="L89" s="92"/>
      <c r="M89" s="87" t="s">
        <v>200</v>
      </c>
      <c r="O89" s="87" t="s">
        <v>377</v>
      </c>
      <c r="P89" s="87" t="s">
        <v>372</v>
      </c>
    </row>
    <row r="90" ht="15.75" customHeight="1">
      <c r="A90" s="87" t="s">
        <v>690</v>
      </c>
      <c r="B90" s="88">
        <v>1.22E18</v>
      </c>
      <c r="C90" s="87" t="s">
        <v>691</v>
      </c>
      <c r="D90" s="87" t="s">
        <v>87</v>
      </c>
      <c r="E90" s="87" t="s">
        <v>228</v>
      </c>
      <c r="F90" s="87" t="s">
        <v>691</v>
      </c>
      <c r="H90" s="87" t="s">
        <v>692</v>
      </c>
      <c r="I90" s="87" t="s">
        <v>340</v>
      </c>
      <c r="J90" s="87" t="s">
        <v>689</v>
      </c>
      <c r="K90" s="90">
        <v>0.0</v>
      </c>
      <c r="L90" s="92"/>
      <c r="M90" s="87" t="s">
        <v>200</v>
      </c>
      <c r="O90" s="87" t="s">
        <v>377</v>
      </c>
      <c r="P90" s="87" t="s">
        <v>372</v>
      </c>
    </row>
    <row r="91" ht="15.75" customHeight="1">
      <c r="A91" s="87" t="s">
        <v>693</v>
      </c>
      <c r="B91" s="88">
        <v>1.22E18</v>
      </c>
      <c r="C91" s="87" t="s">
        <v>694</v>
      </c>
      <c r="D91" s="87" t="s">
        <v>87</v>
      </c>
      <c r="E91" s="87" t="s">
        <v>228</v>
      </c>
      <c r="F91" s="87" t="s">
        <v>373</v>
      </c>
      <c r="H91" s="87" t="s">
        <v>408</v>
      </c>
      <c r="I91" s="87" t="s">
        <v>340</v>
      </c>
      <c r="J91" s="87" t="s">
        <v>695</v>
      </c>
      <c r="K91" s="90">
        <v>0.0</v>
      </c>
      <c r="L91" s="92"/>
      <c r="M91" s="87" t="s">
        <v>200</v>
      </c>
      <c r="N91" s="87" t="s">
        <v>408</v>
      </c>
      <c r="O91" s="87" t="s">
        <v>377</v>
      </c>
      <c r="P91" s="87" t="s">
        <v>372</v>
      </c>
    </row>
    <row r="92" ht="15.75" customHeight="1">
      <c r="A92" s="87" t="s">
        <v>696</v>
      </c>
      <c r="B92" s="88">
        <v>1.22E18</v>
      </c>
      <c r="C92" s="87" t="s">
        <v>697</v>
      </c>
      <c r="D92" s="87" t="s">
        <v>87</v>
      </c>
      <c r="E92" s="87" t="s">
        <v>88</v>
      </c>
      <c r="F92" s="87" t="s">
        <v>697</v>
      </c>
      <c r="H92" s="87" t="s">
        <v>369</v>
      </c>
      <c r="I92" s="87" t="s">
        <v>340</v>
      </c>
      <c r="J92" s="87" t="s">
        <v>698</v>
      </c>
      <c r="K92" s="90">
        <v>0.0</v>
      </c>
      <c r="L92" s="92"/>
      <c r="M92" s="87" t="s">
        <v>200</v>
      </c>
      <c r="N92" s="87" t="s">
        <v>390</v>
      </c>
      <c r="O92" s="87" t="s">
        <v>377</v>
      </c>
      <c r="P92" s="87" t="s">
        <v>372</v>
      </c>
    </row>
    <row r="93" ht="15.75" customHeight="1">
      <c r="A93" s="87" t="s">
        <v>699</v>
      </c>
      <c r="B93" s="88">
        <v>1.22E18</v>
      </c>
      <c r="C93" s="87" t="s">
        <v>700</v>
      </c>
      <c r="D93" s="87" t="s">
        <v>87</v>
      </c>
      <c r="E93" s="87" t="s">
        <v>228</v>
      </c>
      <c r="F93" s="87" t="s">
        <v>700</v>
      </c>
      <c r="H93" s="87" t="s">
        <v>701</v>
      </c>
      <c r="I93" s="87" t="s">
        <v>315</v>
      </c>
      <c r="J93" s="87" t="s">
        <v>702</v>
      </c>
      <c r="K93" s="90">
        <v>0.0</v>
      </c>
      <c r="L93" s="92"/>
      <c r="M93" s="87" t="s">
        <v>200</v>
      </c>
      <c r="N93" s="87" t="s">
        <v>703</v>
      </c>
      <c r="O93" s="87" t="s">
        <v>377</v>
      </c>
      <c r="P93" s="87" t="s">
        <v>372</v>
      </c>
    </row>
    <row r="94" ht="15.75" customHeight="1">
      <c r="A94" s="87" t="s">
        <v>704</v>
      </c>
      <c r="B94" s="88">
        <v>1.22E18</v>
      </c>
      <c r="C94" s="87" t="s">
        <v>705</v>
      </c>
      <c r="D94" s="87" t="s">
        <v>87</v>
      </c>
      <c r="E94" s="87" t="s">
        <v>228</v>
      </c>
      <c r="F94" s="87" t="s">
        <v>705</v>
      </c>
      <c r="H94" s="87" t="s">
        <v>701</v>
      </c>
      <c r="I94" s="87" t="s">
        <v>315</v>
      </c>
      <c r="J94" s="87" t="s">
        <v>706</v>
      </c>
      <c r="K94" s="90">
        <v>0.0</v>
      </c>
      <c r="L94" s="92"/>
      <c r="M94" s="87" t="s">
        <v>200</v>
      </c>
      <c r="N94" s="87" t="s">
        <v>703</v>
      </c>
      <c r="O94" s="87" t="s">
        <v>377</v>
      </c>
      <c r="P94" s="87" t="s">
        <v>372</v>
      </c>
    </row>
    <row r="95" ht="15.75" customHeight="1">
      <c r="A95" s="87" t="s">
        <v>707</v>
      </c>
      <c r="B95" s="88">
        <v>1.22E18</v>
      </c>
      <c r="C95" s="87" t="s">
        <v>708</v>
      </c>
      <c r="D95" s="87" t="s">
        <v>87</v>
      </c>
      <c r="E95" s="87" t="s">
        <v>88</v>
      </c>
      <c r="F95" s="87" t="s">
        <v>708</v>
      </c>
      <c r="H95" s="87" t="s">
        <v>709</v>
      </c>
      <c r="I95" s="87" t="s">
        <v>327</v>
      </c>
      <c r="J95" s="87" t="s">
        <v>710</v>
      </c>
      <c r="K95" s="90">
        <v>0.0</v>
      </c>
      <c r="L95" s="92"/>
      <c r="M95" s="87" t="s">
        <v>200</v>
      </c>
      <c r="O95" s="87" t="s">
        <v>377</v>
      </c>
      <c r="P95" s="87" t="s">
        <v>372</v>
      </c>
    </row>
    <row r="96" ht="15.75" customHeight="1">
      <c r="A96" s="87" t="s">
        <v>711</v>
      </c>
      <c r="B96" s="88">
        <v>1.22E18</v>
      </c>
      <c r="C96" s="87" t="s">
        <v>712</v>
      </c>
      <c r="D96" s="87" t="s">
        <v>87</v>
      </c>
      <c r="E96" s="87" t="s">
        <v>88</v>
      </c>
      <c r="F96" s="87" t="s">
        <v>712</v>
      </c>
      <c r="H96" s="87" t="s">
        <v>709</v>
      </c>
      <c r="I96" s="87" t="s">
        <v>340</v>
      </c>
      <c r="J96" s="87" t="s">
        <v>713</v>
      </c>
      <c r="K96" s="90">
        <v>0.0</v>
      </c>
      <c r="L96" s="92"/>
      <c r="M96" s="87" t="s">
        <v>200</v>
      </c>
      <c r="O96" s="87" t="s">
        <v>377</v>
      </c>
      <c r="P96" s="87" t="s">
        <v>372</v>
      </c>
    </row>
    <row r="97" ht="15.75" customHeight="1">
      <c r="A97" s="87" t="s">
        <v>714</v>
      </c>
      <c r="B97" s="88">
        <v>1.22E18</v>
      </c>
      <c r="C97" s="87" t="s">
        <v>715</v>
      </c>
      <c r="D97" s="87" t="s">
        <v>87</v>
      </c>
      <c r="E97" s="87" t="s">
        <v>241</v>
      </c>
      <c r="F97" s="87" t="s">
        <v>715</v>
      </c>
      <c r="H97" s="87" t="s">
        <v>716</v>
      </c>
      <c r="I97" s="87" t="s">
        <v>315</v>
      </c>
      <c r="J97" s="87" t="s">
        <v>717</v>
      </c>
      <c r="K97" s="90">
        <v>0.0</v>
      </c>
      <c r="L97" s="92"/>
      <c r="M97" s="87" t="s">
        <v>200</v>
      </c>
      <c r="O97" s="87" t="s">
        <v>377</v>
      </c>
      <c r="P97" s="87" t="s">
        <v>372</v>
      </c>
    </row>
    <row r="98" ht="15.75" customHeight="1">
      <c r="A98" s="87" t="s">
        <v>718</v>
      </c>
      <c r="B98" s="88">
        <v>1.22E18</v>
      </c>
      <c r="C98" s="87" t="s">
        <v>719</v>
      </c>
      <c r="D98" s="87" t="s">
        <v>87</v>
      </c>
      <c r="E98" s="87" t="s">
        <v>88</v>
      </c>
      <c r="F98" s="118" t="s">
        <v>719</v>
      </c>
      <c r="G98" s="119"/>
      <c r="H98" s="87" t="s">
        <v>369</v>
      </c>
      <c r="I98" s="87" t="s">
        <v>327</v>
      </c>
      <c r="J98" s="87" t="s">
        <v>386</v>
      </c>
      <c r="K98" s="90">
        <v>0.0</v>
      </c>
      <c r="L98" s="92"/>
      <c r="M98" s="87" t="s">
        <v>200</v>
      </c>
      <c r="N98" s="87" t="s">
        <v>390</v>
      </c>
      <c r="O98" s="87" t="s">
        <v>377</v>
      </c>
      <c r="P98" s="87" t="s">
        <v>372</v>
      </c>
    </row>
    <row r="99" ht="15.75" customHeight="1">
      <c r="A99" s="87" t="s">
        <v>720</v>
      </c>
      <c r="B99" s="88">
        <v>1.22E18</v>
      </c>
      <c r="C99" s="87" t="s">
        <v>721</v>
      </c>
      <c r="D99" s="87" t="s">
        <v>87</v>
      </c>
      <c r="E99" s="87" t="s">
        <v>88</v>
      </c>
      <c r="F99" s="87" t="s">
        <v>373</v>
      </c>
      <c r="H99" s="87" t="s">
        <v>369</v>
      </c>
      <c r="I99" s="87" t="s">
        <v>315</v>
      </c>
      <c r="J99" s="87" t="s">
        <v>722</v>
      </c>
      <c r="K99" s="90">
        <v>1081600.0</v>
      </c>
      <c r="L99" s="92"/>
      <c r="M99" s="87" t="s">
        <v>200</v>
      </c>
      <c r="N99" s="87" t="s">
        <v>390</v>
      </c>
      <c r="O99" s="87" t="s">
        <v>377</v>
      </c>
      <c r="P99" s="87" t="s">
        <v>372</v>
      </c>
    </row>
    <row r="100" ht="15.75" customHeight="1">
      <c r="A100" s="87" t="s">
        <v>723</v>
      </c>
      <c r="B100" s="88">
        <v>1.22E18</v>
      </c>
      <c r="C100" s="87" t="s">
        <v>721</v>
      </c>
      <c r="D100" s="87" t="s">
        <v>87</v>
      </c>
      <c r="E100" s="87" t="s">
        <v>88</v>
      </c>
      <c r="F100" s="87" t="s">
        <v>373</v>
      </c>
      <c r="H100" s="87" t="s">
        <v>369</v>
      </c>
      <c r="I100" s="87" t="s">
        <v>315</v>
      </c>
      <c r="J100" s="87" t="s">
        <v>722</v>
      </c>
      <c r="K100" s="90">
        <v>1081600.0</v>
      </c>
      <c r="L100" s="92"/>
      <c r="M100" s="87" t="s">
        <v>575</v>
      </c>
      <c r="N100" s="87" t="s">
        <v>390</v>
      </c>
      <c r="O100" s="87" t="s">
        <v>377</v>
      </c>
      <c r="P100" s="87" t="s">
        <v>372</v>
      </c>
    </row>
    <row r="101" ht="15.75" customHeight="1">
      <c r="A101" s="87" t="s">
        <v>724</v>
      </c>
      <c r="B101" s="88">
        <v>1.22E18</v>
      </c>
      <c r="C101" s="87" t="s">
        <v>725</v>
      </c>
      <c r="D101" s="87" t="s">
        <v>87</v>
      </c>
      <c r="E101" s="87" t="s">
        <v>88</v>
      </c>
      <c r="F101" s="87" t="s">
        <v>725</v>
      </c>
      <c r="H101" s="87" t="s">
        <v>369</v>
      </c>
      <c r="I101" s="87" t="s">
        <v>315</v>
      </c>
      <c r="J101" s="87" t="s">
        <v>726</v>
      </c>
      <c r="K101" s="90">
        <v>0.0</v>
      </c>
      <c r="L101" s="92"/>
      <c r="M101" s="87" t="s">
        <v>200</v>
      </c>
      <c r="O101" s="87" t="s">
        <v>377</v>
      </c>
      <c r="P101" s="87" t="s">
        <v>372</v>
      </c>
    </row>
    <row r="102" ht="15.75" customHeight="1">
      <c r="A102" s="87" t="s">
        <v>727</v>
      </c>
      <c r="B102" s="88">
        <v>1.22E18</v>
      </c>
      <c r="C102" s="87" t="s">
        <v>728</v>
      </c>
      <c r="D102" s="87" t="s">
        <v>87</v>
      </c>
      <c r="E102" s="87" t="s">
        <v>88</v>
      </c>
      <c r="F102" s="87" t="s">
        <v>728</v>
      </c>
      <c r="H102" s="87" t="s">
        <v>369</v>
      </c>
      <c r="I102" s="87" t="s">
        <v>315</v>
      </c>
      <c r="J102" s="87" t="s">
        <v>689</v>
      </c>
      <c r="K102" s="90">
        <v>0.0</v>
      </c>
      <c r="L102" s="92"/>
      <c r="M102" s="87" t="s">
        <v>200</v>
      </c>
      <c r="N102" s="87" t="s">
        <v>390</v>
      </c>
      <c r="O102" s="87" t="s">
        <v>377</v>
      </c>
      <c r="P102" s="87" t="s">
        <v>372</v>
      </c>
    </row>
    <row r="103" ht="15.75" customHeight="1">
      <c r="A103" s="87" t="s">
        <v>729</v>
      </c>
      <c r="B103" s="88">
        <v>1.22E18</v>
      </c>
      <c r="C103" s="87" t="s">
        <v>730</v>
      </c>
      <c r="D103" s="87" t="s">
        <v>87</v>
      </c>
      <c r="E103" s="87" t="s">
        <v>88</v>
      </c>
      <c r="F103" s="87" t="s">
        <v>730</v>
      </c>
      <c r="H103" s="87" t="s">
        <v>369</v>
      </c>
      <c r="I103" s="87" t="s">
        <v>315</v>
      </c>
      <c r="J103" s="87" t="s">
        <v>396</v>
      </c>
      <c r="K103" s="90">
        <v>0.0</v>
      </c>
      <c r="L103" s="92"/>
      <c r="M103" s="87" t="s">
        <v>200</v>
      </c>
      <c r="N103" s="87" t="s">
        <v>390</v>
      </c>
      <c r="O103" s="87" t="s">
        <v>377</v>
      </c>
      <c r="P103" s="87" t="s">
        <v>372</v>
      </c>
    </row>
    <row r="104" ht="15.75" customHeight="1">
      <c r="A104" s="87" t="s">
        <v>731</v>
      </c>
      <c r="B104" s="88">
        <v>1.22E18</v>
      </c>
      <c r="C104" s="87" t="s">
        <v>732</v>
      </c>
      <c r="D104" s="87" t="s">
        <v>87</v>
      </c>
      <c r="E104" s="87" t="s">
        <v>88</v>
      </c>
      <c r="F104" s="87" t="s">
        <v>732</v>
      </c>
      <c r="H104" s="87" t="s">
        <v>369</v>
      </c>
      <c r="I104" s="87" t="s">
        <v>315</v>
      </c>
      <c r="J104" s="87" t="s">
        <v>733</v>
      </c>
      <c r="K104" s="90">
        <v>0.0</v>
      </c>
      <c r="L104" s="92"/>
      <c r="M104" s="87" t="s">
        <v>200</v>
      </c>
      <c r="N104" s="87" t="s">
        <v>390</v>
      </c>
      <c r="O104" s="87" t="s">
        <v>377</v>
      </c>
      <c r="P104" s="87" t="s">
        <v>372</v>
      </c>
    </row>
    <row r="105" ht="15.75" customHeight="1">
      <c r="A105" s="87" t="s">
        <v>734</v>
      </c>
      <c r="B105" s="88">
        <v>1.22E18</v>
      </c>
      <c r="C105" s="87" t="s">
        <v>735</v>
      </c>
      <c r="D105" s="87" t="s">
        <v>87</v>
      </c>
      <c r="E105" s="87" t="s">
        <v>88</v>
      </c>
      <c r="F105" s="87" t="s">
        <v>735</v>
      </c>
      <c r="H105" s="87" t="s">
        <v>369</v>
      </c>
      <c r="I105" s="87" t="s">
        <v>315</v>
      </c>
      <c r="J105" s="87" t="s">
        <v>736</v>
      </c>
      <c r="K105" s="90">
        <v>0.0</v>
      </c>
      <c r="L105" s="92"/>
      <c r="M105" s="87" t="s">
        <v>200</v>
      </c>
      <c r="N105" s="87" t="s">
        <v>390</v>
      </c>
      <c r="O105" s="87" t="s">
        <v>377</v>
      </c>
      <c r="P105" s="87" t="s">
        <v>372</v>
      </c>
    </row>
    <row r="106" ht="15.75" customHeight="1">
      <c r="A106" s="87" t="s">
        <v>737</v>
      </c>
      <c r="B106" s="88">
        <v>1.22E18</v>
      </c>
      <c r="C106" s="87" t="s">
        <v>738</v>
      </c>
      <c r="D106" s="87" t="s">
        <v>87</v>
      </c>
      <c r="E106" s="87" t="s">
        <v>228</v>
      </c>
      <c r="F106" s="87" t="s">
        <v>738</v>
      </c>
      <c r="H106" s="87" t="s">
        <v>518</v>
      </c>
      <c r="I106" s="87" t="s">
        <v>315</v>
      </c>
      <c r="J106" s="87" t="s">
        <v>405</v>
      </c>
      <c r="K106" s="90">
        <v>0.0</v>
      </c>
      <c r="L106" s="92"/>
      <c r="M106" s="87" t="s">
        <v>200</v>
      </c>
      <c r="O106" s="87" t="s">
        <v>377</v>
      </c>
      <c r="P106" s="87" t="s">
        <v>372</v>
      </c>
    </row>
    <row r="107" ht="15.75" customHeight="1">
      <c r="A107" s="87" t="s">
        <v>739</v>
      </c>
      <c r="B107" s="88">
        <v>1.22E18</v>
      </c>
      <c r="C107" s="87" t="s">
        <v>740</v>
      </c>
      <c r="D107" s="87" t="s">
        <v>87</v>
      </c>
      <c r="E107" s="87" t="s">
        <v>88</v>
      </c>
      <c r="F107" s="87" t="s">
        <v>740</v>
      </c>
      <c r="H107" s="87" t="s">
        <v>369</v>
      </c>
      <c r="I107" s="87" t="s">
        <v>327</v>
      </c>
      <c r="J107" s="87" t="s">
        <v>741</v>
      </c>
      <c r="K107" s="90">
        <v>90000.0</v>
      </c>
      <c r="L107" s="92"/>
      <c r="M107" s="87" t="s">
        <v>200</v>
      </c>
      <c r="N107" s="87" t="s">
        <v>390</v>
      </c>
      <c r="O107" s="87" t="s">
        <v>377</v>
      </c>
      <c r="P107" s="87" t="s">
        <v>372</v>
      </c>
    </row>
    <row r="108" ht="15.75" customHeight="1">
      <c r="A108" s="87" t="s">
        <v>742</v>
      </c>
      <c r="B108" s="88">
        <v>1.22E18</v>
      </c>
      <c r="C108" s="87" t="s">
        <v>743</v>
      </c>
      <c r="D108" s="87" t="s">
        <v>87</v>
      </c>
      <c r="E108" s="87" t="s">
        <v>228</v>
      </c>
      <c r="F108" s="87" t="s">
        <v>373</v>
      </c>
      <c r="H108" s="87" t="s">
        <v>408</v>
      </c>
      <c r="I108" s="87" t="s">
        <v>340</v>
      </c>
      <c r="J108" s="87" t="s">
        <v>744</v>
      </c>
      <c r="K108" s="90">
        <v>0.0</v>
      </c>
      <c r="L108" s="92"/>
      <c r="M108" s="87" t="s">
        <v>200</v>
      </c>
      <c r="N108" s="87" t="s">
        <v>408</v>
      </c>
      <c r="O108" s="87" t="s">
        <v>377</v>
      </c>
      <c r="P108" s="87" t="s">
        <v>372</v>
      </c>
    </row>
    <row r="109" ht="15.75" customHeight="1">
      <c r="A109" s="87" t="s">
        <v>745</v>
      </c>
      <c r="B109" s="88">
        <v>1.22E18</v>
      </c>
      <c r="C109" s="87" t="s">
        <v>746</v>
      </c>
      <c r="D109" s="87" t="s">
        <v>87</v>
      </c>
      <c r="E109" s="87" t="s">
        <v>228</v>
      </c>
      <c r="F109" s="87" t="s">
        <v>746</v>
      </c>
      <c r="H109" s="87" t="s">
        <v>747</v>
      </c>
      <c r="I109" s="87" t="s">
        <v>315</v>
      </c>
      <c r="J109" s="87" t="s">
        <v>748</v>
      </c>
      <c r="K109" s="90">
        <v>0.0</v>
      </c>
      <c r="L109" s="92"/>
      <c r="M109" s="87" t="s">
        <v>200</v>
      </c>
      <c r="O109" s="87" t="s">
        <v>377</v>
      </c>
      <c r="P109" s="87" t="s">
        <v>372</v>
      </c>
    </row>
    <row r="110" ht="15.75" customHeight="1">
      <c r="A110" s="87" t="s">
        <v>749</v>
      </c>
      <c r="B110" s="88">
        <v>1.22E18</v>
      </c>
      <c r="C110" s="87" t="s">
        <v>750</v>
      </c>
      <c r="D110" s="87" t="s">
        <v>87</v>
      </c>
      <c r="E110" s="87" t="s">
        <v>228</v>
      </c>
      <c r="F110" s="87" t="s">
        <v>750</v>
      </c>
      <c r="H110" s="87" t="s">
        <v>369</v>
      </c>
      <c r="I110" s="87" t="s">
        <v>340</v>
      </c>
      <c r="J110" s="87" t="s">
        <v>751</v>
      </c>
      <c r="K110" s="90">
        <v>0.0</v>
      </c>
      <c r="L110" s="92"/>
      <c r="M110" s="87" t="s">
        <v>200</v>
      </c>
      <c r="N110" s="87" t="s">
        <v>390</v>
      </c>
      <c r="O110" s="87" t="s">
        <v>377</v>
      </c>
      <c r="P110" s="87" t="s">
        <v>372</v>
      </c>
    </row>
    <row r="111" ht="15.75" customHeight="1">
      <c r="A111" s="87" t="s">
        <v>752</v>
      </c>
      <c r="B111" s="88">
        <v>1.22E18</v>
      </c>
      <c r="C111" s="87" t="s">
        <v>753</v>
      </c>
      <c r="D111" s="87" t="s">
        <v>87</v>
      </c>
      <c r="E111" s="87" t="s">
        <v>88</v>
      </c>
      <c r="F111" s="87" t="s">
        <v>753</v>
      </c>
      <c r="H111" s="87" t="s">
        <v>754</v>
      </c>
      <c r="I111" s="87" t="s">
        <v>495</v>
      </c>
      <c r="J111" s="87" t="s">
        <v>449</v>
      </c>
      <c r="K111" s="90">
        <v>0.0</v>
      </c>
      <c r="L111" s="92"/>
      <c r="M111" s="87" t="s">
        <v>200</v>
      </c>
      <c r="O111" s="87" t="s">
        <v>377</v>
      </c>
      <c r="P111" s="87" t="s">
        <v>372</v>
      </c>
    </row>
    <row r="112" ht="15.75" customHeight="1">
      <c r="A112" s="87" t="s">
        <v>755</v>
      </c>
      <c r="B112" s="88">
        <v>1.22E18</v>
      </c>
      <c r="C112" s="87" t="s">
        <v>756</v>
      </c>
      <c r="D112" s="87" t="s">
        <v>87</v>
      </c>
      <c r="E112" s="87" t="s">
        <v>228</v>
      </c>
      <c r="F112" s="87" t="s">
        <v>756</v>
      </c>
      <c r="H112" s="87" t="s">
        <v>757</v>
      </c>
      <c r="I112" s="87" t="s">
        <v>315</v>
      </c>
      <c r="J112" s="87" t="s">
        <v>758</v>
      </c>
      <c r="K112" s="90">
        <v>0.0</v>
      </c>
      <c r="L112" s="92"/>
      <c r="M112" s="87" t="s">
        <v>200</v>
      </c>
      <c r="O112" s="87" t="s">
        <v>377</v>
      </c>
      <c r="P112" s="87" t="s">
        <v>372</v>
      </c>
    </row>
    <row r="113" ht="15.75" customHeight="1">
      <c r="A113" s="87" t="s">
        <v>759</v>
      </c>
      <c r="B113" s="88">
        <v>1.22E18</v>
      </c>
      <c r="C113" s="87" t="s">
        <v>760</v>
      </c>
      <c r="D113" s="87" t="s">
        <v>87</v>
      </c>
      <c r="E113" s="87" t="s">
        <v>228</v>
      </c>
      <c r="F113" s="87" t="s">
        <v>760</v>
      </c>
      <c r="H113" s="87" t="s">
        <v>518</v>
      </c>
      <c r="I113" s="87" t="s">
        <v>315</v>
      </c>
      <c r="J113" s="87" t="s">
        <v>689</v>
      </c>
      <c r="K113" s="90">
        <v>0.0</v>
      </c>
      <c r="L113" s="92"/>
      <c r="M113" s="87" t="s">
        <v>200</v>
      </c>
      <c r="O113" s="87" t="s">
        <v>377</v>
      </c>
      <c r="P113" s="87" t="s">
        <v>372</v>
      </c>
    </row>
    <row r="114" ht="15.75" customHeight="1">
      <c r="A114" s="87" t="s">
        <v>761</v>
      </c>
      <c r="B114" s="88">
        <v>1.22E18</v>
      </c>
      <c r="C114" s="87" t="s">
        <v>762</v>
      </c>
      <c r="D114" s="87" t="s">
        <v>87</v>
      </c>
      <c r="E114" s="87" t="s">
        <v>88</v>
      </c>
      <c r="F114" s="118" t="s">
        <v>762</v>
      </c>
      <c r="G114" s="119"/>
      <c r="H114" s="87" t="s">
        <v>369</v>
      </c>
      <c r="I114" s="87" t="s">
        <v>327</v>
      </c>
      <c r="J114" s="87" t="s">
        <v>763</v>
      </c>
      <c r="K114" s="90">
        <v>0.0</v>
      </c>
      <c r="L114" s="92"/>
      <c r="M114" s="87" t="s">
        <v>200</v>
      </c>
      <c r="N114" s="87" t="s">
        <v>390</v>
      </c>
      <c r="O114" s="87" t="s">
        <v>377</v>
      </c>
      <c r="P114" s="87" t="s">
        <v>372</v>
      </c>
    </row>
    <row r="115" ht="15.75" customHeight="1">
      <c r="A115" s="87" t="s">
        <v>764</v>
      </c>
      <c r="B115" s="88">
        <v>1.22E18</v>
      </c>
      <c r="C115" s="87" t="s">
        <v>765</v>
      </c>
      <c r="D115" s="87" t="s">
        <v>87</v>
      </c>
      <c r="E115" s="87" t="s">
        <v>228</v>
      </c>
      <c r="F115" s="87" t="s">
        <v>765</v>
      </c>
      <c r="H115" s="87" t="s">
        <v>408</v>
      </c>
      <c r="I115" s="87" t="s">
        <v>340</v>
      </c>
      <c r="J115" s="87" t="s">
        <v>766</v>
      </c>
      <c r="K115" s="90">
        <v>0.0</v>
      </c>
      <c r="L115" s="92"/>
      <c r="M115" s="87" t="s">
        <v>200</v>
      </c>
      <c r="N115" s="87" t="s">
        <v>408</v>
      </c>
      <c r="O115" s="87" t="s">
        <v>377</v>
      </c>
      <c r="P115" s="87" t="s">
        <v>372</v>
      </c>
    </row>
    <row r="116" ht="15.75" customHeight="1">
      <c r="A116" s="87" t="s">
        <v>767</v>
      </c>
      <c r="B116" s="88">
        <v>1.22E18</v>
      </c>
      <c r="C116" s="87" t="s">
        <v>768</v>
      </c>
      <c r="D116" s="87" t="s">
        <v>87</v>
      </c>
      <c r="E116" s="87" t="s">
        <v>88</v>
      </c>
      <c r="F116" s="87" t="s">
        <v>768</v>
      </c>
      <c r="H116" s="87" t="s">
        <v>369</v>
      </c>
      <c r="I116" s="87" t="s">
        <v>315</v>
      </c>
      <c r="J116" s="87" t="s">
        <v>769</v>
      </c>
      <c r="K116" s="90">
        <v>10000.0</v>
      </c>
      <c r="L116" s="92"/>
      <c r="M116" s="87" t="s">
        <v>200</v>
      </c>
      <c r="N116" s="87" t="s">
        <v>390</v>
      </c>
      <c r="O116" s="87" t="s">
        <v>377</v>
      </c>
      <c r="P116" s="87" t="s">
        <v>372</v>
      </c>
    </row>
    <row r="117" ht="15.75" customHeight="1">
      <c r="A117" s="87" t="s">
        <v>770</v>
      </c>
      <c r="B117" s="88">
        <v>1.22E18</v>
      </c>
      <c r="C117" s="87" t="s">
        <v>771</v>
      </c>
      <c r="D117" s="87" t="s">
        <v>87</v>
      </c>
      <c r="E117" s="87" t="s">
        <v>228</v>
      </c>
      <c r="F117" s="87" t="s">
        <v>771</v>
      </c>
      <c r="H117" s="87" t="s">
        <v>369</v>
      </c>
      <c r="I117" s="87" t="s">
        <v>340</v>
      </c>
      <c r="J117" s="87" t="s">
        <v>772</v>
      </c>
      <c r="K117" s="90">
        <v>0.0</v>
      </c>
      <c r="L117" s="92"/>
      <c r="M117" s="87" t="s">
        <v>200</v>
      </c>
      <c r="N117" s="87" t="s">
        <v>390</v>
      </c>
      <c r="O117" s="87" t="s">
        <v>377</v>
      </c>
      <c r="P117" s="87" t="s">
        <v>372</v>
      </c>
    </row>
    <row r="118" ht="15.75" customHeight="1">
      <c r="A118" s="87" t="s">
        <v>773</v>
      </c>
      <c r="B118" s="88">
        <v>1.22E18</v>
      </c>
      <c r="C118" s="87" t="s">
        <v>774</v>
      </c>
      <c r="D118" s="87" t="s">
        <v>87</v>
      </c>
      <c r="E118" s="87" t="s">
        <v>228</v>
      </c>
      <c r="F118" s="87" t="s">
        <v>373</v>
      </c>
      <c r="H118" s="87" t="s">
        <v>408</v>
      </c>
      <c r="I118" s="87" t="s">
        <v>340</v>
      </c>
      <c r="J118" s="87" t="s">
        <v>775</v>
      </c>
      <c r="K118" s="90">
        <v>1000.0</v>
      </c>
      <c r="L118" s="92"/>
      <c r="M118" s="87" t="s">
        <v>200</v>
      </c>
      <c r="N118" s="87" t="s">
        <v>408</v>
      </c>
      <c r="O118" s="87" t="s">
        <v>377</v>
      </c>
      <c r="P118" s="87" t="s">
        <v>372</v>
      </c>
    </row>
    <row r="119" ht="15.75" customHeight="1">
      <c r="A119" s="87" t="s">
        <v>776</v>
      </c>
      <c r="B119" s="88">
        <v>1.22E18</v>
      </c>
      <c r="C119" s="87" t="s">
        <v>777</v>
      </c>
      <c r="D119" s="87" t="s">
        <v>87</v>
      </c>
      <c r="E119" s="87" t="s">
        <v>228</v>
      </c>
      <c r="F119" s="87" t="s">
        <v>373</v>
      </c>
      <c r="H119" s="87" t="s">
        <v>408</v>
      </c>
      <c r="I119" s="87" t="s">
        <v>340</v>
      </c>
      <c r="J119" s="87" t="s">
        <v>778</v>
      </c>
      <c r="K119" s="90">
        <v>10500.0</v>
      </c>
      <c r="L119" s="92"/>
      <c r="M119" s="87" t="s">
        <v>200</v>
      </c>
      <c r="N119" s="87" t="s">
        <v>408</v>
      </c>
      <c r="O119" s="87" t="s">
        <v>377</v>
      </c>
      <c r="P119" s="87" t="s">
        <v>372</v>
      </c>
    </row>
    <row r="120" ht="15.75" customHeight="1">
      <c r="A120" s="87" t="s">
        <v>779</v>
      </c>
      <c r="B120" s="88">
        <v>1.22E18</v>
      </c>
      <c r="C120" s="87" t="s">
        <v>780</v>
      </c>
      <c r="D120" s="87" t="s">
        <v>87</v>
      </c>
      <c r="E120" s="87" t="s">
        <v>228</v>
      </c>
      <c r="F120" s="87" t="s">
        <v>780</v>
      </c>
      <c r="H120" s="87" t="s">
        <v>570</v>
      </c>
      <c r="I120" s="87" t="s">
        <v>315</v>
      </c>
      <c r="J120" s="87" t="s">
        <v>781</v>
      </c>
      <c r="K120" s="90">
        <v>0.0</v>
      </c>
      <c r="L120" s="92"/>
      <c r="M120" s="87" t="s">
        <v>200</v>
      </c>
      <c r="O120" s="87" t="s">
        <v>377</v>
      </c>
      <c r="P120" s="87" t="s">
        <v>372</v>
      </c>
    </row>
    <row r="121" ht="15.75" customHeight="1">
      <c r="A121" s="87" t="s">
        <v>782</v>
      </c>
      <c r="B121" s="88">
        <v>1.22E18</v>
      </c>
      <c r="C121" s="87" t="s">
        <v>783</v>
      </c>
      <c r="D121" s="87" t="s">
        <v>87</v>
      </c>
      <c r="E121" s="87" t="s">
        <v>88</v>
      </c>
      <c r="F121" s="87" t="s">
        <v>783</v>
      </c>
      <c r="H121" s="87" t="s">
        <v>395</v>
      </c>
      <c r="I121" s="87" t="s">
        <v>315</v>
      </c>
      <c r="J121" s="87" t="s">
        <v>784</v>
      </c>
      <c r="K121" s="90">
        <v>23750.0</v>
      </c>
      <c r="L121" s="92"/>
      <c r="M121" s="87" t="s">
        <v>200</v>
      </c>
      <c r="O121" s="87" t="s">
        <v>377</v>
      </c>
      <c r="P121" s="87" t="s">
        <v>372</v>
      </c>
    </row>
    <row r="122" ht="15.75" customHeight="1">
      <c r="A122" s="87" t="s">
        <v>785</v>
      </c>
      <c r="B122" s="88">
        <v>1.22E18</v>
      </c>
      <c r="C122" s="87" t="s">
        <v>786</v>
      </c>
      <c r="D122" s="87" t="s">
        <v>87</v>
      </c>
      <c r="E122" s="87" t="s">
        <v>88</v>
      </c>
      <c r="F122" s="87" t="s">
        <v>786</v>
      </c>
      <c r="H122" s="87" t="s">
        <v>369</v>
      </c>
      <c r="I122" s="87" t="s">
        <v>327</v>
      </c>
      <c r="J122" s="87" t="s">
        <v>787</v>
      </c>
      <c r="K122" s="90">
        <v>0.0</v>
      </c>
      <c r="L122" s="92"/>
      <c r="M122" s="87" t="s">
        <v>200</v>
      </c>
      <c r="N122" s="87" t="s">
        <v>390</v>
      </c>
      <c r="O122" s="87" t="s">
        <v>377</v>
      </c>
      <c r="P122" s="87" t="s">
        <v>372</v>
      </c>
    </row>
    <row r="123" ht="15.75" customHeight="1">
      <c r="A123" s="87" t="s">
        <v>788</v>
      </c>
      <c r="B123" s="88">
        <v>1.22E18</v>
      </c>
      <c r="C123" s="87" t="s">
        <v>789</v>
      </c>
      <c r="D123" s="87" t="s">
        <v>87</v>
      </c>
      <c r="E123" s="87" t="s">
        <v>88</v>
      </c>
      <c r="F123" s="87" t="s">
        <v>789</v>
      </c>
      <c r="H123" s="87" t="s">
        <v>369</v>
      </c>
      <c r="I123" s="87" t="s">
        <v>327</v>
      </c>
      <c r="J123" s="87" t="s">
        <v>790</v>
      </c>
      <c r="K123" s="90">
        <v>9500.0</v>
      </c>
      <c r="L123" s="92"/>
      <c r="M123" s="87" t="s">
        <v>200</v>
      </c>
      <c r="N123" s="87" t="s">
        <v>390</v>
      </c>
      <c r="O123" s="87" t="s">
        <v>377</v>
      </c>
      <c r="P123" s="87" t="s">
        <v>372</v>
      </c>
    </row>
    <row r="124" ht="15.75" customHeight="1">
      <c r="A124" s="87" t="s">
        <v>791</v>
      </c>
      <c r="B124" s="88">
        <v>1.22E18</v>
      </c>
      <c r="C124" s="87" t="s">
        <v>792</v>
      </c>
      <c r="D124" s="87" t="s">
        <v>87</v>
      </c>
      <c r="E124" s="87" t="s">
        <v>88</v>
      </c>
      <c r="F124" s="87" t="s">
        <v>792</v>
      </c>
      <c r="H124" s="87" t="s">
        <v>369</v>
      </c>
      <c r="I124" s="87" t="s">
        <v>315</v>
      </c>
      <c r="J124" s="87" t="s">
        <v>793</v>
      </c>
      <c r="K124" s="90">
        <v>0.0</v>
      </c>
      <c r="L124" s="92"/>
      <c r="M124" s="87" t="s">
        <v>200</v>
      </c>
      <c r="N124" s="87" t="s">
        <v>390</v>
      </c>
      <c r="O124" s="87" t="s">
        <v>377</v>
      </c>
      <c r="P124" s="87" t="s">
        <v>372</v>
      </c>
    </row>
    <row r="125" ht="15.75" customHeight="1">
      <c r="A125" s="87" t="s">
        <v>794</v>
      </c>
      <c r="B125" s="88">
        <v>1.22E18</v>
      </c>
      <c r="C125" s="87" t="s">
        <v>795</v>
      </c>
      <c r="D125" s="87" t="s">
        <v>87</v>
      </c>
      <c r="E125" s="87" t="s">
        <v>88</v>
      </c>
      <c r="F125" s="87" t="s">
        <v>373</v>
      </c>
      <c r="H125" s="87" t="s">
        <v>374</v>
      </c>
      <c r="I125" s="87" t="s">
        <v>340</v>
      </c>
      <c r="J125" s="87" t="s">
        <v>796</v>
      </c>
      <c r="K125" s="90">
        <v>783.0</v>
      </c>
      <c r="L125" s="92"/>
      <c r="M125" s="87" t="s">
        <v>200</v>
      </c>
      <c r="N125" s="87" t="s">
        <v>617</v>
      </c>
      <c r="O125" s="87" t="s">
        <v>377</v>
      </c>
      <c r="P125" s="87" t="s">
        <v>372</v>
      </c>
    </row>
    <row r="126" ht="15.75" customHeight="1">
      <c r="A126" s="87" t="s">
        <v>797</v>
      </c>
      <c r="B126" s="88">
        <v>1.22E18</v>
      </c>
      <c r="C126" s="87" t="s">
        <v>798</v>
      </c>
      <c r="D126" s="87" t="s">
        <v>87</v>
      </c>
      <c r="E126" s="87" t="s">
        <v>88</v>
      </c>
      <c r="F126" s="87" t="s">
        <v>373</v>
      </c>
      <c r="H126" s="87" t="s">
        <v>374</v>
      </c>
      <c r="I126" s="87" t="s">
        <v>340</v>
      </c>
      <c r="J126" s="87" t="s">
        <v>799</v>
      </c>
      <c r="K126" s="90">
        <v>2399.0</v>
      </c>
      <c r="L126" s="92"/>
      <c r="M126" s="87" t="s">
        <v>200</v>
      </c>
      <c r="N126" s="87" t="s">
        <v>617</v>
      </c>
      <c r="O126" s="87" t="s">
        <v>377</v>
      </c>
      <c r="P126" s="87" t="s">
        <v>372</v>
      </c>
    </row>
    <row r="127" ht="15.75" customHeight="1">
      <c r="A127" s="87" t="s">
        <v>800</v>
      </c>
      <c r="B127" s="88">
        <v>1.22E18</v>
      </c>
      <c r="C127" s="87" t="s">
        <v>801</v>
      </c>
      <c r="D127" s="87" t="s">
        <v>87</v>
      </c>
      <c r="E127" s="87" t="s">
        <v>88</v>
      </c>
      <c r="F127" s="87" t="s">
        <v>801</v>
      </c>
      <c r="H127" s="87" t="s">
        <v>369</v>
      </c>
      <c r="I127" s="87" t="s">
        <v>327</v>
      </c>
      <c r="J127" s="87" t="s">
        <v>802</v>
      </c>
      <c r="K127" s="90">
        <v>0.0</v>
      </c>
      <c r="L127" s="92"/>
      <c r="M127" s="87" t="s">
        <v>200</v>
      </c>
      <c r="N127" s="87" t="s">
        <v>390</v>
      </c>
      <c r="O127" s="87" t="s">
        <v>377</v>
      </c>
      <c r="P127" s="87" t="s">
        <v>372</v>
      </c>
    </row>
    <row r="128" ht="15.75" customHeight="1">
      <c r="A128" s="87" t="s">
        <v>803</v>
      </c>
      <c r="B128" s="88">
        <v>1.22E18</v>
      </c>
      <c r="C128" s="87" t="s">
        <v>804</v>
      </c>
      <c r="D128" s="87" t="s">
        <v>87</v>
      </c>
      <c r="E128" s="87" t="s">
        <v>241</v>
      </c>
      <c r="F128" s="87" t="s">
        <v>804</v>
      </c>
      <c r="H128" s="87" t="s">
        <v>805</v>
      </c>
      <c r="I128" s="87" t="s">
        <v>495</v>
      </c>
      <c r="J128" s="87" t="s">
        <v>806</v>
      </c>
      <c r="K128" s="90">
        <v>0.0</v>
      </c>
      <c r="L128" s="92"/>
      <c r="M128" s="87" t="s">
        <v>200</v>
      </c>
      <c r="O128" s="87" t="s">
        <v>377</v>
      </c>
      <c r="P128" s="87" t="s">
        <v>372</v>
      </c>
    </row>
    <row r="129" ht="15.75" customHeight="1">
      <c r="A129" s="87" t="s">
        <v>807</v>
      </c>
      <c r="B129" s="88">
        <v>1.22E18</v>
      </c>
      <c r="C129" s="87" t="s">
        <v>808</v>
      </c>
      <c r="D129" s="87" t="s">
        <v>87</v>
      </c>
      <c r="E129" s="87" t="s">
        <v>241</v>
      </c>
      <c r="F129" s="87" t="s">
        <v>808</v>
      </c>
      <c r="H129" s="87" t="s">
        <v>805</v>
      </c>
      <c r="I129" s="87" t="s">
        <v>495</v>
      </c>
      <c r="J129" s="87" t="s">
        <v>806</v>
      </c>
      <c r="K129" s="90">
        <v>0.0</v>
      </c>
      <c r="L129" s="92"/>
      <c r="M129" s="87" t="s">
        <v>200</v>
      </c>
      <c r="O129" s="87" t="s">
        <v>377</v>
      </c>
      <c r="P129" s="87" t="s">
        <v>372</v>
      </c>
    </row>
    <row r="130" ht="15.75" customHeight="1">
      <c r="A130" s="87" t="s">
        <v>809</v>
      </c>
      <c r="B130" s="88">
        <v>1.22E18</v>
      </c>
      <c r="C130" s="87" t="s">
        <v>810</v>
      </c>
      <c r="D130" s="87" t="s">
        <v>87</v>
      </c>
      <c r="E130" s="87" t="s">
        <v>88</v>
      </c>
      <c r="F130" s="87" t="s">
        <v>810</v>
      </c>
      <c r="H130" s="87" t="s">
        <v>369</v>
      </c>
      <c r="I130" s="87" t="s">
        <v>495</v>
      </c>
      <c r="J130" s="87" t="s">
        <v>811</v>
      </c>
      <c r="K130" s="90">
        <v>0.0</v>
      </c>
      <c r="L130" s="92"/>
      <c r="M130" s="87" t="s">
        <v>200</v>
      </c>
      <c r="O130" s="87" t="s">
        <v>377</v>
      </c>
      <c r="P130" s="87" t="s">
        <v>372</v>
      </c>
    </row>
    <row r="131" ht="15.75" customHeight="1">
      <c r="A131" s="87" t="s">
        <v>812</v>
      </c>
      <c r="B131" s="88">
        <v>1.22E18</v>
      </c>
      <c r="C131" s="87" t="s">
        <v>813</v>
      </c>
      <c r="D131" s="87" t="s">
        <v>87</v>
      </c>
      <c r="E131" s="87" t="s">
        <v>241</v>
      </c>
      <c r="F131" s="87" t="s">
        <v>813</v>
      </c>
      <c r="H131" s="87" t="s">
        <v>805</v>
      </c>
      <c r="I131" s="87" t="s">
        <v>495</v>
      </c>
      <c r="J131" s="87" t="s">
        <v>811</v>
      </c>
      <c r="K131" s="90">
        <v>0.0</v>
      </c>
      <c r="L131" s="92"/>
      <c r="M131" s="87" t="s">
        <v>200</v>
      </c>
      <c r="O131" s="87" t="s">
        <v>377</v>
      </c>
      <c r="P131" s="87" t="s">
        <v>372</v>
      </c>
    </row>
    <row r="132" ht="15.75" customHeight="1">
      <c r="A132" s="87" t="s">
        <v>814</v>
      </c>
      <c r="B132" s="88">
        <v>1.22E18</v>
      </c>
      <c r="C132" s="87" t="s">
        <v>815</v>
      </c>
      <c r="D132" s="87" t="s">
        <v>87</v>
      </c>
      <c r="E132" s="87" t="s">
        <v>241</v>
      </c>
      <c r="F132" s="87" t="s">
        <v>815</v>
      </c>
      <c r="H132" s="87" t="s">
        <v>805</v>
      </c>
      <c r="I132" s="87" t="s">
        <v>495</v>
      </c>
      <c r="J132" s="87" t="s">
        <v>816</v>
      </c>
      <c r="K132" s="90">
        <v>0.0</v>
      </c>
      <c r="L132" s="92"/>
      <c r="M132" s="87" t="s">
        <v>200</v>
      </c>
      <c r="O132" s="87" t="s">
        <v>377</v>
      </c>
      <c r="P132" s="87" t="s">
        <v>372</v>
      </c>
    </row>
    <row r="133" ht="15.75" customHeight="1">
      <c r="A133" s="87" t="s">
        <v>817</v>
      </c>
      <c r="B133" s="88">
        <v>1.22E18</v>
      </c>
      <c r="C133" s="87" t="s">
        <v>818</v>
      </c>
      <c r="D133" s="87" t="s">
        <v>87</v>
      </c>
      <c r="E133" s="87" t="s">
        <v>241</v>
      </c>
      <c r="F133" s="87" t="s">
        <v>818</v>
      </c>
      <c r="H133" s="87" t="s">
        <v>805</v>
      </c>
      <c r="I133" s="87" t="s">
        <v>495</v>
      </c>
      <c r="J133" s="87" t="s">
        <v>816</v>
      </c>
      <c r="K133" s="90">
        <v>0.0</v>
      </c>
      <c r="L133" s="92"/>
      <c r="M133" s="87" t="s">
        <v>200</v>
      </c>
      <c r="O133" s="87" t="s">
        <v>377</v>
      </c>
      <c r="P133" s="87" t="s">
        <v>372</v>
      </c>
    </row>
    <row r="134" ht="15.75" customHeight="1">
      <c r="A134" s="87" t="s">
        <v>819</v>
      </c>
      <c r="B134" s="88">
        <v>1.22E18</v>
      </c>
      <c r="C134" s="87" t="s">
        <v>820</v>
      </c>
      <c r="D134" s="87" t="s">
        <v>87</v>
      </c>
      <c r="E134" s="87" t="s">
        <v>241</v>
      </c>
      <c r="F134" s="87" t="s">
        <v>820</v>
      </c>
      <c r="H134" s="87" t="s">
        <v>805</v>
      </c>
      <c r="I134" s="87" t="s">
        <v>495</v>
      </c>
      <c r="J134" s="87" t="s">
        <v>821</v>
      </c>
      <c r="K134" s="90">
        <v>0.0</v>
      </c>
      <c r="L134" s="92"/>
      <c r="M134" s="87" t="s">
        <v>200</v>
      </c>
      <c r="O134" s="87" t="s">
        <v>377</v>
      </c>
      <c r="P134" s="87" t="s">
        <v>372</v>
      </c>
    </row>
    <row r="135" ht="15.75" customHeight="1">
      <c r="A135" s="87" t="s">
        <v>822</v>
      </c>
      <c r="B135" s="88">
        <v>1.22E18</v>
      </c>
      <c r="C135" s="87" t="s">
        <v>823</v>
      </c>
      <c r="D135" s="87" t="s">
        <v>87</v>
      </c>
      <c r="E135" s="87" t="s">
        <v>241</v>
      </c>
      <c r="F135" s="87" t="s">
        <v>823</v>
      </c>
      <c r="H135" s="87" t="s">
        <v>805</v>
      </c>
      <c r="I135" s="87" t="s">
        <v>495</v>
      </c>
      <c r="J135" s="87" t="s">
        <v>824</v>
      </c>
      <c r="K135" s="90">
        <v>0.0</v>
      </c>
      <c r="L135" s="92"/>
      <c r="M135" s="87" t="s">
        <v>200</v>
      </c>
      <c r="O135" s="87" t="s">
        <v>377</v>
      </c>
      <c r="P135" s="87" t="s">
        <v>372</v>
      </c>
    </row>
    <row r="136" ht="15.75" customHeight="1">
      <c r="A136" s="87" t="s">
        <v>825</v>
      </c>
      <c r="B136" s="88">
        <v>1.22E18</v>
      </c>
      <c r="C136" s="87" t="s">
        <v>826</v>
      </c>
      <c r="D136" s="87" t="s">
        <v>87</v>
      </c>
      <c r="E136" s="87" t="s">
        <v>233</v>
      </c>
      <c r="F136" s="87" t="s">
        <v>826</v>
      </c>
      <c r="H136" s="87" t="s">
        <v>586</v>
      </c>
      <c r="I136" s="87" t="s">
        <v>103</v>
      </c>
      <c r="J136" s="87" t="s">
        <v>827</v>
      </c>
      <c r="K136" s="90">
        <v>0.0</v>
      </c>
      <c r="L136" s="92"/>
      <c r="M136" s="87" t="s">
        <v>200</v>
      </c>
      <c r="N136" s="87" t="s">
        <v>828</v>
      </c>
      <c r="O136" s="87" t="s">
        <v>377</v>
      </c>
      <c r="P136" s="87" t="s">
        <v>372</v>
      </c>
    </row>
    <row r="137" ht="15.75" customHeight="1">
      <c r="A137" s="87" t="s">
        <v>829</v>
      </c>
      <c r="B137" s="88">
        <v>1.22E18</v>
      </c>
      <c r="C137" s="87" t="s">
        <v>830</v>
      </c>
      <c r="D137" s="87" t="s">
        <v>87</v>
      </c>
      <c r="E137" s="87" t="s">
        <v>88</v>
      </c>
      <c r="F137" s="87" t="s">
        <v>830</v>
      </c>
      <c r="H137" s="87" t="s">
        <v>570</v>
      </c>
      <c r="I137" s="87" t="s">
        <v>103</v>
      </c>
      <c r="J137" s="87" t="s">
        <v>831</v>
      </c>
      <c r="K137" s="90">
        <v>0.0</v>
      </c>
      <c r="L137" s="92"/>
      <c r="M137" s="87" t="s">
        <v>200</v>
      </c>
      <c r="O137" s="87" t="s">
        <v>377</v>
      </c>
      <c r="P137" s="87" t="s">
        <v>372</v>
      </c>
    </row>
    <row r="138" ht="15.75" customHeight="1">
      <c r="A138" s="87" t="s">
        <v>832</v>
      </c>
      <c r="B138" s="88">
        <v>1.22E18</v>
      </c>
      <c r="C138" s="87" t="s">
        <v>833</v>
      </c>
      <c r="D138" s="87" t="s">
        <v>87</v>
      </c>
      <c r="E138" s="87" t="s">
        <v>233</v>
      </c>
      <c r="F138" s="87" t="s">
        <v>833</v>
      </c>
      <c r="H138" s="87" t="s">
        <v>834</v>
      </c>
      <c r="I138" s="87" t="s">
        <v>340</v>
      </c>
      <c r="J138" s="87" t="s">
        <v>689</v>
      </c>
      <c r="K138" s="90">
        <v>0.0</v>
      </c>
      <c r="L138" s="92"/>
      <c r="M138" s="87" t="s">
        <v>200</v>
      </c>
      <c r="O138" s="87" t="s">
        <v>377</v>
      </c>
      <c r="P138" s="87" t="s">
        <v>372</v>
      </c>
    </row>
    <row r="139" ht="15.75" customHeight="1">
      <c r="A139" s="87" t="s">
        <v>835</v>
      </c>
      <c r="B139" s="88">
        <v>1.22E18</v>
      </c>
      <c r="C139" s="87" t="s">
        <v>836</v>
      </c>
      <c r="D139" s="87" t="s">
        <v>87</v>
      </c>
      <c r="E139" s="87" t="s">
        <v>228</v>
      </c>
      <c r="F139" s="87" t="s">
        <v>836</v>
      </c>
      <c r="H139" s="87" t="s">
        <v>837</v>
      </c>
      <c r="I139" s="87" t="s">
        <v>340</v>
      </c>
      <c r="J139" s="87" t="s">
        <v>449</v>
      </c>
      <c r="K139" s="90">
        <v>0.0</v>
      </c>
      <c r="L139" s="92"/>
      <c r="M139" s="87" t="s">
        <v>200</v>
      </c>
      <c r="N139" s="87" t="s">
        <v>838</v>
      </c>
      <c r="O139" s="87" t="s">
        <v>377</v>
      </c>
      <c r="P139" s="87" t="s">
        <v>372</v>
      </c>
    </row>
    <row r="140" ht="15.75" customHeight="1">
      <c r="A140" s="87" t="s">
        <v>839</v>
      </c>
      <c r="B140" s="88">
        <v>1.22E18</v>
      </c>
      <c r="C140" s="87" t="s">
        <v>840</v>
      </c>
      <c r="D140" s="87" t="s">
        <v>87</v>
      </c>
      <c r="E140" s="87" t="s">
        <v>228</v>
      </c>
      <c r="F140" s="87" t="s">
        <v>840</v>
      </c>
      <c r="H140" s="87" t="s">
        <v>837</v>
      </c>
      <c r="I140" s="87" t="s">
        <v>340</v>
      </c>
      <c r="J140" s="87" t="s">
        <v>449</v>
      </c>
      <c r="K140" s="90">
        <v>0.0</v>
      </c>
      <c r="L140" s="92"/>
      <c r="M140" s="87" t="s">
        <v>200</v>
      </c>
      <c r="N140" s="87" t="s">
        <v>838</v>
      </c>
      <c r="O140" s="87" t="s">
        <v>377</v>
      </c>
      <c r="P140" s="87" t="s">
        <v>372</v>
      </c>
    </row>
    <row r="141" ht="15.75" customHeight="1">
      <c r="A141" s="87" t="s">
        <v>841</v>
      </c>
      <c r="B141" s="88">
        <v>1.22E18</v>
      </c>
      <c r="C141" s="87" t="s">
        <v>842</v>
      </c>
      <c r="D141" s="87" t="s">
        <v>87</v>
      </c>
      <c r="E141" s="87" t="s">
        <v>228</v>
      </c>
      <c r="F141" s="87" t="s">
        <v>842</v>
      </c>
      <c r="H141" s="87" t="s">
        <v>843</v>
      </c>
      <c r="I141" s="87" t="s">
        <v>340</v>
      </c>
      <c r="J141" s="87" t="s">
        <v>844</v>
      </c>
      <c r="K141" s="90">
        <v>0.0</v>
      </c>
      <c r="L141" s="92"/>
      <c r="M141" s="87" t="s">
        <v>200</v>
      </c>
      <c r="O141" s="87" t="s">
        <v>377</v>
      </c>
      <c r="P141" s="87" t="s">
        <v>372</v>
      </c>
    </row>
    <row r="142" ht="15.75" customHeight="1">
      <c r="A142" s="87" t="s">
        <v>845</v>
      </c>
      <c r="B142" s="88">
        <v>1.22E18</v>
      </c>
      <c r="C142" s="87" t="s">
        <v>846</v>
      </c>
      <c r="D142" s="87" t="s">
        <v>87</v>
      </c>
      <c r="E142" s="87" t="s">
        <v>228</v>
      </c>
      <c r="F142" s="87" t="s">
        <v>846</v>
      </c>
      <c r="H142" s="87" t="s">
        <v>374</v>
      </c>
      <c r="I142" s="87" t="s">
        <v>340</v>
      </c>
      <c r="J142" s="87" t="s">
        <v>449</v>
      </c>
      <c r="K142" s="90">
        <v>0.0</v>
      </c>
      <c r="L142" s="92"/>
      <c r="M142" s="87" t="s">
        <v>200</v>
      </c>
      <c r="N142" s="87" t="s">
        <v>617</v>
      </c>
      <c r="O142" s="87" t="s">
        <v>377</v>
      </c>
      <c r="P142" s="87" t="s">
        <v>372</v>
      </c>
    </row>
    <row r="143" ht="15.75" customHeight="1">
      <c r="A143" s="87" t="s">
        <v>847</v>
      </c>
      <c r="B143" s="88">
        <v>1.22E18</v>
      </c>
      <c r="C143" s="87" t="s">
        <v>848</v>
      </c>
      <c r="D143" s="87" t="s">
        <v>87</v>
      </c>
      <c r="E143" s="87" t="s">
        <v>228</v>
      </c>
      <c r="F143" s="87" t="s">
        <v>848</v>
      </c>
      <c r="H143" s="87" t="s">
        <v>374</v>
      </c>
      <c r="I143" s="87" t="s">
        <v>340</v>
      </c>
      <c r="J143" s="87" t="s">
        <v>449</v>
      </c>
      <c r="K143" s="90">
        <v>0.0</v>
      </c>
      <c r="L143" s="92"/>
      <c r="M143" s="87" t="s">
        <v>200</v>
      </c>
      <c r="N143" s="87" t="s">
        <v>617</v>
      </c>
      <c r="O143" s="87" t="s">
        <v>377</v>
      </c>
      <c r="P143" s="87" t="s">
        <v>372</v>
      </c>
    </row>
    <row r="144" ht="15.75" customHeight="1">
      <c r="A144" s="87" t="s">
        <v>849</v>
      </c>
      <c r="B144" s="88">
        <v>1.22E18</v>
      </c>
      <c r="C144" s="87" t="s">
        <v>850</v>
      </c>
      <c r="D144" s="87" t="s">
        <v>87</v>
      </c>
      <c r="E144" s="87" t="s">
        <v>233</v>
      </c>
      <c r="F144" s="87" t="s">
        <v>850</v>
      </c>
      <c r="H144" s="87" t="s">
        <v>851</v>
      </c>
      <c r="I144" s="87" t="s">
        <v>340</v>
      </c>
      <c r="J144" s="87" t="s">
        <v>852</v>
      </c>
      <c r="K144" s="90">
        <v>0.0</v>
      </c>
      <c r="L144" s="92"/>
      <c r="M144" s="87" t="s">
        <v>200</v>
      </c>
      <c r="O144" s="87" t="s">
        <v>377</v>
      </c>
      <c r="P144" s="87" t="s">
        <v>372</v>
      </c>
    </row>
    <row r="145" ht="15.75" customHeight="1">
      <c r="A145" s="87" t="s">
        <v>853</v>
      </c>
      <c r="B145" s="88">
        <v>1.22E18</v>
      </c>
      <c r="C145" s="87" t="s">
        <v>854</v>
      </c>
      <c r="D145" s="87" t="s">
        <v>87</v>
      </c>
      <c r="E145" s="87" t="s">
        <v>233</v>
      </c>
      <c r="F145" s="87" t="s">
        <v>854</v>
      </c>
      <c r="H145" s="87" t="s">
        <v>855</v>
      </c>
      <c r="I145" s="87" t="s">
        <v>315</v>
      </c>
      <c r="J145" s="87" t="s">
        <v>449</v>
      </c>
      <c r="K145" s="90">
        <v>0.0</v>
      </c>
      <c r="L145" s="92"/>
      <c r="M145" s="87" t="s">
        <v>200</v>
      </c>
      <c r="O145" s="87" t="s">
        <v>377</v>
      </c>
      <c r="P145" s="87" t="s">
        <v>372</v>
      </c>
    </row>
    <row r="146" ht="15.75" customHeight="1">
      <c r="A146" s="87" t="s">
        <v>856</v>
      </c>
      <c r="B146" s="88">
        <v>1.22E18</v>
      </c>
      <c r="C146" s="87" t="s">
        <v>857</v>
      </c>
      <c r="D146" s="87" t="s">
        <v>87</v>
      </c>
      <c r="E146" s="87" t="s">
        <v>88</v>
      </c>
      <c r="F146" s="87" t="s">
        <v>857</v>
      </c>
      <c r="I146" s="87" t="s">
        <v>340</v>
      </c>
      <c r="J146" s="87" t="s">
        <v>858</v>
      </c>
      <c r="K146" s="90">
        <v>0.0</v>
      </c>
      <c r="L146" s="92"/>
      <c r="M146" s="87" t="s">
        <v>200</v>
      </c>
      <c r="O146" s="87" t="s">
        <v>377</v>
      </c>
      <c r="P146" s="87" t="s">
        <v>372</v>
      </c>
    </row>
    <row r="147" ht="15.75" customHeight="1">
      <c r="A147" s="87" t="s">
        <v>859</v>
      </c>
      <c r="B147" s="88">
        <v>1.22E18</v>
      </c>
      <c r="C147" s="87" t="s">
        <v>860</v>
      </c>
      <c r="D147" s="87" t="s">
        <v>87</v>
      </c>
      <c r="E147" s="87" t="s">
        <v>88</v>
      </c>
      <c r="F147" s="87" t="s">
        <v>861</v>
      </c>
      <c r="G147" s="93"/>
      <c r="H147" s="87" t="s">
        <v>862</v>
      </c>
      <c r="I147" s="87" t="s">
        <v>327</v>
      </c>
      <c r="J147" s="87" t="s">
        <v>863</v>
      </c>
      <c r="K147" s="90">
        <v>0.0</v>
      </c>
      <c r="L147" s="92"/>
      <c r="M147" s="87" t="s">
        <v>200</v>
      </c>
      <c r="O147" s="87" t="s">
        <v>377</v>
      </c>
      <c r="P147" s="87" t="s">
        <v>372</v>
      </c>
    </row>
    <row r="148" ht="15.75" customHeight="1">
      <c r="A148" s="87" t="s">
        <v>864</v>
      </c>
      <c r="B148" s="88">
        <v>1.22E18</v>
      </c>
      <c r="C148" s="87" t="s">
        <v>865</v>
      </c>
      <c r="D148" s="87" t="s">
        <v>87</v>
      </c>
      <c r="E148" s="87" t="s">
        <v>241</v>
      </c>
      <c r="F148" s="87" t="s">
        <v>865</v>
      </c>
      <c r="H148" s="87" t="s">
        <v>805</v>
      </c>
      <c r="I148" s="87" t="s">
        <v>495</v>
      </c>
      <c r="J148" s="87" t="s">
        <v>806</v>
      </c>
      <c r="K148" s="90">
        <v>0.0</v>
      </c>
      <c r="L148" s="92"/>
      <c r="M148" s="87" t="s">
        <v>200</v>
      </c>
      <c r="O148" s="87" t="s">
        <v>377</v>
      </c>
      <c r="P148" s="87" t="s">
        <v>372</v>
      </c>
    </row>
    <row r="149" ht="15.75" customHeight="1">
      <c r="A149" s="87" t="s">
        <v>866</v>
      </c>
      <c r="B149" s="88">
        <v>1.22E18</v>
      </c>
      <c r="C149" s="87" t="s">
        <v>867</v>
      </c>
      <c r="D149" s="87" t="s">
        <v>87</v>
      </c>
      <c r="E149" s="87" t="s">
        <v>228</v>
      </c>
      <c r="F149" s="87" t="s">
        <v>867</v>
      </c>
      <c r="H149" s="87" t="s">
        <v>868</v>
      </c>
      <c r="I149" s="87" t="s">
        <v>340</v>
      </c>
      <c r="J149" s="87" t="s">
        <v>869</v>
      </c>
      <c r="K149" s="90">
        <v>0.0</v>
      </c>
      <c r="L149" s="92"/>
      <c r="M149" s="87" t="s">
        <v>200</v>
      </c>
      <c r="O149" s="87" t="s">
        <v>377</v>
      </c>
      <c r="P149" s="87" t="s">
        <v>372</v>
      </c>
    </row>
    <row r="150" ht="15.75" customHeight="1">
      <c r="A150" s="87" t="s">
        <v>870</v>
      </c>
      <c r="B150" s="88">
        <v>1.22E18</v>
      </c>
      <c r="C150" s="87" t="s">
        <v>871</v>
      </c>
      <c r="D150" s="87" t="s">
        <v>87</v>
      </c>
      <c r="E150" s="87" t="s">
        <v>228</v>
      </c>
      <c r="F150" s="87" t="s">
        <v>871</v>
      </c>
      <c r="H150" s="87" t="s">
        <v>872</v>
      </c>
      <c r="I150" s="87" t="s">
        <v>495</v>
      </c>
      <c r="J150" s="87" t="s">
        <v>873</v>
      </c>
      <c r="K150" s="90">
        <v>0.0</v>
      </c>
      <c r="L150" s="92"/>
      <c r="M150" s="87" t="s">
        <v>200</v>
      </c>
      <c r="O150" s="87" t="s">
        <v>377</v>
      </c>
      <c r="P150" s="87" t="s">
        <v>372</v>
      </c>
    </row>
    <row r="151" ht="15.75" customHeight="1">
      <c r="A151" s="87" t="s">
        <v>874</v>
      </c>
      <c r="B151" s="88">
        <v>1.22E18</v>
      </c>
      <c r="C151" s="87" t="s">
        <v>875</v>
      </c>
      <c r="D151" s="87" t="s">
        <v>87</v>
      </c>
      <c r="E151" s="87" t="s">
        <v>228</v>
      </c>
      <c r="F151" s="87" t="s">
        <v>875</v>
      </c>
      <c r="H151" s="87" t="s">
        <v>876</v>
      </c>
      <c r="I151" s="87" t="s">
        <v>495</v>
      </c>
      <c r="J151" s="87" t="s">
        <v>877</v>
      </c>
      <c r="K151" s="90">
        <v>0.0</v>
      </c>
      <c r="L151" s="92"/>
      <c r="M151" s="87" t="s">
        <v>200</v>
      </c>
      <c r="O151" s="87" t="s">
        <v>377</v>
      </c>
      <c r="P151" s="87" t="s">
        <v>372</v>
      </c>
    </row>
    <row r="152" ht="15.75" customHeight="1">
      <c r="A152" s="87" t="s">
        <v>878</v>
      </c>
      <c r="B152" s="88">
        <v>1.22E18</v>
      </c>
      <c r="C152" s="87" t="s">
        <v>879</v>
      </c>
      <c r="D152" s="87" t="s">
        <v>87</v>
      </c>
      <c r="E152" s="87" t="s">
        <v>228</v>
      </c>
      <c r="F152" s="87" t="s">
        <v>879</v>
      </c>
      <c r="H152" s="87" t="s">
        <v>374</v>
      </c>
      <c r="I152" s="87" t="s">
        <v>340</v>
      </c>
      <c r="J152" s="87" t="s">
        <v>880</v>
      </c>
      <c r="K152" s="90">
        <v>1000.0</v>
      </c>
      <c r="L152" s="92"/>
      <c r="M152" s="87" t="s">
        <v>881</v>
      </c>
      <c r="N152" s="87" t="s">
        <v>617</v>
      </c>
      <c r="O152" s="87" t="s">
        <v>377</v>
      </c>
      <c r="P152" s="87" t="s">
        <v>372</v>
      </c>
    </row>
    <row r="153" ht="15.75" customHeight="1">
      <c r="A153" s="87" t="s">
        <v>882</v>
      </c>
      <c r="B153" s="88">
        <v>1.22E18</v>
      </c>
      <c r="C153" s="87" t="s">
        <v>883</v>
      </c>
      <c r="D153" s="87" t="s">
        <v>87</v>
      </c>
      <c r="E153" s="87" t="s">
        <v>228</v>
      </c>
      <c r="F153" s="87" t="s">
        <v>883</v>
      </c>
      <c r="H153" s="87" t="s">
        <v>597</v>
      </c>
      <c r="I153" s="87" t="s">
        <v>340</v>
      </c>
      <c r="J153" s="87" t="s">
        <v>449</v>
      </c>
      <c r="K153" s="90">
        <v>0.0</v>
      </c>
      <c r="L153" s="92"/>
      <c r="M153" s="87" t="s">
        <v>881</v>
      </c>
      <c r="O153" s="87" t="s">
        <v>377</v>
      </c>
      <c r="P153" s="87" t="s">
        <v>372</v>
      </c>
    </row>
    <row r="154" ht="15.75" customHeight="1">
      <c r="A154" s="87" t="s">
        <v>884</v>
      </c>
      <c r="B154" s="88">
        <v>1.22E18</v>
      </c>
      <c r="C154" s="87" t="s">
        <v>885</v>
      </c>
      <c r="D154" s="87" t="s">
        <v>87</v>
      </c>
      <c r="E154" s="87" t="s">
        <v>88</v>
      </c>
      <c r="F154" s="87" t="s">
        <v>885</v>
      </c>
      <c r="H154" s="87" t="s">
        <v>886</v>
      </c>
      <c r="I154" s="87" t="s">
        <v>340</v>
      </c>
      <c r="J154" s="87" t="s">
        <v>887</v>
      </c>
      <c r="K154" s="90">
        <v>0.0</v>
      </c>
      <c r="L154" s="92"/>
      <c r="M154" s="87" t="s">
        <v>881</v>
      </c>
      <c r="O154" s="87" t="s">
        <v>377</v>
      </c>
      <c r="P154" s="87" t="s">
        <v>372</v>
      </c>
    </row>
    <row r="155" ht="15.75" customHeight="1">
      <c r="A155" s="87" t="s">
        <v>888</v>
      </c>
      <c r="B155" s="88">
        <v>1.22E18</v>
      </c>
      <c r="C155" s="87" t="s">
        <v>889</v>
      </c>
      <c r="D155" s="87" t="s">
        <v>87</v>
      </c>
      <c r="E155" s="87" t="s">
        <v>88</v>
      </c>
      <c r="F155" s="118" t="s">
        <v>889</v>
      </c>
      <c r="G155" s="119"/>
      <c r="H155" s="87" t="s">
        <v>890</v>
      </c>
      <c r="I155" s="87" t="s">
        <v>103</v>
      </c>
      <c r="J155" s="87" t="s">
        <v>449</v>
      </c>
      <c r="K155" s="90">
        <v>0.0</v>
      </c>
      <c r="L155" s="92"/>
      <c r="M155" s="87" t="s">
        <v>881</v>
      </c>
      <c r="O155" s="87" t="s">
        <v>377</v>
      </c>
      <c r="P155" s="87" t="s">
        <v>372</v>
      </c>
    </row>
    <row r="156" ht="15.75" customHeight="1">
      <c r="A156" s="87" t="s">
        <v>891</v>
      </c>
      <c r="B156" s="88">
        <v>1.22E18</v>
      </c>
      <c r="C156" s="87" t="s">
        <v>892</v>
      </c>
      <c r="D156" s="87" t="s">
        <v>87</v>
      </c>
      <c r="E156" s="87" t="s">
        <v>102</v>
      </c>
      <c r="F156" s="118" t="s">
        <v>892</v>
      </c>
      <c r="G156" s="119"/>
      <c r="H156" s="87" t="s">
        <v>893</v>
      </c>
      <c r="I156" s="87" t="s">
        <v>103</v>
      </c>
      <c r="J156" s="87" t="s">
        <v>894</v>
      </c>
      <c r="K156" s="90">
        <v>0.0</v>
      </c>
      <c r="L156" s="92"/>
      <c r="M156" s="93"/>
      <c r="N156" s="87" t="s">
        <v>895</v>
      </c>
      <c r="O156" s="87" t="s">
        <v>377</v>
      </c>
      <c r="P156" s="87" t="s">
        <v>372</v>
      </c>
    </row>
    <row r="157" ht="15.75" customHeight="1">
      <c r="A157" s="87" t="s">
        <v>896</v>
      </c>
      <c r="B157" s="88">
        <v>1.22E18</v>
      </c>
      <c r="C157" s="87" t="s">
        <v>897</v>
      </c>
      <c r="D157" s="87" t="s">
        <v>87</v>
      </c>
      <c r="E157" s="87" t="s">
        <v>88</v>
      </c>
      <c r="F157" s="87" t="s">
        <v>373</v>
      </c>
      <c r="H157" s="87" t="s">
        <v>369</v>
      </c>
      <c r="I157" s="87" t="s">
        <v>327</v>
      </c>
      <c r="J157" s="87" t="s">
        <v>898</v>
      </c>
      <c r="K157" s="90">
        <v>5000.0</v>
      </c>
      <c r="L157" s="92"/>
      <c r="M157" s="87" t="s">
        <v>529</v>
      </c>
      <c r="N157" s="87" t="s">
        <v>390</v>
      </c>
      <c r="O157" s="87" t="s">
        <v>377</v>
      </c>
      <c r="P157" s="87" t="s">
        <v>372</v>
      </c>
    </row>
    <row r="158" ht="15.75" customHeight="1">
      <c r="A158" s="87" t="s">
        <v>899</v>
      </c>
      <c r="B158" s="88">
        <v>1.22E18</v>
      </c>
      <c r="C158" s="87" t="s">
        <v>900</v>
      </c>
      <c r="D158" s="87" t="s">
        <v>87</v>
      </c>
      <c r="E158" s="87" t="s">
        <v>88</v>
      </c>
      <c r="F158" s="87" t="s">
        <v>900</v>
      </c>
      <c r="H158" s="87" t="s">
        <v>369</v>
      </c>
      <c r="I158" s="87" t="s">
        <v>327</v>
      </c>
      <c r="J158" s="87" t="s">
        <v>901</v>
      </c>
      <c r="K158" s="90">
        <v>0.0</v>
      </c>
      <c r="L158" s="92"/>
      <c r="M158" s="87" t="s">
        <v>529</v>
      </c>
      <c r="N158" s="87" t="s">
        <v>390</v>
      </c>
      <c r="O158" s="87" t="s">
        <v>377</v>
      </c>
      <c r="P158" s="87" t="s">
        <v>372</v>
      </c>
    </row>
    <row r="159" ht="15.75" customHeight="1">
      <c r="A159" s="87" t="s">
        <v>902</v>
      </c>
      <c r="B159" s="88">
        <v>1.22E18</v>
      </c>
      <c r="C159" s="87" t="s">
        <v>903</v>
      </c>
      <c r="D159" s="87" t="s">
        <v>87</v>
      </c>
      <c r="E159" s="87" t="s">
        <v>88</v>
      </c>
      <c r="F159" s="87" t="s">
        <v>903</v>
      </c>
      <c r="H159" s="87" t="s">
        <v>369</v>
      </c>
      <c r="I159" s="87" t="s">
        <v>103</v>
      </c>
      <c r="J159" s="87" t="s">
        <v>904</v>
      </c>
      <c r="K159" s="90">
        <v>0.0</v>
      </c>
      <c r="L159" s="92"/>
      <c r="M159" s="87" t="s">
        <v>529</v>
      </c>
      <c r="N159" s="87" t="s">
        <v>390</v>
      </c>
      <c r="O159" s="87" t="s">
        <v>377</v>
      </c>
      <c r="P159" s="87" t="s">
        <v>372</v>
      </c>
    </row>
    <row r="160" ht="15.75" customHeight="1">
      <c r="A160" s="87" t="s">
        <v>905</v>
      </c>
      <c r="B160" s="88">
        <v>1.22E18</v>
      </c>
      <c r="C160" s="87" t="s">
        <v>906</v>
      </c>
      <c r="D160" s="87" t="s">
        <v>87</v>
      </c>
      <c r="E160" s="87" t="s">
        <v>228</v>
      </c>
      <c r="F160" s="87" t="s">
        <v>906</v>
      </c>
      <c r="H160" s="87" t="s">
        <v>907</v>
      </c>
      <c r="I160" s="87" t="s">
        <v>315</v>
      </c>
      <c r="J160" s="87" t="s">
        <v>449</v>
      </c>
      <c r="K160" s="90">
        <v>0.0</v>
      </c>
      <c r="L160" s="92"/>
      <c r="M160" s="87" t="s">
        <v>529</v>
      </c>
      <c r="O160" s="87" t="s">
        <v>377</v>
      </c>
      <c r="P160" s="87" t="s">
        <v>372</v>
      </c>
    </row>
    <row r="161" ht="15.75" customHeight="1">
      <c r="A161" s="87" t="s">
        <v>908</v>
      </c>
      <c r="B161" s="88">
        <v>1.22E18</v>
      </c>
      <c r="C161" s="87" t="s">
        <v>909</v>
      </c>
      <c r="D161" s="87" t="s">
        <v>87</v>
      </c>
      <c r="E161" s="87" t="s">
        <v>228</v>
      </c>
      <c r="F161" s="87" t="s">
        <v>909</v>
      </c>
      <c r="H161" s="87" t="s">
        <v>910</v>
      </c>
      <c r="I161" s="87" t="s">
        <v>103</v>
      </c>
      <c r="J161" s="87" t="s">
        <v>911</v>
      </c>
      <c r="K161" s="90">
        <v>0.0</v>
      </c>
      <c r="L161" s="92"/>
      <c r="M161" s="87" t="s">
        <v>529</v>
      </c>
      <c r="O161" s="87" t="s">
        <v>377</v>
      </c>
      <c r="P161" s="87" t="s">
        <v>372</v>
      </c>
    </row>
    <row r="162" ht="15.75" customHeight="1">
      <c r="A162" s="87" t="s">
        <v>912</v>
      </c>
      <c r="B162" s="88">
        <v>1.22E18</v>
      </c>
      <c r="C162" s="87" t="s">
        <v>913</v>
      </c>
      <c r="D162" s="87" t="s">
        <v>87</v>
      </c>
      <c r="E162" s="87" t="s">
        <v>88</v>
      </c>
      <c r="F162" s="118" t="s">
        <v>913</v>
      </c>
      <c r="G162" s="119"/>
      <c r="H162" s="87" t="s">
        <v>570</v>
      </c>
      <c r="I162" s="87" t="s">
        <v>327</v>
      </c>
      <c r="J162" s="87" t="s">
        <v>914</v>
      </c>
      <c r="K162" s="90">
        <v>0.0</v>
      </c>
      <c r="L162" s="92"/>
      <c r="M162" s="87" t="s">
        <v>529</v>
      </c>
      <c r="O162" s="87" t="s">
        <v>377</v>
      </c>
      <c r="P162" s="87" t="s">
        <v>372</v>
      </c>
    </row>
    <row r="163" ht="15.75" customHeight="1">
      <c r="A163" s="87" t="s">
        <v>915</v>
      </c>
      <c r="B163" s="88">
        <v>1.22E18</v>
      </c>
      <c r="C163" s="87" t="s">
        <v>916</v>
      </c>
      <c r="D163" s="87" t="s">
        <v>87</v>
      </c>
      <c r="E163" s="87" t="s">
        <v>88</v>
      </c>
      <c r="F163" s="118" t="s">
        <v>916</v>
      </c>
      <c r="G163" s="119"/>
      <c r="H163" s="87" t="s">
        <v>570</v>
      </c>
      <c r="I163" s="87" t="s">
        <v>340</v>
      </c>
      <c r="J163" s="87" t="s">
        <v>917</v>
      </c>
      <c r="K163" s="90">
        <v>0.0</v>
      </c>
      <c r="L163" s="92"/>
      <c r="M163" s="87" t="s">
        <v>529</v>
      </c>
      <c r="O163" s="87" t="s">
        <v>377</v>
      </c>
      <c r="P163" s="87" t="s">
        <v>372</v>
      </c>
    </row>
    <row r="164" ht="15.75" customHeight="1">
      <c r="A164" s="87" t="s">
        <v>918</v>
      </c>
      <c r="B164" s="88">
        <v>1.22E18</v>
      </c>
      <c r="C164" s="87" t="s">
        <v>919</v>
      </c>
      <c r="D164" s="87" t="s">
        <v>87</v>
      </c>
      <c r="E164" s="87" t="s">
        <v>228</v>
      </c>
      <c r="F164" s="87" t="s">
        <v>919</v>
      </c>
      <c r="H164" s="87" t="s">
        <v>570</v>
      </c>
      <c r="I164" s="87" t="s">
        <v>340</v>
      </c>
      <c r="J164" s="87" t="s">
        <v>920</v>
      </c>
      <c r="K164" s="90">
        <v>0.0</v>
      </c>
      <c r="L164" s="92"/>
      <c r="M164" s="87" t="s">
        <v>529</v>
      </c>
      <c r="O164" s="87" t="s">
        <v>377</v>
      </c>
      <c r="P164" s="87" t="s">
        <v>372</v>
      </c>
    </row>
    <row r="165" ht="15.75" customHeight="1">
      <c r="A165" s="87" t="s">
        <v>921</v>
      </c>
      <c r="B165" s="88">
        <v>1.22E18</v>
      </c>
      <c r="C165" s="87" t="s">
        <v>922</v>
      </c>
      <c r="D165" s="87" t="s">
        <v>87</v>
      </c>
      <c r="E165" s="87" t="s">
        <v>233</v>
      </c>
      <c r="F165" s="87" t="s">
        <v>922</v>
      </c>
      <c r="H165" s="87" t="s">
        <v>923</v>
      </c>
      <c r="I165" s="87" t="s">
        <v>340</v>
      </c>
      <c r="J165" s="87" t="s">
        <v>924</v>
      </c>
      <c r="K165" s="90">
        <v>0.0</v>
      </c>
      <c r="L165" s="92"/>
      <c r="M165" s="87" t="s">
        <v>529</v>
      </c>
      <c r="N165" s="87" t="s">
        <v>925</v>
      </c>
      <c r="O165" s="87" t="s">
        <v>377</v>
      </c>
      <c r="P165" s="87" t="s">
        <v>372</v>
      </c>
    </row>
    <row r="166" ht="15.75" customHeight="1">
      <c r="A166" s="87" t="s">
        <v>926</v>
      </c>
      <c r="B166" s="88">
        <v>1.22E18</v>
      </c>
      <c r="C166" s="87" t="s">
        <v>927</v>
      </c>
      <c r="D166" s="87" t="s">
        <v>87</v>
      </c>
      <c r="E166" s="87" t="s">
        <v>88</v>
      </c>
      <c r="F166" s="87" t="s">
        <v>927</v>
      </c>
      <c r="H166" s="87" t="s">
        <v>369</v>
      </c>
      <c r="I166" s="87" t="s">
        <v>103</v>
      </c>
      <c r="J166" s="87" t="s">
        <v>928</v>
      </c>
      <c r="K166" s="90">
        <v>0.0</v>
      </c>
      <c r="L166" s="92"/>
      <c r="M166" s="87" t="s">
        <v>529</v>
      </c>
      <c r="N166" s="87" t="s">
        <v>390</v>
      </c>
      <c r="O166" s="87" t="s">
        <v>377</v>
      </c>
      <c r="P166" s="87" t="s">
        <v>372</v>
      </c>
    </row>
    <row r="167" ht="15.75" customHeight="1">
      <c r="A167" s="87" t="s">
        <v>929</v>
      </c>
      <c r="B167" s="88">
        <v>1.22E18</v>
      </c>
      <c r="C167" s="87" t="s">
        <v>930</v>
      </c>
      <c r="D167" s="87" t="s">
        <v>87</v>
      </c>
      <c r="E167" s="87" t="s">
        <v>88</v>
      </c>
      <c r="F167" s="87" t="s">
        <v>930</v>
      </c>
      <c r="H167" s="87" t="s">
        <v>369</v>
      </c>
      <c r="I167" s="87" t="s">
        <v>340</v>
      </c>
      <c r="J167" s="87" t="s">
        <v>931</v>
      </c>
      <c r="K167" s="90">
        <v>0.0</v>
      </c>
      <c r="L167" s="92"/>
      <c r="M167" s="87" t="s">
        <v>529</v>
      </c>
      <c r="N167" s="87" t="s">
        <v>390</v>
      </c>
      <c r="O167" s="87" t="s">
        <v>377</v>
      </c>
      <c r="P167" s="87" t="s">
        <v>372</v>
      </c>
    </row>
    <row r="168" ht="15.75" customHeight="1">
      <c r="A168" s="87" t="s">
        <v>932</v>
      </c>
      <c r="B168" s="88">
        <v>1.22E18</v>
      </c>
      <c r="C168" s="87" t="s">
        <v>933</v>
      </c>
      <c r="D168" s="87" t="s">
        <v>87</v>
      </c>
      <c r="E168" s="87" t="s">
        <v>88</v>
      </c>
      <c r="F168" s="87" t="s">
        <v>933</v>
      </c>
      <c r="H168" s="87" t="s">
        <v>369</v>
      </c>
      <c r="I168" s="87" t="s">
        <v>340</v>
      </c>
      <c r="J168" s="87" t="s">
        <v>934</v>
      </c>
      <c r="K168" s="90">
        <v>0.0</v>
      </c>
      <c r="L168" s="92"/>
      <c r="M168" s="87" t="s">
        <v>529</v>
      </c>
      <c r="N168" s="87" t="s">
        <v>390</v>
      </c>
      <c r="O168" s="87" t="s">
        <v>377</v>
      </c>
      <c r="P168" s="87" t="s">
        <v>372</v>
      </c>
    </row>
    <row r="169" ht="15.75" customHeight="1">
      <c r="A169" s="87" t="s">
        <v>935</v>
      </c>
      <c r="B169" s="88">
        <v>1.22E18</v>
      </c>
      <c r="C169" s="87" t="s">
        <v>936</v>
      </c>
      <c r="D169" s="87" t="s">
        <v>87</v>
      </c>
      <c r="E169" s="87" t="s">
        <v>228</v>
      </c>
      <c r="F169" s="118" t="s">
        <v>936</v>
      </c>
      <c r="G169" s="119"/>
      <c r="H169" s="87" t="s">
        <v>937</v>
      </c>
      <c r="I169" s="87" t="s">
        <v>315</v>
      </c>
      <c r="J169" s="87" t="s">
        <v>938</v>
      </c>
      <c r="K169" s="90">
        <v>0.0</v>
      </c>
      <c r="L169" s="92"/>
      <c r="M169" s="87" t="s">
        <v>529</v>
      </c>
      <c r="O169" s="87" t="s">
        <v>377</v>
      </c>
      <c r="P169" s="87" t="s">
        <v>372</v>
      </c>
    </row>
    <row r="170" ht="15.75" customHeight="1">
      <c r="A170" s="87" t="s">
        <v>939</v>
      </c>
      <c r="B170" s="88">
        <v>1.22E18</v>
      </c>
      <c r="C170" s="87" t="s">
        <v>940</v>
      </c>
      <c r="D170" s="87" t="s">
        <v>87</v>
      </c>
      <c r="E170" s="87" t="s">
        <v>88</v>
      </c>
      <c r="F170" s="118" t="s">
        <v>940</v>
      </c>
      <c r="G170" s="119"/>
      <c r="H170" s="87" t="s">
        <v>369</v>
      </c>
      <c r="I170" s="87" t="s">
        <v>327</v>
      </c>
      <c r="J170" s="87" t="s">
        <v>941</v>
      </c>
      <c r="K170" s="90">
        <v>0.0</v>
      </c>
      <c r="L170" s="92"/>
      <c r="M170" s="87" t="s">
        <v>529</v>
      </c>
      <c r="O170" s="87" t="s">
        <v>377</v>
      </c>
      <c r="P170" s="87" t="s">
        <v>372</v>
      </c>
    </row>
    <row r="171" ht="15.75" customHeight="1">
      <c r="A171" s="87" t="s">
        <v>942</v>
      </c>
      <c r="B171" s="88">
        <v>1.22E18</v>
      </c>
      <c r="C171" s="87" t="s">
        <v>943</v>
      </c>
      <c r="D171" s="87" t="s">
        <v>87</v>
      </c>
      <c r="E171" s="87" t="s">
        <v>88</v>
      </c>
      <c r="F171" s="87" t="s">
        <v>943</v>
      </c>
      <c r="H171" s="87" t="s">
        <v>369</v>
      </c>
      <c r="I171" s="87" t="s">
        <v>327</v>
      </c>
      <c r="J171" s="87" t="s">
        <v>944</v>
      </c>
      <c r="K171" s="90">
        <v>5000.0</v>
      </c>
      <c r="L171" s="92"/>
      <c r="M171" s="87" t="s">
        <v>529</v>
      </c>
      <c r="N171" s="87" t="s">
        <v>390</v>
      </c>
      <c r="O171" s="87" t="s">
        <v>377</v>
      </c>
      <c r="P171" s="87" t="s">
        <v>372</v>
      </c>
    </row>
    <row r="172" ht="15.75" customHeight="1">
      <c r="A172" s="87" t="s">
        <v>945</v>
      </c>
      <c r="B172" s="88">
        <v>1.22E18</v>
      </c>
      <c r="C172" s="87" t="s">
        <v>946</v>
      </c>
      <c r="D172" s="87" t="s">
        <v>87</v>
      </c>
      <c r="E172" s="87" t="s">
        <v>233</v>
      </c>
      <c r="F172" s="87" t="s">
        <v>946</v>
      </c>
      <c r="H172" s="87" t="s">
        <v>923</v>
      </c>
      <c r="I172" s="87" t="s">
        <v>340</v>
      </c>
      <c r="J172" s="87" t="s">
        <v>947</v>
      </c>
      <c r="K172" s="90">
        <v>0.0</v>
      </c>
      <c r="L172" s="92"/>
      <c r="M172" s="87" t="s">
        <v>529</v>
      </c>
      <c r="N172" s="87" t="s">
        <v>925</v>
      </c>
      <c r="O172" s="87" t="s">
        <v>377</v>
      </c>
      <c r="P172" s="87" t="s">
        <v>372</v>
      </c>
    </row>
    <row r="173" ht="15.75" customHeight="1">
      <c r="A173" s="87" t="s">
        <v>948</v>
      </c>
      <c r="B173" s="88">
        <v>1.22E18</v>
      </c>
      <c r="C173" s="87" t="s">
        <v>949</v>
      </c>
      <c r="D173" s="87" t="s">
        <v>87</v>
      </c>
      <c r="E173" s="87" t="s">
        <v>88</v>
      </c>
      <c r="F173" s="87" t="s">
        <v>949</v>
      </c>
      <c r="H173" s="87" t="s">
        <v>570</v>
      </c>
      <c r="I173" s="87" t="s">
        <v>103</v>
      </c>
      <c r="J173" s="87" t="s">
        <v>950</v>
      </c>
      <c r="K173" s="90">
        <v>0.0</v>
      </c>
      <c r="L173" s="92"/>
      <c r="M173" s="87" t="s">
        <v>529</v>
      </c>
      <c r="O173" s="87" t="s">
        <v>377</v>
      </c>
      <c r="P173" s="87" t="s">
        <v>372</v>
      </c>
    </row>
    <row r="174" ht="15.75" customHeight="1">
      <c r="A174" s="87" t="s">
        <v>951</v>
      </c>
      <c r="B174" s="88">
        <v>1.22E18</v>
      </c>
      <c r="C174" s="87" t="s">
        <v>952</v>
      </c>
      <c r="D174" s="87" t="s">
        <v>87</v>
      </c>
      <c r="E174" s="87" t="s">
        <v>228</v>
      </c>
      <c r="F174" s="87" t="s">
        <v>952</v>
      </c>
      <c r="H174" s="87" t="s">
        <v>369</v>
      </c>
      <c r="I174" s="87" t="s">
        <v>340</v>
      </c>
      <c r="J174" s="87" t="s">
        <v>953</v>
      </c>
      <c r="K174" s="90">
        <v>0.0</v>
      </c>
      <c r="L174" s="92"/>
      <c r="M174" s="87" t="s">
        <v>529</v>
      </c>
      <c r="N174" s="87" t="s">
        <v>390</v>
      </c>
      <c r="O174" s="87" t="s">
        <v>377</v>
      </c>
      <c r="P174" s="87" t="s">
        <v>372</v>
      </c>
    </row>
    <row r="175" ht="15.75" customHeight="1">
      <c r="A175" s="87" t="s">
        <v>954</v>
      </c>
      <c r="B175" s="88">
        <v>1.22E18</v>
      </c>
      <c r="C175" s="87" t="s">
        <v>955</v>
      </c>
      <c r="D175" s="87" t="s">
        <v>87</v>
      </c>
      <c r="E175" s="87" t="s">
        <v>88</v>
      </c>
      <c r="F175" s="87" t="s">
        <v>955</v>
      </c>
      <c r="H175" s="87" t="s">
        <v>369</v>
      </c>
      <c r="I175" s="87" t="s">
        <v>327</v>
      </c>
      <c r="J175" s="87" t="s">
        <v>956</v>
      </c>
      <c r="K175" s="90">
        <v>0.0</v>
      </c>
      <c r="L175" s="92"/>
      <c r="M175" s="87" t="s">
        <v>529</v>
      </c>
      <c r="N175" s="87" t="s">
        <v>390</v>
      </c>
      <c r="O175" s="87" t="s">
        <v>377</v>
      </c>
      <c r="P175" s="87" t="s">
        <v>372</v>
      </c>
    </row>
    <row r="176" ht="15.75" customHeight="1">
      <c r="A176" s="87" t="s">
        <v>957</v>
      </c>
      <c r="B176" s="88">
        <v>1.22E18</v>
      </c>
      <c r="C176" s="87" t="s">
        <v>958</v>
      </c>
      <c r="D176" s="87" t="s">
        <v>87</v>
      </c>
      <c r="E176" s="87" t="s">
        <v>233</v>
      </c>
      <c r="F176" s="87" t="s">
        <v>958</v>
      </c>
      <c r="H176" s="87" t="s">
        <v>369</v>
      </c>
      <c r="I176" s="87" t="s">
        <v>340</v>
      </c>
      <c r="J176" s="87" t="s">
        <v>959</v>
      </c>
      <c r="K176" s="90">
        <v>0.0</v>
      </c>
      <c r="L176" s="92"/>
      <c r="M176" s="87" t="s">
        <v>529</v>
      </c>
      <c r="N176" s="87" t="s">
        <v>390</v>
      </c>
      <c r="O176" s="87" t="s">
        <v>377</v>
      </c>
      <c r="P176" s="87" t="s">
        <v>372</v>
      </c>
    </row>
    <row r="177" ht="15.75" customHeight="1">
      <c r="A177" s="87" t="s">
        <v>960</v>
      </c>
      <c r="B177" s="88">
        <v>1.22E18</v>
      </c>
      <c r="C177" s="87" t="s">
        <v>961</v>
      </c>
      <c r="D177" s="87" t="s">
        <v>87</v>
      </c>
      <c r="E177" s="87" t="s">
        <v>88</v>
      </c>
      <c r="F177" s="87" t="s">
        <v>373</v>
      </c>
      <c r="H177" s="87" t="s">
        <v>923</v>
      </c>
      <c r="I177" s="87" t="s">
        <v>340</v>
      </c>
      <c r="J177" s="87" t="s">
        <v>962</v>
      </c>
      <c r="K177" s="90">
        <v>700000.0</v>
      </c>
      <c r="L177" s="92"/>
      <c r="M177" s="87" t="s">
        <v>529</v>
      </c>
      <c r="N177" s="87" t="s">
        <v>925</v>
      </c>
      <c r="O177" s="87" t="s">
        <v>377</v>
      </c>
      <c r="P177" s="87" t="s">
        <v>372</v>
      </c>
    </row>
    <row r="178" ht="15.75" customHeight="1">
      <c r="A178" s="87" t="s">
        <v>963</v>
      </c>
      <c r="B178" s="88">
        <v>1.22E18</v>
      </c>
      <c r="C178" s="87" t="s">
        <v>964</v>
      </c>
      <c r="D178" s="87" t="s">
        <v>87</v>
      </c>
      <c r="E178" s="87" t="s">
        <v>88</v>
      </c>
      <c r="F178" s="87" t="s">
        <v>964</v>
      </c>
      <c r="H178" s="87" t="s">
        <v>369</v>
      </c>
      <c r="I178" s="87" t="s">
        <v>327</v>
      </c>
      <c r="J178" s="87" t="s">
        <v>965</v>
      </c>
      <c r="K178" s="90">
        <v>0.0</v>
      </c>
      <c r="L178" s="92"/>
      <c r="M178" s="87" t="s">
        <v>529</v>
      </c>
      <c r="N178" s="87" t="s">
        <v>390</v>
      </c>
      <c r="O178" s="87" t="s">
        <v>377</v>
      </c>
      <c r="P178" s="87" t="s">
        <v>372</v>
      </c>
    </row>
    <row r="179" ht="15.75" customHeight="1">
      <c r="A179" s="87" t="s">
        <v>966</v>
      </c>
      <c r="B179" s="88">
        <v>1.22E18</v>
      </c>
      <c r="C179" s="87" t="s">
        <v>967</v>
      </c>
      <c r="D179" s="87" t="s">
        <v>87</v>
      </c>
      <c r="E179" s="87" t="s">
        <v>88</v>
      </c>
      <c r="F179" s="87" t="s">
        <v>967</v>
      </c>
      <c r="H179" s="87" t="s">
        <v>369</v>
      </c>
      <c r="I179" s="87" t="s">
        <v>340</v>
      </c>
      <c r="J179" s="87" t="s">
        <v>968</v>
      </c>
      <c r="K179" s="90">
        <v>0.0</v>
      </c>
      <c r="L179" s="92"/>
      <c r="M179" s="87" t="s">
        <v>529</v>
      </c>
      <c r="N179" s="87" t="s">
        <v>390</v>
      </c>
      <c r="O179" s="87" t="s">
        <v>377</v>
      </c>
      <c r="P179" s="87" t="s">
        <v>372</v>
      </c>
    </row>
    <row r="180" ht="15.75" customHeight="1">
      <c r="A180" s="87" t="s">
        <v>969</v>
      </c>
      <c r="B180" s="88">
        <v>1.22E18</v>
      </c>
      <c r="C180" s="87" t="s">
        <v>970</v>
      </c>
      <c r="D180" s="87" t="s">
        <v>87</v>
      </c>
      <c r="E180" s="87" t="s">
        <v>88</v>
      </c>
      <c r="F180" s="87" t="s">
        <v>970</v>
      </c>
      <c r="H180" s="87" t="s">
        <v>369</v>
      </c>
      <c r="I180" s="87" t="s">
        <v>103</v>
      </c>
      <c r="J180" s="87" t="s">
        <v>971</v>
      </c>
      <c r="K180" s="90">
        <v>0.0</v>
      </c>
      <c r="L180" s="92"/>
      <c r="M180" s="87" t="s">
        <v>529</v>
      </c>
      <c r="N180" s="87" t="s">
        <v>390</v>
      </c>
      <c r="O180" s="87" t="s">
        <v>377</v>
      </c>
      <c r="P180" s="87" t="s">
        <v>372</v>
      </c>
    </row>
    <row r="181" ht="15.75" customHeight="1">
      <c r="A181" s="87" t="s">
        <v>972</v>
      </c>
      <c r="B181" s="88">
        <v>1.22E18</v>
      </c>
      <c r="C181" s="87" t="s">
        <v>973</v>
      </c>
      <c r="D181" s="87" t="s">
        <v>87</v>
      </c>
      <c r="E181" s="87" t="s">
        <v>228</v>
      </c>
      <c r="F181" s="87" t="s">
        <v>973</v>
      </c>
      <c r="H181" s="87" t="s">
        <v>408</v>
      </c>
      <c r="I181" s="87" t="s">
        <v>340</v>
      </c>
      <c r="J181" s="87" t="s">
        <v>974</v>
      </c>
      <c r="K181" s="90">
        <v>0.0</v>
      </c>
      <c r="L181" s="92"/>
      <c r="M181" s="87" t="s">
        <v>529</v>
      </c>
      <c r="N181" s="87" t="s">
        <v>408</v>
      </c>
      <c r="O181" s="87" t="s">
        <v>377</v>
      </c>
      <c r="P181" s="87" t="s">
        <v>372</v>
      </c>
    </row>
    <row r="182" ht="15.75" customHeight="1">
      <c r="A182" s="87" t="s">
        <v>975</v>
      </c>
      <c r="B182" s="88">
        <v>1.22E18</v>
      </c>
      <c r="C182" s="87" t="s">
        <v>976</v>
      </c>
      <c r="D182" s="87" t="s">
        <v>87</v>
      </c>
      <c r="E182" s="87" t="s">
        <v>88</v>
      </c>
      <c r="F182" s="87" t="s">
        <v>976</v>
      </c>
      <c r="H182" s="87" t="s">
        <v>369</v>
      </c>
      <c r="I182" s="87" t="s">
        <v>340</v>
      </c>
      <c r="J182" s="87" t="s">
        <v>977</v>
      </c>
      <c r="K182" s="90">
        <v>0.0</v>
      </c>
      <c r="L182" s="92"/>
      <c r="M182" s="87" t="s">
        <v>529</v>
      </c>
      <c r="N182" s="87" t="s">
        <v>390</v>
      </c>
      <c r="O182" s="87" t="s">
        <v>377</v>
      </c>
      <c r="P182" s="87" t="s">
        <v>372</v>
      </c>
    </row>
    <row r="183" ht="15.75" customHeight="1">
      <c r="A183" s="87" t="s">
        <v>978</v>
      </c>
      <c r="B183" s="88">
        <v>1.22E18</v>
      </c>
      <c r="C183" s="87" t="s">
        <v>979</v>
      </c>
      <c r="D183" s="87" t="s">
        <v>87</v>
      </c>
      <c r="E183" s="87" t="s">
        <v>228</v>
      </c>
      <c r="F183" s="87" t="s">
        <v>979</v>
      </c>
      <c r="H183" s="87" t="s">
        <v>980</v>
      </c>
      <c r="I183" s="87" t="s">
        <v>340</v>
      </c>
      <c r="J183" s="87" t="s">
        <v>981</v>
      </c>
      <c r="K183" s="90">
        <v>0.0</v>
      </c>
      <c r="L183" s="92"/>
      <c r="M183" s="87" t="s">
        <v>529</v>
      </c>
      <c r="O183" s="87" t="s">
        <v>377</v>
      </c>
      <c r="P183" s="87" t="s">
        <v>372</v>
      </c>
    </row>
    <row r="184" ht="15.75" customHeight="1">
      <c r="A184" s="87" t="s">
        <v>982</v>
      </c>
      <c r="B184" s="88">
        <v>1.22E18</v>
      </c>
      <c r="C184" s="87" t="s">
        <v>983</v>
      </c>
      <c r="D184" s="87" t="s">
        <v>87</v>
      </c>
      <c r="E184" s="87" t="s">
        <v>88</v>
      </c>
      <c r="F184" s="118" t="s">
        <v>983</v>
      </c>
      <c r="G184" s="119"/>
      <c r="H184" s="87" t="s">
        <v>369</v>
      </c>
      <c r="I184" s="87" t="s">
        <v>327</v>
      </c>
      <c r="J184" s="87" t="s">
        <v>984</v>
      </c>
      <c r="K184" s="90">
        <v>0.0</v>
      </c>
      <c r="L184" s="92"/>
      <c r="M184" s="87" t="s">
        <v>529</v>
      </c>
      <c r="N184" s="87" t="s">
        <v>390</v>
      </c>
      <c r="O184" s="87" t="s">
        <v>377</v>
      </c>
      <c r="P184" s="87" t="s">
        <v>372</v>
      </c>
    </row>
    <row r="185" ht="15.75" customHeight="1">
      <c r="A185" s="87" t="s">
        <v>985</v>
      </c>
      <c r="B185" s="88">
        <v>1.22E18</v>
      </c>
      <c r="C185" s="87" t="s">
        <v>986</v>
      </c>
      <c r="D185" s="87" t="s">
        <v>87</v>
      </c>
      <c r="E185" s="87" t="s">
        <v>228</v>
      </c>
      <c r="F185" s="118" t="s">
        <v>986</v>
      </c>
      <c r="G185" s="119"/>
      <c r="H185" s="87" t="s">
        <v>369</v>
      </c>
      <c r="I185" s="87" t="s">
        <v>340</v>
      </c>
      <c r="J185" s="87" t="s">
        <v>987</v>
      </c>
      <c r="K185" s="90">
        <v>0.0</v>
      </c>
      <c r="L185" s="92"/>
      <c r="M185" s="87" t="s">
        <v>529</v>
      </c>
      <c r="N185" s="87" t="s">
        <v>390</v>
      </c>
      <c r="O185" s="87" t="s">
        <v>377</v>
      </c>
      <c r="P185" s="87" t="s">
        <v>372</v>
      </c>
    </row>
    <row r="186" ht="15.75" customHeight="1">
      <c r="A186" s="87" t="s">
        <v>988</v>
      </c>
      <c r="B186" s="88">
        <v>1.22E18</v>
      </c>
      <c r="C186" s="87" t="s">
        <v>989</v>
      </c>
      <c r="D186" s="87" t="s">
        <v>87</v>
      </c>
      <c r="E186" s="87" t="s">
        <v>88</v>
      </c>
      <c r="F186" s="87" t="s">
        <v>989</v>
      </c>
      <c r="H186" s="87" t="s">
        <v>369</v>
      </c>
      <c r="I186" s="87" t="s">
        <v>315</v>
      </c>
      <c r="J186" s="87" t="s">
        <v>449</v>
      </c>
      <c r="K186" s="90">
        <v>0.0</v>
      </c>
      <c r="L186" s="92"/>
      <c r="M186" s="87" t="s">
        <v>529</v>
      </c>
      <c r="O186" s="87" t="s">
        <v>377</v>
      </c>
      <c r="P186" s="87" t="s">
        <v>372</v>
      </c>
    </row>
    <row r="187" ht="15.75" customHeight="1">
      <c r="A187" s="87" t="s">
        <v>990</v>
      </c>
      <c r="B187" s="88">
        <v>1.22E18</v>
      </c>
      <c r="C187" s="87" t="s">
        <v>991</v>
      </c>
      <c r="D187" s="87" t="s">
        <v>87</v>
      </c>
      <c r="E187" s="87" t="s">
        <v>228</v>
      </c>
      <c r="F187" s="87" t="s">
        <v>991</v>
      </c>
      <c r="H187" s="87" t="s">
        <v>408</v>
      </c>
      <c r="I187" s="87" t="s">
        <v>340</v>
      </c>
      <c r="J187" s="87" t="s">
        <v>992</v>
      </c>
      <c r="K187" s="90">
        <v>0.0</v>
      </c>
      <c r="L187" s="92"/>
      <c r="M187" s="87" t="s">
        <v>529</v>
      </c>
      <c r="N187" s="87" t="s">
        <v>408</v>
      </c>
      <c r="O187" s="87" t="s">
        <v>377</v>
      </c>
      <c r="P187" s="87" t="s">
        <v>372</v>
      </c>
    </row>
    <row r="188" ht="15.75" customHeight="1">
      <c r="A188" s="87" t="s">
        <v>993</v>
      </c>
      <c r="B188" s="88">
        <v>1.22E18</v>
      </c>
      <c r="C188" s="87" t="s">
        <v>994</v>
      </c>
      <c r="D188" s="87" t="s">
        <v>87</v>
      </c>
      <c r="E188" s="87" t="s">
        <v>88</v>
      </c>
      <c r="F188" s="87" t="s">
        <v>994</v>
      </c>
      <c r="H188" s="87" t="s">
        <v>487</v>
      </c>
      <c r="I188" s="87" t="s">
        <v>340</v>
      </c>
      <c r="J188" s="87" t="s">
        <v>995</v>
      </c>
      <c r="K188" s="90">
        <v>0.0</v>
      </c>
      <c r="L188" s="92"/>
      <c r="M188" s="87" t="s">
        <v>529</v>
      </c>
      <c r="N188" s="87" t="s">
        <v>489</v>
      </c>
      <c r="O188" s="87" t="s">
        <v>377</v>
      </c>
      <c r="P188" s="87" t="s">
        <v>372</v>
      </c>
    </row>
    <row r="189" ht="15.75" customHeight="1">
      <c r="A189" s="87" t="s">
        <v>996</v>
      </c>
      <c r="B189" s="88">
        <v>1.22E18</v>
      </c>
      <c r="C189" s="87" t="s">
        <v>997</v>
      </c>
      <c r="D189" s="87" t="s">
        <v>87</v>
      </c>
      <c r="E189" s="87" t="s">
        <v>88</v>
      </c>
      <c r="F189" s="87" t="s">
        <v>997</v>
      </c>
      <c r="H189" s="87" t="s">
        <v>369</v>
      </c>
      <c r="I189" s="87" t="s">
        <v>315</v>
      </c>
      <c r="J189" s="87" t="s">
        <v>449</v>
      </c>
      <c r="K189" s="90">
        <v>0.0</v>
      </c>
      <c r="L189" s="92"/>
      <c r="M189" s="87" t="s">
        <v>529</v>
      </c>
      <c r="O189" s="87" t="s">
        <v>377</v>
      </c>
      <c r="P189" s="87" t="s">
        <v>372</v>
      </c>
    </row>
    <row r="190" ht="15.75" customHeight="1">
      <c r="A190" s="87" t="s">
        <v>998</v>
      </c>
      <c r="B190" s="88">
        <v>1.22E18</v>
      </c>
      <c r="C190" s="87" t="s">
        <v>999</v>
      </c>
      <c r="D190" s="87" t="s">
        <v>87</v>
      </c>
      <c r="E190" s="87" t="s">
        <v>88</v>
      </c>
      <c r="F190" s="87" t="s">
        <v>999</v>
      </c>
      <c r="H190" s="87" t="s">
        <v>369</v>
      </c>
      <c r="I190" s="87" t="s">
        <v>340</v>
      </c>
      <c r="J190" s="87" t="s">
        <v>1000</v>
      </c>
      <c r="K190" s="90">
        <v>0.0</v>
      </c>
      <c r="L190" s="92"/>
      <c r="M190" s="87" t="s">
        <v>529</v>
      </c>
      <c r="N190" s="87" t="s">
        <v>390</v>
      </c>
      <c r="O190" s="87" t="s">
        <v>377</v>
      </c>
      <c r="P190" s="87" t="s">
        <v>372</v>
      </c>
    </row>
    <row r="191" ht="15.75" customHeight="1">
      <c r="A191" s="87" t="s">
        <v>1001</v>
      </c>
      <c r="B191" s="88">
        <v>1.22E18</v>
      </c>
      <c r="C191" s="87" t="s">
        <v>1002</v>
      </c>
      <c r="D191" s="87" t="s">
        <v>87</v>
      </c>
      <c r="E191" s="87" t="s">
        <v>88</v>
      </c>
      <c r="F191" s="87" t="s">
        <v>1002</v>
      </c>
      <c r="H191" s="87" t="s">
        <v>369</v>
      </c>
      <c r="I191" s="87" t="s">
        <v>340</v>
      </c>
      <c r="J191" s="87" t="s">
        <v>1003</v>
      </c>
      <c r="K191" s="90">
        <v>0.0</v>
      </c>
      <c r="L191" s="92"/>
      <c r="M191" s="87" t="s">
        <v>529</v>
      </c>
      <c r="N191" s="87" t="s">
        <v>390</v>
      </c>
      <c r="O191" s="87" t="s">
        <v>377</v>
      </c>
      <c r="P191" s="87" t="s">
        <v>372</v>
      </c>
    </row>
    <row r="192" ht="15.75" customHeight="1">
      <c r="A192" s="87" t="s">
        <v>1004</v>
      </c>
      <c r="B192" s="88">
        <v>1.22E18</v>
      </c>
      <c r="C192" s="87" t="s">
        <v>1005</v>
      </c>
      <c r="D192" s="87" t="s">
        <v>87</v>
      </c>
      <c r="E192" s="87" t="s">
        <v>233</v>
      </c>
      <c r="F192" s="87" t="s">
        <v>1005</v>
      </c>
      <c r="H192" s="87" t="s">
        <v>570</v>
      </c>
      <c r="I192" s="87" t="s">
        <v>340</v>
      </c>
      <c r="J192" s="87" t="s">
        <v>1006</v>
      </c>
      <c r="K192" s="90">
        <v>0.0</v>
      </c>
      <c r="L192" s="92"/>
      <c r="M192" s="87" t="s">
        <v>529</v>
      </c>
      <c r="O192" s="87" t="s">
        <v>377</v>
      </c>
      <c r="P192" s="87" t="s">
        <v>372</v>
      </c>
    </row>
    <row r="193" ht="15.75" customHeight="1">
      <c r="A193" s="87" t="s">
        <v>1007</v>
      </c>
      <c r="B193" s="88">
        <v>1.22E18</v>
      </c>
      <c r="C193" s="87" t="s">
        <v>1008</v>
      </c>
      <c r="D193" s="87" t="s">
        <v>87</v>
      </c>
      <c r="E193" s="87" t="s">
        <v>233</v>
      </c>
      <c r="F193" s="87" t="s">
        <v>1008</v>
      </c>
      <c r="H193" s="87" t="s">
        <v>923</v>
      </c>
      <c r="I193" s="87" t="s">
        <v>340</v>
      </c>
      <c r="J193" s="87" t="s">
        <v>1009</v>
      </c>
      <c r="K193" s="90">
        <v>0.0</v>
      </c>
      <c r="L193" s="92"/>
      <c r="M193" s="87" t="s">
        <v>529</v>
      </c>
      <c r="N193" s="87" t="s">
        <v>925</v>
      </c>
      <c r="O193" s="87" t="s">
        <v>377</v>
      </c>
      <c r="P193" s="87" t="s">
        <v>372</v>
      </c>
    </row>
    <row r="194" ht="15.75" customHeight="1">
      <c r="A194" s="87" t="s">
        <v>1010</v>
      </c>
      <c r="B194" s="88">
        <v>1.22E18</v>
      </c>
      <c r="C194" s="87" t="s">
        <v>1011</v>
      </c>
      <c r="D194" s="87" t="s">
        <v>87</v>
      </c>
      <c r="E194" s="87" t="s">
        <v>88</v>
      </c>
      <c r="F194" s="87" t="s">
        <v>1011</v>
      </c>
      <c r="H194" s="87" t="s">
        <v>487</v>
      </c>
      <c r="I194" s="87" t="s">
        <v>340</v>
      </c>
      <c r="J194" s="87" t="s">
        <v>1012</v>
      </c>
      <c r="K194" s="90">
        <v>0.0</v>
      </c>
      <c r="L194" s="92"/>
      <c r="M194" s="87" t="s">
        <v>529</v>
      </c>
      <c r="N194" s="87" t="s">
        <v>489</v>
      </c>
      <c r="O194" s="87" t="s">
        <v>377</v>
      </c>
      <c r="P194" s="87" t="s">
        <v>372</v>
      </c>
    </row>
    <row r="195" ht="15.75" customHeight="1">
      <c r="A195" s="87" t="s">
        <v>1013</v>
      </c>
      <c r="B195" s="88">
        <v>1.22E18</v>
      </c>
      <c r="C195" s="87" t="s">
        <v>1014</v>
      </c>
      <c r="D195" s="87" t="s">
        <v>87</v>
      </c>
      <c r="E195" s="87" t="s">
        <v>236</v>
      </c>
      <c r="F195" s="118" t="s">
        <v>1014</v>
      </c>
      <c r="G195" s="119"/>
      <c r="H195" s="87" t="s">
        <v>1015</v>
      </c>
      <c r="I195" s="87" t="s">
        <v>103</v>
      </c>
      <c r="J195" s="87" t="s">
        <v>1016</v>
      </c>
      <c r="K195" s="90">
        <v>0.0</v>
      </c>
      <c r="L195" s="92"/>
      <c r="M195" s="87" t="s">
        <v>529</v>
      </c>
      <c r="N195" s="87" t="s">
        <v>1015</v>
      </c>
      <c r="O195" s="87" t="s">
        <v>377</v>
      </c>
      <c r="P195" s="87" t="s">
        <v>372</v>
      </c>
    </row>
    <row r="196" ht="15.75" customHeight="1">
      <c r="A196" s="87" t="s">
        <v>1017</v>
      </c>
      <c r="B196" s="88">
        <v>1.22E18</v>
      </c>
      <c r="C196" s="87" t="s">
        <v>1018</v>
      </c>
      <c r="D196" s="87" t="s">
        <v>87</v>
      </c>
      <c r="E196" s="87" t="s">
        <v>233</v>
      </c>
      <c r="F196" s="87" t="s">
        <v>1018</v>
      </c>
      <c r="H196" s="87" t="s">
        <v>923</v>
      </c>
      <c r="I196" s="87" t="s">
        <v>327</v>
      </c>
      <c r="J196" s="87" t="s">
        <v>1019</v>
      </c>
      <c r="K196" s="90">
        <v>0.0</v>
      </c>
      <c r="L196" s="92"/>
      <c r="M196" s="87" t="s">
        <v>529</v>
      </c>
      <c r="N196" s="87" t="s">
        <v>925</v>
      </c>
      <c r="O196" s="87" t="s">
        <v>377</v>
      </c>
      <c r="P196" s="87" t="s">
        <v>372</v>
      </c>
    </row>
    <row r="197" ht="15.75" customHeight="1">
      <c r="A197" s="87" t="s">
        <v>1020</v>
      </c>
      <c r="B197" s="88">
        <v>1.22E18</v>
      </c>
      <c r="C197" s="87" t="s">
        <v>1021</v>
      </c>
      <c r="D197" s="87" t="s">
        <v>87</v>
      </c>
      <c r="E197" s="87" t="s">
        <v>88</v>
      </c>
      <c r="F197" s="87" t="s">
        <v>1021</v>
      </c>
      <c r="H197" s="87" t="s">
        <v>369</v>
      </c>
      <c r="I197" s="87" t="s">
        <v>327</v>
      </c>
      <c r="J197" s="87" t="s">
        <v>1022</v>
      </c>
      <c r="K197" s="90">
        <v>0.0</v>
      </c>
      <c r="L197" s="92"/>
      <c r="M197" s="87" t="s">
        <v>529</v>
      </c>
      <c r="N197" s="87" t="s">
        <v>390</v>
      </c>
      <c r="O197" s="87" t="s">
        <v>377</v>
      </c>
      <c r="P197" s="87" t="s">
        <v>372</v>
      </c>
    </row>
    <row r="198" ht="15.75" customHeight="1">
      <c r="A198" s="87" t="s">
        <v>1023</v>
      </c>
      <c r="B198" s="88">
        <v>1.22E18</v>
      </c>
      <c r="C198" s="87" t="s">
        <v>1024</v>
      </c>
      <c r="D198" s="87" t="s">
        <v>87</v>
      </c>
      <c r="E198" s="87" t="s">
        <v>88</v>
      </c>
      <c r="F198" s="87" t="s">
        <v>1024</v>
      </c>
      <c r="H198" s="87" t="s">
        <v>369</v>
      </c>
      <c r="I198" s="87" t="s">
        <v>340</v>
      </c>
      <c r="J198" s="87" t="s">
        <v>689</v>
      </c>
      <c r="K198" s="90">
        <v>0.0</v>
      </c>
      <c r="L198" s="92"/>
      <c r="M198" s="87" t="s">
        <v>529</v>
      </c>
      <c r="N198" s="87" t="s">
        <v>390</v>
      </c>
      <c r="O198" s="87" t="s">
        <v>377</v>
      </c>
      <c r="P198" s="87" t="s">
        <v>372</v>
      </c>
    </row>
    <row r="199" ht="15.75" customHeight="1">
      <c r="A199" s="87" t="s">
        <v>1025</v>
      </c>
      <c r="B199" s="88">
        <v>1.22E18</v>
      </c>
      <c r="C199" s="87" t="s">
        <v>1026</v>
      </c>
      <c r="D199" s="87" t="s">
        <v>87</v>
      </c>
      <c r="E199" s="87" t="s">
        <v>88</v>
      </c>
      <c r="F199" s="87" t="s">
        <v>1026</v>
      </c>
      <c r="H199" s="87" t="s">
        <v>369</v>
      </c>
      <c r="I199" s="87" t="s">
        <v>103</v>
      </c>
      <c r="J199" s="87" t="s">
        <v>1027</v>
      </c>
      <c r="K199" s="90">
        <v>0.0</v>
      </c>
      <c r="L199" s="92"/>
      <c r="M199" s="87" t="s">
        <v>529</v>
      </c>
      <c r="N199" s="87" t="s">
        <v>390</v>
      </c>
      <c r="O199" s="87" t="s">
        <v>377</v>
      </c>
      <c r="P199" s="87" t="s">
        <v>372</v>
      </c>
    </row>
    <row r="200" ht="15.75" customHeight="1">
      <c r="A200" s="87" t="s">
        <v>1028</v>
      </c>
      <c r="B200" s="88">
        <v>1.22E18</v>
      </c>
      <c r="C200" s="87" t="s">
        <v>1029</v>
      </c>
      <c r="D200" s="87" t="s">
        <v>87</v>
      </c>
      <c r="E200" s="87" t="s">
        <v>88</v>
      </c>
      <c r="F200" s="87" t="s">
        <v>1029</v>
      </c>
      <c r="H200" s="87" t="s">
        <v>369</v>
      </c>
      <c r="I200" s="87" t="s">
        <v>327</v>
      </c>
      <c r="J200" s="87" t="s">
        <v>1030</v>
      </c>
      <c r="K200" s="90">
        <v>0.0</v>
      </c>
      <c r="L200" s="92"/>
      <c r="M200" s="87" t="s">
        <v>529</v>
      </c>
      <c r="N200" s="87" t="s">
        <v>390</v>
      </c>
      <c r="O200" s="87" t="s">
        <v>377</v>
      </c>
      <c r="P200" s="87" t="s">
        <v>372</v>
      </c>
    </row>
    <row r="201" ht="15.75" customHeight="1">
      <c r="A201" s="87" t="s">
        <v>1031</v>
      </c>
      <c r="B201" s="88">
        <v>1.22E18</v>
      </c>
      <c r="C201" s="87" t="s">
        <v>1032</v>
      </c>
      <c r="D201" s="87" t="s">
        <v>87</v>
      </c>
      <c r="E201" s="87" t="s">
        <v>88</v>
      </c>
      <c r="F201" s="87" t="s">
        <v>1032</v>
      </c>
      <c r="H201" s="87" t="s">
        <v>369</v>
      </c>
      <c r="I201" s="87" t="s">
        <v>327</v>
      </c>
      <c r="J201" s="87" t="s">
        <v>1033</v>
      </c>
      <c r="K201" s="90">
        <v>0.0</v>
      </c>
      <c r="L201" s="92"/>
      <c r="M201" s="87" t="s">
        <v>529</v>
      </c>
      <c r="N201" s="87" t="s">
        <v>390</v>
      </c>
      <c r="O201" s="87" t="s">
        <v>377</v>
      </c>
      <c r="P201" s="87" t="s">
        <v>372</v>
      </c>
    </row>
    <row r="202" ht="15.75" customHeight="1">
      <c r="A202" s="87" t="s">
        <v>1034</v>
      </c>
      <c r="B202" s="88">
        <v>1.22E18</v>
      </c>
      <c r="C202" s="87" t="s">
        <v>1035</v>
      </c>
      <c r="D202" s="87" t="s">
        <v>87</v>
      </c>
      <c r="E202" s="87" t="s">
        <v>88</v>
      </c>
      <c r="F202" s="87" t="s">
        <v>1035</v>
      </c>
      <c r="H202" s="87" t="s">
        <v>369</v>
      </c>
      <c r="I202" s="87" t="s">
        <v>327</v>
      </c>
      <c r="J202" s="87" t="s">
        <v>1036</v>
      </c>
      <c r="K202" s="90">
        <v>0.0</v>
      </c>
      <c r="L202" s="92"/>
      <c r="M202" s="87" t="s">
        <v>529</v>
      </c>
      <c r="N202" s="87" t="s">
        <v>390</v>
      </c>
      <c r="O202" s="87" t="s">
        <v>377</v>
      </c>
      <c r="P202" s="87" t="s">
        <v>372</v>
      </c>
    </row>
    <row r="203" ht="15.75" customHeight="1">
      <c r="A203" s="87" t="s">
        <v>1037</v>
      </c>
      <c r="B203" s="88">
        <v>1.22E18</v>
      </c>
      <c r="C203" s="87" t="s">
        <v>1038</v>
      </c>
      <c r="D203" s="87" t="s">
        <v>87</v>
      </c>
      <c r="E203" s="87" t="s">
        <v>233</v>
      </c>
      <c r="F203" s="87" t="s">
        <v>1038</v>
      </c>
      <c r="H203" s="87" t="s">
        <v>570</v>
      </c>
      <c r="I203" s="87" t="s">
        <v>340</v>
      </c>
      <c r="J203" s="87" t="s">
        <v>1039</v>
      </c>
      <c r="K203" s="90">
        <v>0.0</v>
      </c>
      <c r="L203" s="92"/>
      <c r="M203" s="87" t="s">
        <v>529</v>
      </c>
      <c r="O203" s="87" t="s">
        <v>377</v>
      </c>
      <c r="P203" s="87" t="s">
        <v>372</v>
      </c>
    </row>
    <row r="204" ht="15.75" customHeight="1">
      <c r="A204" s="87" t="s">
        <v>1040</v>
      </c>
      <c r="B204" s="88">
        <v>1.22E18</v>
      </c>
      <c r="C204" s="87" t="s">
        <v>1041</v>
      </c>
      <c r="D204" s="87" t="s">
        <v>87</v>
      </c>
      <c r="E204" s="87" t="s">
        <v>228</v>
      </c>
      <c r="F204" s="87" t="s">
        <v>379</v>
      </c>
      <c r="G204" s="93"/>
      <c r="H204" s="87" t="s">
        <v>1042</v>
      </c>
      <c r="I204" s="93"/>
      <c r="J204" s="87" t="s">
        <v>1043</v>
      </c>
      <c r="K204" s="90">
        <v>6000.0</v>
      </c>
      <c r="L204" s="92"/>
      <c r="M204" s="87" t="s">
        <v>529</v>
      </c>
      <c r="N204" s="87" t="s">
        <v>1044</v>
      </c>
      <c r="O204" s="87" t="s">
        <v>377</v>
      </c>
      <c r="P204" s="87" t="s">
        <v>372</v>
      </c>
    </row>
    <row r="205" ht="15.75" customHeight="1">
      <c r="A205" s="87" t="s">
        <v>1045</v>
      </c>
      <c r="B205" s="88">
        <v>1.22E18</v>
      </c>
      <c r="C205" s="87" t="s">
        <v>1046</v>
      </c>
      <c r="D205" s="87" t="s">
        <v>87</v>
      </c>
      <c r="E205" s="87" t="s">
        <v>88</v>
      </c>
      <c r="F205" s="87" t="s">
        <v>373</v>
      </c>
      <c r="H205" s="87" t="s">
        <v>369</v>
      </c>
      <c r="I205" s="87" t="s">
        <v>327</v>
      </c>
      <c r="J205" s="87" t="s">
        <v>1047</v>
      </c>
      <c r="K205" s="90">
        <v>950.0</v>
      </c>
      <c r="L205" s="92"/>
      <c r="M205" s="87" t="s">
        <v>529</v>
      </c>
      <c r="N205" s="87" t="s">
        <v>390</v>
      </c>
      <c r="O205" s="87" t="s">
        <v>377</v>
      </c>
      <c r="P205" s="87" t="s">
        <v>372</v>
      </c>
    </row>
    <row r="206" ht="15.75" customHeight="1">
      <c r="A206" s="87" t="s">
        <v>1048</v>
      </c>
      <c r="B206" s="88">
        <v>1.22E18</v>
      </c>
      <c r="C206" s="87" t="s">
        <v>1049</v>
      </c>
      <c r="D206" s="87" t="s">
        <v>87</v>
      </c>
      <c r="E206" s="87" t="s">
        <v>88</v>
      </c>
      <c r="F206" s="87" t="s">
        <v>373</v>
      </c>
      <c r="H206" s="87" t="s">
        <v>1050</v>
      </c>
      <c r="I206" s="87" t="s">
        <v>327</v>
      </c>
      <c r="J206" s="87" t="s">
        <v>1051</v>
      </c>
      <c r="K206" s="90">
        <v>3750.0</v>
      </c>
      <c r="L206" s="92"/>
      <c r="M206" s="87" t="s">
        <v>529</v>
      </c>
      <c r="O206" s="87" t="s">
        <v>377</v>
      </c>
      <c r="P206" s="87" t="s">
        <v>372</v>
      </c>
    </row>
    <row r="207" ht="15.75" customHeight="1">
      <c r="A207" s="87" t="s">
        <v>1052</v>
      </c>
      <c r="B207" s="88">
        <v>1.22E18</v>
      </c>
      <c r="C207" s="87" t="s">
        <v>1049</v>
      </c>
      <c r="D207" s="87" t="s">
        <v>87</v>
      </c>
      <c r="E207" s="87" t="s">
        <v>88</v>
      </c>
      <c r="F207" s="87" t="s">
        <v>373</v>
      </c>
      <c r="H207" s="87" t="s">
        <v>1050</v>
      </c>
      <c r="I207" s="87" t="s">
        <v>327</v>
      </c>
      <c r="J207" s="87" t="s">
        <v>1051</v>
      </c>
      <c r="K207" s="90">
        <v>3750.0</v>
      </c>
      <c r="L207" s="92"/>
      <c r="M207" s="87" t="s">
        <v>575</v>
      </c>
      <c r="O207" s="87" t="s">
        <v>377</v>
      </c>
      <c r="P207" s="87" t="s">
        <v>372</v>
      </c>
    </row>
    <row r="208" ht="15.75" customHeight="1">
      <c r="A208" s="87" t="s">
        <v>1053</v>
      </c>
      <c r="B208" s="88">
        <v>1.22E18</v>
      </c>
      <c r="C208" s="87" t="s">
        <v>1054</v>
      </c>
      <c r="D208" s="87" t="s">
        <v>87</v>
      </c>
      <c r="E208" s="87" t="s">
        <v>88</v>
      </c>
      <c r="F208" s="87" t="s">
        <v>1054</v>
      </c>
      <c r="H208" s="87" t="s">
        <v>369</v>
      </c>
      <c r="I208" s="87" t="s">
        <v>327</v>
      </c>
      <c r="J208" s="87" t="s">
        <v>1055</v>
      </c>
      <c r="K208" s="90">
        <v>0.0</v>
      </c>
      <c r="L208" s="92"/>
      <c r="M208" s="87" t="s">
        <v>529</v>
      </c>
      <c r="N208" s="87" t="s">
        <v>390</v>
      </c>
      <c r="O208" s="87" t="s">
        <v>377</v>
      </c>
      <c r="P208" s="87" t="s">
        <v>372</v>
      </c>
    </row>
    <row r="209" ht="15.75" customHeight="1">
      <c r="A209" s="87" t="s">
        <v>1056</v>
      </c>
      <c r="B209" s="88">
        <v>1.22E18</v>
      </c>
      <c r="C209" s="87" t="s">
        <v>1057</v>
      </c>
      <c r="D209" s="87" t="s">
        <v>87</v>
      </c>
      <c r="E209" s="87" t="s">
        <v>88</v>
      </c>
      <c r="F209" s="87" t="s">
        <v>373</v>
      </c>
      <c r="H209" s="87" t="s">
        <v>1058</v>
      </c>
      <c r="I209" s="87" t="s">
        <v>340</v>
      </c>
      <c r="J209" s="87" t="s">
        <v>1059</v>
      </c>
      <c r="K209" s="90">
        <v>100.0</v>
      </c>
      <c r="L209" s="92"/>
      <c r="M209" s="87" t="s">
        <v>529</v>
      </c>
      <c r="O209" s="87" t="s">
        <v>377</v>
      </c>
      <c r="P209" s="87" t="s">
        <v>372</v>
      </c>
    </row>
    <row r="210" ht="15.75" customHeight="1">
      <c r="A210" s="87" t="s">
        <v>1060</v>
      </c>
      <c r="B210" s="88">
        <v>1.22E18</v>
      </c>
      <c r="C210" s="87" t="s">
        <v>1061</v>
      </c>
      <c r="D210" s="87" t="s">
        <v>87</v>
      </c>
      <c r="E210" s="87" t="s">
        <v>88</v>
      </c>
      <c r="F210" s="87" t="s">
        <v>373</v>
      </c>
      <c r="H210" s="87" t="s">
        <v>369</v>
      </c>
      <c r="I210" s="87" t="s">
        <v>340</v>
      </c>
      <c r="J210" s="87" t="s">
        <v>1062</v>
      </c>
      <c r="K210" s="90">
        <v>60000.0</v>
      </c>
      <c r="L210" s="92"/>
      <c r="M210" s="87" t="s">
        <v>529</v>
      </c>
      <c r="N210" s="87" t="s">
        <v>390</v>
      </c>
      <c r="O210" s="87" t="s">
        <v>377</v>
      </c>
      <c r="P210" s="87" t="s">
        <v>372</v>
      </c>
    </row>
    <row r="211" ht="15.75" customHeight="1">
      <c r="A211" s="87" t="s">
        <v>1063</v>
      </c>
      <c r="B211" s="88">
        <v>1.22E18</v>
      </c>
      <c r="C211" s="87" t="s">
        <v>1064</v>
      </c>
      <c r="D211" s="87" t="s">
        <v>87</v>
      </c>
      <c r="E211" s="87" t="s">
        <v>88</v>
      </c>
      <c r="F211" s="87" t="s">
        <v>373</v>
      </c>
      <c r="H211" s="87" t="s">
        <v>890</v>
      </c>
      <c r="I211" s="87" t="s">
        <v>340</v>
      </c>
      <c r="J211" s="87" t="s">
        <v>1065</v>
      </c>
      <c r="K211" s="90">
        <v>0.5</v>
      </c>
      <c r="L211" s="92"/>
      <c r="M211" s="87" t="s">
        <v>529</v>
      </c>
      <c r="O211" s="87" t="s">
        <v>377</v>
      </c>
      <c r="P211" s="87" t="s">
        <v>372</v>
      </c>
    </row>
    <row r="212" ht="15.75" customHeight="1">
      <c r="A212" s="87" t="s">
        <v>1066</v>
      </c>
      <c r="B212" s="88">
        <v>1.22E18</v>
      </c>
      <c r="C212" s="87" t="s">
        <v>1067</v>
      </c>
      <c r="D212" s="87" t="s">
        <v>87</v>
      </c>
      <c r="E212" s="87" t="s">
        <v>88</v>
      </c>
      <c r="F212" s="87" t="s">
        <v>373</v>
      </c>
      <c r="H212" s="87" t="s">
        <v>701</v>
      </c>
      <c r="I212" s="87" t="s">
        <v>340</v>
      </c>
      <c r="J212" s="87" t="s">
        <v>1068</v>
      </c>
      <c r="K212" s="90">
        <v>0.0</v>
      </c>
      <c r="L212" s="92"/>
      <c r="M212" s="87" t="s">
        <v>529</v>
      </c>
      <c r="N212" s="87" t="s">
        <v>703</v>
      </c>
      <c r="O212" s="87" t="s">
        <v>377</v>
      </c>
      <c r="P212" s="87" t="s">
        <v>372</v>
      </c>
    </row>
    <row r="213" ht="15.75" customHeight="1">
      <c r="A213" s="87" t="s">
        <v>1069</v>
      </c>
      <c r="B213" s="88">
        <v>1.22E18</v>
      </c>
      <c r="C213" s="87" t="s">
        <v>1070</v>
      </c>
      <c r="D213" s="87" t="s">
        <v>87</v>
      </c>
      <c r="E213" s="87" t="s">
        <v>228</v>
      </c>
      <c r="F213" s="87" t="s">
        <v>1070</v>
      </c>
      <c r="H213" s="87" t="s">
        <v>1042</v>
      </c>
      <c r="I213" s="87" t="s">
        <v>340</v>
      </c>
      <c r="J213" s="87" t="s">
        <v>1071</v>
      </c>
      <c r="K213" s="90">
        <v>1000.0</v>
      </c>
      <c r="L213" s="92"/>
      <c r="M213" s="87" t="s">
        <v>529</v>
      </c>
      <c r="N213" s="87" t="s">
        <v>1044</v>
      </c>
      <c r="O213" s="87" t="s">
        <v>377</v>
      </c>
      <c r="P213" s="87" t="s">
        <v>372</v>
      </c>
    </row>
    <row r="214" ht="15.75" customHeight="1">
      <c r="A214" s="87" t="s">
        <v>1072</v>
      </c>
      <c r="B214" s="88">
        <v>1.22E18</v>
      </c>
      <c r="C214" s="87" t="s">
        <v>1073</v>
      </c>
      <c r="D214" s="87" t="s">
        <v>87</v>
      </c>
      <c r="E214" s="87" t="s">
        <v>228</v>
      </c>
      <c r="F214" s="87" t="s">
        <v>373</v>
      </c>
      <c r="H214" s="87" t="s">
        <v>1042</v>
      </c>
      <c r="I214" s="87" t="s">
        <v>340</v>
      </c>
      <c r="J214" s="87" t="s">
        <v>598</v>
      </c>
      <c r="K214" s="90">
        <v>100.0</v>
      </c>
      <c r="L214" s="92"/>
      <c r="M214" s="87" t="s">
        <v>529</v>
      </c>
      <c r="N214" s="87" t="s">
        <v>1044</v>
      </c>
      <c r="O214" s="87" t="s">
        <v>377</v>
      </c>
      <c r="P214" s="87" t="s">
        <v>372</v>
      </c>
    </row>
    <row r="215" ht="15.75" customHeight="1">
      <c r="A215" s="87" t="s">
        <v>1074</v>
      </c>
      <c r="B215" s="88">
        <v>1.22E18</v>
      </c>
      <c r="C215" s="87" t="s">
        <v>1075</v>
      </c>
      <c r="D215" s="87" t="s">
        <v>87</v>
      </c>
      <c r="E215" s="87" t="s">
        <v>228</v>
      </c>
      <c r="F215" s="87" t="s">
        <v>373</v>
      </c>
      <c r="H215" s="87" t="s">
        <v>1042</v>
      </c>
      <c r="I215" s="87" t="s">
        <v>340</v>
      </c>
      <c r="J215" s="87" t="s">
        <v>1076</v>
      </c>
      <c r="K215" s="90">
        <v>0.0</v>
      </c>
      <c r="L215" s="92"/>
      <c r="M215" s="87" t="s">
        <v>529</v>
      </c>
      <c r="N215" s="87" t="s">
        <v>1044</v>
      </c>
      <c r="O215" s="87" t="s">
        <v>377</v>
      </c>
      <c r="P215" s="87" t="s">
        <v>372</v>
      </c>
    </row>
    <row r="216" ht="15.75" customHeight="1">
      <c r="A216" s="87" t="s">
        <v>1077</v>
      </c>
      <c r="B216" s="88">
        <v>1.22E18</v>
      </c>
      <c r="C216" s="87" t="s">
        <v>1078</v>
      </c>
      <c r="D216" s="87" t="s">
        <v>87</v>
      </c>
      <c r="E216" s="87" t="s">
        <v>228</v>
      </c>
      <c r="F216" s="87" t="s">
        <v>373</v>
      </c>
      <c r="H216" s="87" t="s">
        <v>1042</v>
      </c>
      <c r="I216" s="87" t="s">
        <v>340</v>
      </c>
      <c r="J216" s="87" t="s">
        <v>1079</v>
      </c>
      <c r="K216" s="90">
        <v>0.0</v>
      </c>
      <c r="L216" s="92"/>
      <c r="M216" s="87" t="s">
        <v>529</v>
      </c>
      <c r="N216" s="87" t="s">
        <v>1044</v>
      </c>
      <c r="O216" s="87" t="s">
        <v>377</v>
      </c>
      <c r="P216" s="87" t="s">
        <v>372</v>
      </c>
    </row>
    <row r="217" ht="15.75" customHeight="1">
      <c r="A217" s="87" t="s">
        <v>1080</v>
      </c>
      <c r="B217" s="88">
        <v>1.22E18</v>
      </c>
      <c r="C217" s="87" t="s">
        <v>1081</v>
      </c>
      <c r="D217" s="87" t="s">
        <v>87</v>
      </c>
      <c r="E217" s="87" t="s">
        <v>236</v>
      </c>
      <c r="F217" s="87" t="s">
        <v>1081</v>
      </c>
      <c r="H217" s="87" t="s">
        <v>1015</v>
      </c>
      <c r="I217" s="87" t="s">
        <v>103</v>
      </c>
      <c r="J217" s="87" t="s">
        <v>1082</v>
      </c>
      <c r="K217" s="90">
        <v>0.0</v>
      </c>
      <c r="L217" s="92"/>
      <c r="M217" s="87" t="s">
        <v>529</v>
      </c>
      <c r="N217" s="87" t="s">
        <v>1015</v>
      </c>
      <c r="O217" s="87" t="s">
        <v>377</v>
      </c>
      <c r="P217" s="87" t="s">
        <v>372</v>
      </c>
    </row>
    <row r="218" ht="15.75" customHeight="1">
      <c r="A218" s="87" t="s">
        <v>1083</v>
      </c>
      <c r="B218" s="88">
        <v>1.22E18</v>
      </c>
      <c r="C218" s="87" t="s">
        <v>1084</v>
      </c>
      <c r="D218" s="87" t="s">
        <v>87</v>
      </c>
      <c r="E218" s="87" t="s">
        <v>228</v>
      </c>
      <c r="F218" s="118" t="s">
        <v>1084</v>
      </c>
      <c r="G218" s="119"/>
      <c r="H218" s="87" t="s">
        <v>837</v>
      </c>
      <c r="I218" s="87" t="s">
        <v>340</v>
      </c>
      <c r="J218" s="87" t="s">
        <v>1085</v>
      </c>
      <c r="K218" s="90">
        <v>1000.0</v>
      </c>
      <c r="L218" s="92"/>
      <c r="M218" s="87" t="s">
        <v>529</v>
      </c>
      <c r="N218" s="87" t="s">
        <v>838</v>
      </c>
      <c r="O218" s="87" t="s">
        <v>377</v>
      </c>
      <c r="P218" s="87" t="s">
        <v>372</v>
      </c>
    </row>
    <row r="219" ht="15.75" customHeight="1">
      <c r="A219" s="87" t="s">
        <v>1086</v>
      </c>
      <c r="B219" s="88">
        <v>1.22E18</v>
      </c>
      <c r="C219" s="87" t="s">
        <v>1087</v>
      </c>
      <c r="D219" s="87" t="s">
        <v>87</v>
      </c>
      <c r="E219" s="87" t="s">
        <v>228</v>
      </c>
      <c r="F219" s="87" t="s">
        <v>1087</v>
      </c>
      <c r="H219" s="87" t="s">
        <v>1088</v>
      </c>
      <c r="I219" s="87" t="s">
        <v>340</v>
      </c>
      <c r="J219" s="87" t="s">
        <v>1089</v>
      </c>
      <c r="K219" s="90">
        <v>30.0</v>
      </c>
      <c r="L219" s="92"/>
      <c r="M219" s="87" t="s">
        <v>529</v>
      </c>
      <c r="O219" s="87" t="s">
        <v>377</v>
      </c>
      <c r="P219" s="87" t="s">
        <v>372</v>
      </c>
    </row>
    <row r="220" ht="15.75" customHeight="1">
      <c r="A220" s="87" t="s">
        <v>1090</v>
      </c>
      <c r="B220" s="88">
        <v>1.22E18</v>
      </c>
      <c r="C220" s="87" t="s">
        <v>1091</v>
      </c>
      <c r="D220" s="87" t="s">
        <v>87</v>
      </c>
      <c r="E220" s="87" t="s">
        <v>228</v>
      </c>
      <c r="F220" s="87" t="s">
        <v>1091</v>
      </c>
      <c r="H220" s="87" t="s">
        <v>1088</v>
      </c>
      <c r="I220" s="87" t="s">
        <v>340</v>
      </c>
      <c r="J220" s="87" t="s">
        <v>1092</v>
      </c>
      <c r="K220" s="90">
        <v>16.0</v>
      </c>
      <c r="L220" s="92"/>
      <c r="M220" s="87" t="s">
        <v>529</v>
      </c>
      <c r="O220" s="87" t="s">
        <v>377</v>
      </c>
      <c r="P220" s="87" t="s">
        <v>372</v>
      </c>
    </row>
    <row r="221" ht="15.75" customHeight="1">
      <c r="A221" s="87" t="s">
        <v>1093</v>
      </c>
      <c r="B221" s="88">
        <v>1.22E18</v>
      </c>
      <c r="C221" s="87" t="s">
        <v>1094</v>
      </c>
      <c r="D221" s="87" t="s">
        <v>87</v>
      </c>
      <c r="E221" s="87" t="s">
        <v>228</v>
      </c>
      <c r="F221" s="118" t="s">
        <v>1094</v>
      </c>
      <c r="G221" s="119"/>
      <c r="H221" s="87" t="s">
        <v>1095</v>
      </c>
      <c r="I221" s="87" t="s">
        <v>340</v>
      </c>
      <c r="J221" s="87" t="s">
        <v>1096</v>
      </c>
      <c r="K221" s="90">
        <v>200.0</v>
      </c>
      <c r="L221" s="92"/>
      <c r="M221" s="87" t="s">
        <v>529</v>
      </c>
      <c r="O221" s="87" t="s">
        <v>377</v>
      </c>
      <c r="P221" s="87" t="s">
        <v>372</v>
      </c>
    </row>
    <row r="222" ht="15.75" customHeight="1">
      <c r="A222" s="87" t="s">
        <v>1097</v>
      </c>
      <c r="B222" s="88">
        <v>1.22E18</v>
      </c>
      <c r="C222" s="87" t="s">
        <v>1098</v>
      </c>
      <c r="D222" s="87" t="s">
        <v>87</v>
      </c>
      <c r="E222" s="87" t="s">
        <v>88</v>
      </c>
      <c r="F222" s="87" t="s">
        <v>1098</v>
      </c>
      <c r="H222" s="87" t="s">
        <v>369</v>
      </c>
      <c r="I222" s="87" t="s">
        <v>327</v>
      </c>
      <c r="J222" s="87" t="s">
        <v>1099</v>
      </c>
      <c r="K222" s="90">
        <v>0.0</v>
      </c>
      <c r="L222" s="92"/>
      <c r="M222" s="87" t="s">
        <v>575</v>
      </c>
      <c r="N222" s="87" t="s">
        <v>390</v>
      </c>
      <c r="O222" s="87" t="s">
        <v>377</v>
      </c>
      <c r="P222" s="87" t="s">
        <v>372</v>
      </c>
    </row>
    <row r="223" ht="15.75" customHeight="1">
      <c r="A223" s="87" t="s">
        <v>1100</v>
      </c>
      <c r="B223" s="88">
        <v>1.22E18</v>
      </c>
      <c r="C223" s="87" t="s">
        <v>1101</v>
      </c>
      <c r="D223" s="87" t="s">
        <v>87</v>
      </c>
      <c r="E223" s="87" t="s">
        <v>88</v>
      </c>
      <c r="F223" s="118" t="s">
        <v>1101</v>
      </c>
      <c r="G223" s="119"/>
      <c r="H223" s="87" t="s">
        <v>1102</v>
      </c>
      <c r="I223" s="87" t="s">
        <v>315</v>
      </c>
      <c r="J223" s="87" t="s">
        <v>1103</v>
      </c>
      <c r="K223" s="90">
        <v>0.0</v>
      </c>
      <c r="L223" s="92"/>
      <c r="M223" s="87" t="s">
        <v>575</v>
      </c>
      <c r="O223" s="87" t="s">
        <v>377</v>
      </c>
      <c r="P223" s="87" t="s">
        <v>372</v>
      </c>
    </row>
    <row r="224" ht="15.75" customHeight="1">
      <c r="A224" s="87" t="s">
        <v>1104</v>
      </c>
      <c r="B224" s="88">
        <v>1.22E18</v>
      </c>
      <c r="C224" s="87" t="s">
        <v>1105</v>
      </c>
      <c r="D224" s="87" t="s">
        <v>87</v>
      </c>
      <c r="E224" s="87" t="s">
        <v>88</v>
      </c>
      <c r="F224" s="118" t="s">
        <v>1105</v>
      </c>
      <c r="G224" s="119"/>
      <c r="H224" s="87" t="s">
        <v>1102</v>
      </c>
      <c r="I224" s="87" t="s">
        <v>315</v>
      </c>
      <c r="J224" s="87" t="s">
        <v>1103</v>
      </c>
      <c r="K224" s="90">
        <v>0.0</v>
      </c>
      <c r="L224" s="92"/>
      <c r="M224" s="87" t="s">
        <v>575</v>
      </c>
      <c r="O224" s="87" t="s">
        <v>377</v>
      </c>
      <c r="P224" s="87" t="s">
        <v>372</v>
      </c>
    </row>
    <row r="225" ht="15.75" customHeight="1">
      <c r="A225" s="87" t="s">
        <v>1106</v>
      </c>
      <c r="B225" s="88">
        <v>1.22E18</v>
      </c>
      <c r="C225" s="87" t="s">
        <v>1107</v>
      </c>
      <c r="D225" s="87" t="s">
        <v>87</v>
      </c>
      <c r="E225" s="87" t="s">
        <v>88</v>
      </c>
      <c r="F225" s="87" t="s">
        <v>1107</v>
      </c>
      <c r="H225" s="87" t="s">
        <v>369</v>
      </c>
      <c r="I225" s="87" t="s">
        <v>327</v>
      </c>
      <c r="J225" s="87" t="s">
        <v>1108</v>
      </c>
      <c r="K225" s="90">
        <v>20000.0</v>
      </c>
      <c r="L225" s="92"/>
      <c r="M225" s="87" t="s">
        <v>575</v>
      </c>
      <c r="N225" s="87" t="s">
        <v>390</v>
      </c>
      <c r="O225" s="87" t="s">
        <v>377</v>
      </c>
      <c r="P225" s="87" t="s">
        <v>372</v>
      </c>
    </row>
    <row r="226" ht="15.75" customHeight="1">
      <c r="A226" s="87" t="s">
        <v>1109</v>
      </c>
      <c r="B226" s="88">
        <v>1.22E18</v>
      </c>
      <c r="C226" s="87" t="s">
        <v>1110</v>
      </c>
      <c r="D226" s="87" t="s">
        <v>87</v>
      </c>
      <c r="E226" s="87" t="s">
        <v>88</v>
      </c>
      <c r="F226" s="87" t="s">
        <v>1110</v>
      </c>
      <c r="H226" s="87" t="s">
        <v>369</v>
      </c>
      <c r="I226" s="87" t="s">
        <v>327</v>
      </c>
      <c r="J226" s="87" t="s">
        <v>1111</v>
      </c>
      <c r="K226" s="90">
        <v>0.0</v>
      </c>
      <c r="L226" s="92"/>
      <c r="M226" s="87" t="s">
        <v>575</v>
      </c>
      <c r="N226" s="87" t="s">
        <v>390</v>
      </c>
      <c r="O226" s="87" t="s">
        <v>377</v>
      </c>
      <c r="P226" s="87" t="s">
        <v>372</v>
      </c>
    </row>
    <row r="227" ht="15.75" customHeight="1">
      <c r="A227" s="87" t="s">
        <v>1112</v>
      </c>
      <c r="B227" s="88">
        <v>1.22E18</v>
      </c>
      <c r="C227" s="87" t="s">
        <v>1113</v>
      </c>
      <c r="D227" s="87" t="s">
        <v>87</v>
      </c>
      <c r="E227" s="87" t="s">
        <v>88</v>
      </c>
      <c r="F227" s="87" t="s">
        <v>1113</v>
      </c>
      <c r="H227" s="87" t="s">
        <v>369</v>
      </c>
      <c r="I227" s="87" t="s">
        <v>340</v>
      </c>
      <c r="J227" s="87" t="s">
        <v>1114</v>
      </c>
      <c r="K227" s="90">
        <v>0.0</v>
      </c>
      <c r="L227" s="92"/>
      <c r="M227" s="87" t="s">
        <v>575</v>
      </c>
      <c r="N227" s="87" t="s">
        <v>390</v>
      </c>
      <c r="O227" s="87" t="s">
        <v>377</v>
      </c>
      <c r="P227" s="87" t="s">
        <v>372</v>
      </c>
    </row>
    <row r="228" ht="15.75" customHeight="1">
      <c r="A228" s="87" t="s">
        <v>1115</v>
      </c>
      <c r="B228" s="88">
        <v>1.22E18</v>
      </c>
      <c r="C228" s="87" t="s">
        <v>1116</v>
      </c>
      <c r="D228" s="87" t="s">
        <v>87</v>
      </c>
      <c r="E228" s="87" t="s">
        <v>88</v>
      </c>
      <c r="F228" s="87" t="s">
        <v>1116</v>
      </c>
      <c r="H228" s="87" t="s">
        <v>369</v>
      </c>
      <c r="I228" s="87" t="s">
        <v>327</v>
      </c>
      <c r="J228" s="87" t="s">
        <v>1117</v>
      </c>
      <c r="K228" s="90">
        <v>0.0</v>
      </c>
      <c r="L228" s="92"/>
      <c r="M228" s="87" t="s">
        <v>575</v>
      </c>
      <c r="N228" s="87" t="s">
        <v>390</v>
      </c>
      <c r="O228" s="87" t="s">
        <v>377</v>
      </c>
      <c r="P228" s="87" t="s">
        <v>372</v>
      </c>
    </row>
    <row r="229" ht="15.75" customHeight="1">
      <c r="A229" s="87" t="s">
        <v>1118</v>
      </c>
      <c r="B229" s="88">
        <v>1.22E18</v>
      </c>
      <c r="C229" s="87" t="s">
        <v>1119</v>
      </c>
      <c r="D229" s="87" t="s">
        <v>87</v>
      </c>
      <c r="E229" s="87" t="s">
        <v>88</v>
      </c>
      <c r="F229" s="87" t="s">
        <v>1119</v>
      </c>
      <c r="H229" s="87" t="s">
        <v>369</v>
      </c>
      <c r="I229" s="87" t="s">
        <v>327</v>
      </c>
      <c r="J229" s="87" t="s">
        <v>1120</v>
      </c>
      <c r="K229" s="90">
        <v>0.0</v>
      </c>
      <c r="L229" s="92"/>
      <c r="M229" s="87" t="s">
        <v>575</v>
      </c>
      <c r="N229" s="87" t="s">
        <v>390</v>
      </c>
      <c r="O229" s="87" t="s">
        <v>377</v>
      </c>
      <c r="P229" s="87" t="s">
        <v>372</v>
      </c>
    </row>
    <row r="230" ht="15.75" customHeight="1">
      <c r="A230" s="87" t="s">
        <v>1121</v>
      </c>
      <c r="B230" s="88">
        <v>1.22E18</v>
      </c>
      <c r="C230" s="87" t="s">
        <v>1122</v>
      </c>
      <c r="D230" s="87" t="s">
        <v>87</v>
      </c>
      <c r="E230" s="87" t="s">
        <v>88</v>
      </c>
      <c r="F230" s="87" t="s">
        <v>1122</v>
      </c>
      <c r="H230" s="87" t="s">
        <v>369</v>
      </c>
      <c r="I230" s="87" t="s">
        <v>1123</v>
      </c>
      <c r="J230" s="87" t="s">
        <v>1124</v>
      </c>
      <c r="K230" s="90">
        <v>0.0</v>
      </c>
      <c r="L230" s="92"/>
      <c r="M230" s="87" t="s">
        <v>575</v>
      </c>
      <c r="N230" s="87" t="s">
        <v>390</v>
      </c>
      <c r="O230" s="87" t="s">
        <v>377</v>
      </c>
      <c r="P230" s="87" t="s">
        <v>372</v>
      </c>
    </row>
    <row r="231" ht="15.75" customHeight="1">
      <c r="A231" s="87" t="s">
        <v>1125</v>
      </c>
      <c r="B231" s="88">
        <v>1.22E18</v>
      </c>
      <c r="C231" s="87" t="s">
        <v>1126</v>
      </c>
      <c r="D231" s="87" t="s">
        <v>87</v>
      </c>
      <c r="E231" s="87" t="s">
        <v>88</v>
      </c>
      <c r="F231" s="87" t="s">
        <v>1126</v>
      </c>
      <c r="H231" s="87" t="s">
        <v>1127</v>
      </c>
      <c r="I231" s="87" t="s">
        <v>327</v>
      </c>
      <c r="J231" s="87" t="s">
        <v>1128</v>
      </c>
      <c r="K231" s="90">
        <v>0.0</v>
      </c>
      <c r="L231" s="92"/>
      <c r="M231" s="87" t="s">
        <v>575</v>
      </c>
      <c r="O231" s="87" t="s">
        <v>377</v>
      </c>
      <c r="P231" s="87" t="s">
        <v>372</v>
      </c>
    </row>
    <row r="232" ht="15.75" customHeight="1">
      <c r="A232" s="87" t="s">
        <v>1129</v>
      </c>
      <c r="B232" s="88">
        <v>1.22E18</v>
      </c>
      <c r="C232" s="87" t="s">
        <v>1130</v>
      </c>
      <c r="D232" s="87" t="s">
        <v>87</v>
      </c>
      <c r="E232" s="87" t="s">
        <v>88</v>
      </c>
      <c r="F232" s="118" t="s">
        <v>1130</v>
      </c>
      <c r="G232" s="119"/>
      <c r="H232" s="87" t="s">
        <v>369</v>
      </c>
      <c r="I232" s="87" t="s">
        <v>327</v>
      </c>
      <c r="J232" s="87" t="s">
        <v>478</v>
      </c>
      <c r="K232" s="90">
        <v>0.0</v>
      </c>
      <c r="L232" s="92"/>
      <c r="M232" s="87" t="s">
        <v>575</v>
      </c>
      <c r="N232" s="87" t="s">
        <v>390</v>
      </c>
      <c r="O232" s="87" t="s">
        <v>377</v>
      </c>
      <c r="P232" s="87" t="s">
        <v>372</v>
      </c>
    </row>
    <row r="233" ht="15.75" customHeight="1">
      <c r="A233" s="87" t="s">
        <v>1131</v>
      </c>
      <c r="B233" s="88">
        <v>1.22E18</v>
      </c>
      <c r="C233" s="87" t="s">
        <v>1132</v>
      </c>
      <c r="D233" s="87" t="s">
        <v>87</v>
      </c>
      <c r="E233" s="87" t="s">
        <v>88</v>
      </c>
      <c r="F233" s="87" t="s">
        <v>1132</v>
      </c>
      <c r="H233" s="87" t="s">
        <v>369</v>
      </c>
      <c r="I233" s="87" t="s">
        <v>327</v>
      </c>
      <c r="J233" s="87" t="s">
        <v>1133</v>
      </c>
      <c r="K233" s="90">
        <v>0.0</v>
      </c>
      <c r="L233" s="92"/>
      <c r="M233" s="87" t="s">
        <v>575</v>
      </c>
      <c r="N233" s="87" t="s">
        <v>390</v>
      </c>
      <c r="O233" s="87" t="s">
        <v>377</v>
      </c>
      <c r="P233" s="87" t="s">
        <v>372</v>
      </c>
    </row>
    <row r="234" ht="15.75" customHeight="1">
      <c r="A234" s="87" t="s">
        <v>1134</v>
      </c>
      <c r="B234" s="88">
        <v>1.22E18</v>
      </c>
      <c r="C234" s="87" t="s">
        <v>1135</v>
      </c>
      <c r="D234" s="87" t="s">
        <v>87</v>
      </c>
      <c r="E234" s="87" t="s">
        <v>102</v>
      </c>
      <c r="F234" s="87" t="s">
        <v>1135</v>
      </c>
      <c r="H234" s="87" t="s">
        <v>1136</v>
      </c>
      <c r="I234" s="87" t="s">
        <v>327</v>
      </c>
      <c r="J234" s="87" t="s">
        <v>1137</v>
      </c>
      <c r="K234" s="90">
        <v>0.0</v>
      </c>
      <c r="L234" s="92"/>
      <c r="M234" s="87" t="s">
        <v>575</v>
      </c>
      <c r="O234" s="87" t="s">
        <v>377</v>
      </c>
      <c r="P234" s="87" t="s">
        <v>372</v>
      </c>
    </row>
    <row r="235" ht="15.75" customHeight="1">
      <c r="A235" s="87" t="s">
        <v>1138</v>
      </c>
      <c r="B235" s="88">
        <v>1.22E18</v>
      </c>
      <c r="C235" s="87" t="s">
        <v>1139</v>
      </c>
      <c r="D235" s="87" t="s">
        <v>87</v>
      </c>
      <c r="E235" s="87" t="s">
        <v>88</v>
      </c>
      <c r="F235" s="87" t="s">
        <v>1139</v>
      </c>
      <c r="H235" s="87" t="s">
        <v>369</v>
      </c>
      <c r="I235" s="87" t="s">
        <v>327</v>
      </c>
      <c r="J235" s="87" t="s">
        <v>1140</v>
      </c>
      <c r="K235" s="90">
        <v>0.0</v>
      </c>
      <c r="L235" s="92"/>
      <c r="M235" s="87" t="s">
        <v>575</v>
      </c>
      <c r="N235" s="87" t="s">
        <v>390</v>
      </c>
      <c r="O235" s="87" t="s">
        <v>377</v>
      </c>
      <c r="P235" s="87" t="s">
        <v>372</v>
      </c>
    </row>
    <row r="236" ht="15.75" customHeight="1">
      <c r="A236" s="87" t="s">
        <v>1141</v>
      </c>
      <c r="B236" s="88">
        <v>1.22E18</v>
      </c>
      <c r="C236" s="87" t="s">
        <v>1142</v>
      </c>
      <c r="D236" s="87" t="s">
        <v>87</v>
      </c>
      <c r="E236" s="87" t="s">
        <v>88</v>
      </c>
      <c r="F236" s="87" t="s">
        <v>1142</v>
      </c>
      <c r="H236" s="87" t="s">
        <v>369</v>
      </c>
      <c r="I236" s="87" t="s">
        <v>327</v>
      </c>
      <c r="J236" s="87" t="s">
        <v>1143</v>
      </c>
      <c r="K236" s="90">
        <v>0.0</v>
      </c>
      <c r="L236" s="92"/>
      <c r="M236" s="87" t="s">
        <v>575</v>
      </c>
      <c r="N236" s="87" t="s">
        <v>390</v>
      </c>
      <c r="O236" s="87" t="s">
        <v>377</v>
      </c>
      <c r="P236" s="87" t="s">
        <v>372</v>
      </c>
    </row>
    <row r="237" ht="15.75" customHeight="1">
      <c r="A237" s="87" t="s">
        <v>1144</v>
      </c>
      <c r="B237" s="88">
        <v>1.22E18</v>
      </c>
      <c r="C237" s="87" t="s">
        <v>1145</v>
      </c>
      <c r="D237" s="87" t="s">
        <v>87</v>
      </c>
      <c r="E237" s="87" t="s">
        <v>88</v>
      </c>
      <c r="F237" s="87" t="s">
        <v>1145</v>
      </c>
      <c r="H237" s="87" t="s">
        <v>369</v>
      </c>
      <c r="I237" s="87" t="s">
        <v>327</v>
      </c>
      <c r="J237" s="87" t="s">
        <v>1146</v>
      </c>
      <c r="K237" s="90">
        <v>0.0</v>
      </c>
      <c r="L237" s="92"/>
      <c r="M237" s="87" t="s">
        <v>575</v>
      </c>
      <c r="N237" s="87" t="s">
        <v>390</v>
      </c>
      <c r="O237" s="87" t="s">
        <v>377</v>
      </c>
      <c r="P237" s="87" t="s">
        <v>372</v>
      </c>
    </row>
    <row r="238" ht="15.75" customHeight="1">
      <c r="A238" s="87" t="s">
        <v>1147</v>
      </c>
      <c r="B238" s="88">
        <v>1.22E18</v>
      </c>
      <c r="C238" s="87" t="s">
        <v>1148</v>
      </c>
      <c r="D238" s="87" t="s">
        <v>87</v>
      </c>
      <c r="E238" s="87" t="s">
        <v>88</v>
      </c>
      <c r="F238" s="87" t="s">
        <v>1148</v>
      </c>
      <c r="H238" s="87" t="s">
        <v>369</v>
      </c>
      <c r="I238" s="87" t="s">
        <v>327</v>
      </c>
      <c r="J238" s="87" t="s">
        <v>1149</v>
      </c>
      <c r="K238" s="90">
        <v>0.0</v>
      </c>
      <c r="L238" s="92"/>
      <c r="M238" s="87" t="s">
        <v>575</v>
      </c>
      <c r="N238" s="87" t="s">
        <v>390</v>
      </c>
      <c r="O238" s="87" t="s">
        <v>377</v>
      </c>
      <c r="P238" s="87" t="s">
        <v>372</v>
      </c>
    </row>
    <row r="239" ht="15.75" customHeight="1">
      <c r="A239" s="87" t="s">
        <v>1150</v>
      </c>
      <c r="B239" s="88">
        <v>1.22E18</v>
      </c>
      <c r="C239" s="87" t="s">
        <v>1151</v>
      </c>
      <c r="D239" s="87" t="s">
        <v>87</v>
      </c>
      <c r="E239" s="87" t="s">
        <v>88</v>
      </c>
      <c r="F239" s="87" t="s">
        <v>1151</v>
      </c>
      <c r="H239" s="87" t="s">
        <v>1152</v>
      </c>
      <c r="I239" s="87" t="s">
        <v>327</v>
      </c>
      <c r="J239" s="87" t="s">
        <v>1153</v>
      </c>
      <c r="K239" s="90">
        <v>0.0</v>
      </c>
      <c r="L239" s="92"/>
      <c r="M239" s="87" t="s">
        <v>575</v>
      </c>
      <c r="O239" s="87" t="s">
        <v>377</v>
      </c>
      <c r="P239" s="87" t="s">
        <v>372</v>
      </c>
    </row>
    <row r="240" ht="15.75" customHeight="1">
      <c r="A240" s="87" t="s">
        <v>1154</v>
      </c>
      <c r="B240" s="88">
        <v>1.22E18</v>
      </c>
      <c r="C240" s="87" t="s">
        <v>1155</v>
      </c>
      <c r="D240" s="87" t="s">
        <v>87</v>
      </c>
      <c r="E240" s="87" t="s">
        <v>88</v>
      </c>
      <c r="F240" s="87" t="s">
        <v>1155</v>
      </c>
      <c r="H240" s="87" t="s">
        <v>369</v>
      </c>
      <c r="I240" s="87" t="s">
        <v>327</v>
      </c>
      <c r="J240" s="87" t="s">
        <v>1156</v>
      </c>
      <c r="K240" s="90">
        <v>0.0</v>
      </c>
      <c r="L240" s="92"/>
      <c r="M240" s="87" t="s">
        <v>575</v>
      </c>
      <c r="N240" s="87" t="s">
        <v>390</v>
      </c>
      <c r="O240" s="87" t="s">
        <v>377</v>
      </c>
      <c r="P240" s="87" t="s">
        <v>372</v>
      </c>
    </row>
    <row r="241" ht="15.75" customHeight="1">
      <c r="A241" s="87" t="s">
        <v>1157</v>
      </c>
      <c r="B241" s="88">
        <v>1.22E18</v>
      </c>
      <c r="C241" s="87" t="s">
        <v>1158</v>
      </c>
      <c r="D241" s="87" t="s">
        <v>87</v>
      </c>
      <c r="E241" s="87" t="s">
        <v>88</v>
      </c>
      <c r="F241" s="87" t="s">
        <v>1158</v>
      </c>
      <c r="H241" s="87" t="s">
        <v>369</v>
      </c>
      <c r="I241" s="87" t="s">
        <v>327</v>
      </c>
      <c r="J241" s="87" t="s">
        <v>1159</v>
      </c>
      <c r="K241" s="90">
        <v>0.0</v>
      </c>
      <c r="L241" s="92"/>
      <c r="M241" s="87" t="s">
        <v>575</v>
      </c>
      <c r="N241" s="87" t="s">
        <v>390</v>
      </c>
      <c r="O241" s="87" t="s">
        <v>377</v>
      </c>
      <c r="P241" s="87" t="s">
        <v>372</v>
      </c>
    </row>
    <row r="242" ht="15.75" customHeight="1">
      <c r="A242" s="87" t="s">
        <v>1160</v>
      </c>
      <c r="B242" s="88">
        <v>1.22E18</v>
      </c>
      <c r="C242" s="87" t="s">
        <v>1161</v>
      </c>
      <c r="D242" s="87" t="s">
        <v>87</v>
      </c>
      <c r="E242" s="87" t="s">
        <v>88</v>
      </c>
      <c r="F242" s="87" t="s">
        <v>1161</v>
      </c>
      <c r="H242" s="87" t="s">
        <v>369</v>
      </c>
      <c r="I242" s="87" t="s">
        <v>327</v>
      </c>
      <c r="J242" s="87" t="s">
        <v>1162</v>
      </c>
      <c r="K242" s="90">
        <v>0.0</v>
      </c>
      <c r="L242" s="92"/>
      <c r="M242" s="87" t="s">
        <v>575</v>
      </c>
      <c r="N242" s="87" t="s">
        <v>390</v>
      </c>
      <c r="O242" s="87" t="s">
        <v>377</v>
      </c>
      <c r="P242" s="87" t="s">
        <v>372</v>
      </c>
    </row>
    <row r="243" ht="15.75" customHeight="1">
      <c r="A243" s="87" t="s">
        <v>1163</v>
      </c>
      <c r="B243" s="88">
        <v>1.22E18</v>
      </c>
      <c r="C243" s="87" t="s">
        <v>1164</v>
      </c>
      <c r="D243" s="87" t="s">
        <v>87</v>
      </c>
      <c r="E243" s="87" t="s">
        <v>88</v>
      </c>
      <c r="F243" s="87" t="s">
        <v>1164</v>
      </c>
      <c r="H243" s="87" t="s">
        <v>369</v>
      </c>
      <c r="I243" s="87" t="s">
        <v>327</v>
      </c>
      <c r="J243" s="87" t="s">
        <v>1162</v>
      </c>
      <c r="K243" s="90">
        <v>0.0</v>
      </c>
      <c r="L243" s="92"/>
      <c r="M243" s="87" t="s">
        <v>575</v>
      </c>
      <c r="N243" s="87" t="s">
        <v>390</v>
      </c>
      <c r="O243" s="87" t="s">
        <v>377</v>
      </c>
      <c r="P243" s="87" t="s">
        <v>372</v>
      </c>
    </row>
    <row r="244" ht="15.75" customHeight="1">
      <c r="A244" s="87" t="s">
        <v>1165</v>
      </c>
      <c r="B244" s="88">
        <v>1.22E18</v>
      </c>
      <c r="C244" s="87" t="s">
        <v>1166</v>
      </c>
      <c r="D244" s="87" t="s">
        <v>87</v>
      </c>
      <c r="E244" s="87" t="s">
        <v>88</v>
      </c>
      <c r="F244" s="87" t="s">
        <v>1166</v>
      </c>
      <c r="H244" s="87" t="s">
        <v>369</v>
      </c>
      <c r="I244" s="87" t="s">
        <v>327</v>
      </c>
      <c r="J244" s="87" t="s">
        <v>1167</v>
      </c>
      <c r="K244" s="90">
        <v>0.0</v>
      </c>
      <c r="L244" s="92"/>
      <c r="M244" s="87" t="s">
        <v>575</v>
      </c>
      <c r="N244" s="87" t="s">
        <v>390</v>
      </c>
      <c r="O244" s="87" t="s">
        <v>377</v>
      </c>
      <c r="P244" s="87" t="s">
        <v>372</v>
      </c>
    </row>
    <row r="245" ht="15.75" customHeight="1">
      <c r="A245" s="87" t="s">
        <v>1168</v>
      </c>
      <c r="B245" s="88">
        <v>1.22E18</v>
      </c>
      <c r="C245" s="87" t="s">
        <v>1169</v>
      </c>
      <c r="D245" s="87" t="s">
        <v>87</v>
      </c>
      <c r="E245" s="87" t="s">
        <v>88</v>
      </c>
      <c r="F245" s="87" t="s">
        <v>1169</v>
      </c>
      <c r="H245" s="87" t="s">
        <v>369</v>
      </c>
      <c r="I245" s="87" t="s">
        <v>327</v>
      </c>
      <c r="J245" s="87" t="s">
        <v>1000</v>
      </c>
      <c r="K245" s="90">
        <v>0.0</v>
      </c>
      <c r="L245" s="92"/>
      <c r="M245" s="87" t="s">
        <v>575</v>
      </c>
      <c r="N245" s="87" t="s">
        <v>390</v>
      </c>
      <c r="O245" s="87" t="s">
        <v>377</v>
      </c>
      <c r="P245" s="87" t="s">
        <v>372</v>
      </c>
    </row>
    <row r="246" ht="15.75" customHeight="1">
      <c r="A246" s="87" t="s">
        <v>1170</v>
      </c>
      <c r="B246" s="88">
        <v>1.22E18</v>
      </c>
      <c r="C246" s="87" t="s">
        <v>1171</v>
      </c>
      <c r="D246" s="87" t="s">
        <v>87</v>
      </c>
      <c r="E246" s="87" t="s">
        <v>88</v>
      </c>
      <c r="F246" s="87" t="s">
        <v>1171</v>
      </c>
      <c r="H246" s="87" t="s">
        <v>369</v>
      </c>
      <c r="I246" s="87" t="s">
        <v>327</v>
      </c>
      <c r="J246" s="87" t="s">
        <v>689</v>
      </c>
      <c r="K246" s="90">
        <v>0.0</v>
      </c>
      <c r="L246" s="92"/>
      <c r="M246" s="87" t="s">
        <v>575</v>
      </c>
      <c r="N246" s="87" t="s">
        <v>390</v>
      </c>
      <c r="O246" s="87" t="s">
        <v>377</v>
      </c>
      <c r="P246" s="87" t="s">
        <v>372</v>
      </c>
    </row>
    <row r="247" ht="15.75" customHeight="1">
      <c r="A247" s="87" t="s">
        <v>1172</v>
      </c>
      <c r="B247" s="88">
        <v>1.22E18</v>
      </c>
      <c r="C247" s="87" t="s">
        <v>1173</v>
      </c>
      <c r="D247" s="87" t="s">
        <v>87</v>
      </c>
      <c r="E247" s="87" t="s">
        <v>88</v>
      </c>
      <c r="F247" s="87" t="s">
        <v>1173</v>
      </c>
      <c r="H247" s="87" t="s">
        <v>369</v>
      </c>
      <c r="I247" s="87" t="s">
        <v>327</v>
      </c>
      <c r="J247" s="87" t="s">
        <v>1062</v>
      </c>
      <c r="K247" s="90">
        <v>0.0</v>
      </c>
      <c r="L247" s="92"/>
      <c r="M247" s="87" t="s">
        <v>575</v>
      </c>
      <c r="N247" s="87" t="s">
        <v>390</v>
      </c>
      <c r="O247" s="87" t="s">
        <v>377</v>
      </c>
      <c r="P247" s="87" t="s">
        <v>372</v>
      </c>
    </row>
    <row r="248" ht="15.75" customHeight="1">
      <c r="A248" s="87" t="s">
        <v>1174</v>
      </c>
      <c r="B248" s="88">
        <v>1.22E18</v>
      </c>
      <c r="C248" s="87" t="s">
        <v>1175</v>
      </c>
      <c r="D248" s="87" t="s">
        <v>87</v>
      </c>
      <c r="E248" s="87" t="s">
        <v>233</v>
      </c>
      <c r="F248" s="87" t="s">
        <v>1175</v>
      </c>
      <c r="H248" s="87" t="s">
        <v>369</v>
      </c>
      <c r="I248" s="87" t="s">
        <v>327</v>
      </c>
      <c r="J248" s="87" t="s">
        <v>1176</v>
      </c>
      <c r="K248" s="90">
        <v>0.0</v>
      </c>
      <c r="L248" s="92"/>
      <c r="M248" s="87" t="s">
        <v>575</v>
      </c>
      <c r="N248" s="87" t="s">
        <v>390</v>
      </c>
      <c r="O248" s="87" t="s">
        <v>377</v>
      </c>
      <c r="P248" s="87" t="s">
        <v>372</v>
      </c>
    </row>
    <row r="249" ht="15.75" customHeight="1">
      <c r="A249" s="87" t="s">
        <v>1177</v>
      </c>
      <c r="B249" s="88">
        <v>1.22E18</v>
      </c>
      <c r="C249" s="87" t="s">
        <v>1178</v>
      </c>
      <c r="D249" s="87" t="s">
        <v>87</v>
      </c>
      <c r="E249" s="87" t="s">
        <v>88</v>
      </c>
      <c r="F249" s="87" t="s">
        <v>1178</v>
      </c>
      <c r="H249" s="87" t="s">
        <v>369</v>
      </c>
      <c r="I249" s="87" t="s">
        <v>340</v>
      </c>
      <c r="J249" s="87" t="s">
        <v>607</v>
      </c>
      <c r="K249" s="90">
        <v>0.0</v>
      </c>
      <c r="L249" s="92"/>
      <c r="M249" s="87" t="s">
        <v>575</v>
      </c>
      <c r="N249" s="87" t="s">
        <v>390</v>
      </c>
      <c r="O249" s="87" t="s">
        <v>377</v>
      </c>
      <c r="P249" s="87" t="s">
        <v>372</v>
      </c>
    </row>
    <row r="250" ht="15.75" customHeight="1">
      <c r="A250" s="87" t="s">
        <v>1179</v>
      </c>
      <c r="B250" s="88">
        <v>1.22E18</v>
      </c>
      <c r="C250" s="87" t="s">
        <v>1180</v>
      </c>
      <c r="D250" s="87" t="s">
        <v>87</v>
      </c>
      <c r="E250" s="87" t="s">
        <v>88</v>
      </c>
      <c r="F250" s="87" t="s">
        <v>1180</v>
      </c>
      <c r="H250" s="87" t="s">
        <v>369</v>
      </c>
      <c r="I250" s="87" t="s">
        <v>327</v>
      </c>
      <c r="J250" s="87" t="s">
        <v>1181</v>
      </c>
      <c r="K250" s="90">
        <v>0.0</v>
      </c>
      <c r="L250" s="92"/>
      <c r="M250" s="87" t="s">
        <v>575</v>
      </c>
      <c r="N250" s="87" t="s">
        <v>390</v>
      </c>
      <c r="O250" s="87" t="s">
        <v>377</v>
      </c>
      <c r="P250" s="87" t="s">
        <v>372</v>
      </c>
    </row>
    <row r="251" ht="15.75" customHeight="1">
      <c r="A251" s="87" t="s">
        <v>1182</v>
      </c>
      <c r="B251" s="88">
        <v>1.22E18</v>
      </c>
      <c r="C251" s="87" t="s">
        <v>1183</v>
      </c>
      <c r="D251" s="87" t="s">
        <v>87</v>
      </c>
      <c r="E251" s="87" t="s">
        <v>88</v>
      </c>
      <c r="F251" s="87" t="s">
        <v>1183</v>
      </c>
      <c r="H251" s="87" t="s">
        <v>369</v>
      </c>
      <c r="I251" s="87" t="s">
        <v>327</v>
      </c>
      <c r="J251" s="87" t="s">
        <v>1184</v>
      </c>
      <c r="K251" s="90">
        <v>0.0</v>
      </c>
      <c r="L251" s="92"/>
      <c r="M251" s="87" t="s">
        <v>575</v>
      </c>
      <c r="N251" s="87" t="s">
        <v>390</v>
      </c>
      <c r="O251" s="87" t="s">
        <v>377</v>
      </c>
      <c r="P251" s="87" t="s">
        <v>372</v>
      </c>
    </row>
    <row r="252" ht="15.75" customHeight="1">
      <c r="A252" s="87" t="s">
        <v>1185</v>
      </c>
      <c r="B252" s="88">
        <v>1.22E18</v>
      </c>
      <c r="C252" s="87" t="s">
        <v>1186</v>
      </c>
      <c r="D252" s="87" t="s">
        <v>87</v>
      </c>
      <c r="E252" s="87" t="s">
        <v>88</v>
      </c>
      <c r="F252" s="87" t="s">
        <v>1186</v>
      </c>
      <c r="H252" s="87" t="s">
        <v>369</v>
      </c>
      <c r="I252" s="87" t="s">
        <v>327</v>
      </c>
      <c r="J252" s="87" t="s">
        <v>1187</v>
      </c>
      <c r="K252" s="90">
        <v>0.0</v>
      </c>
      <c r="L252" s="92"/>
      <c r="M252" s="87" t="s">
        <v>575</v>
      </c>
      <c r="N252" s="87" t="s">
        <v>390</v>
      </c>
      <c r="O252" s="87" t="s">
        <v>377</v>
      </c>
      <c r="P252" s="87" t="s">
        <v>372</v>
      </c>
    </row>
    <row r="253" ht="15.75" customHeight="1">
      <c r="A253" s="87" t="s">
        <v>1188</v>
      </c>
      <c r="B253" s="88">
        <v>1.22E18</v>
      </c>
      <c r="C253" s="87" t="s">
        <v>1189</v>
      </c>
      <c r="D253" s="87" t="s">
        <v>87</v>
      </c>
      <c r="E253" s="87" t="s">
        <v>88</v>
      </c>
      <c r="F253" s="87" t="s">
        <v>1189</v>
      </c>
      <c r="H253" s="87" t="s">
        <v>369</v>
      </c>
      <c r="I253" s="87" t="s">
        <v>327</v>
      </c>
      <c r="J253" s="87" t="s">
        <v>675</v>
      </c>
      <c r="K253" s="90">
        <v>0.0</v>
      </c>
      <c r="L253" s="92"/>
      <c r="M253" s="87" t="s">
        <v>575</v>
      </c>
      <c r="N253" s="87" t="s">
        <v>390</v>
      </c>
      <c r="O253" s="87" t="s">
        <v>377</v>
      </c>
      <c r="P253" s="87" t="s">
        <v>372</v>
      </c>
    </row>
    <row r="254" ht="15.75" customHeight="1">
      <c r="A254" s="87" t="s">
        <v>1190</v>
      </c>
      <c r="B254" s="88">
        <v>1.22E18</v>
      </c>
      <c r="C254" s="87" t="s">
        <v>1191</v>
      </c>
      <c r="D254" s="87" t="s">
        <v>87</v>
      </c>
      <c r="E254" s="87" t="s">
        <v>88</v>
      </c>
      <c r="F254" s="118" t="s">
        <v>1191</v>
      </c>
      <c r="G254" s="119"/>
      <c r="H254" s="87" t="s">
        <v>369</v>
      </c>
      <c r="I254" s="87" t="s">
        <v>327</v>
      </c>
      <c r="J254" s="87" t="s">
        <v>1192</v>
      </c>
      <c r="K254" s="90">
        <v>0.0</v>
      </c>
      <c r="L254" s="92"/>
      <c r="M254" s="87" t="s">
        <v>575</v>
      </c>
      <c r="N254" s="87" t="s">
        <v>390</v>
      </c>
      <c r="O254" s="87" t="s">
        <v>377</v>
      </c>
      <c r="P254" s="87" t="s">
        <v>372</v>
      </c>
    </row>
    <row r="255" ht="15.75" customHeight="1">
      <c r="A255" s="87" t="s">
        <v>1193</v>
      </c>
      <c r="B255" s="88">
        <v>1.22E18</v>
      </c>
      <c r="C255" s="87" t="s">
        <v>1194</v>
      </c>
      <c r="D255" s="87" t="s">
        <v>87</v>
      </c>
      <c r="E255" s="87" t="s">
        <v>88</v>
      </c>
      <c r="F255" s="87" t="s">
        <v>1194</v>
      </c>
      <c r="H255" s="87" t="s">
        <v>369</v>
      </c>
      <c r="I255" s="87" t="s">
        <v>327</v>
      </c>
      <c r="J255" s="87" t="s">
        <v>1195</v>
      </c>
      <c r="K255" s="90">
        <v>0.0</v>
      </c>
      <c r="L255" s="92"/>
      <c r="M255" s="87" t="s">
        <v>575</v>
      </c>
      <c r="N255" s="87" t="s">
        <v>390</v>
      </c>
      <c r="O255" s="87" t="s">
        <v>377</v>
      </c>
      <c r="P255" s="87" t="s">
        <v>372</v>
      </c>
    </row>
    <row r="256" ht="15.75" customHeight="1">
      <c r="A256" s="87" t="s">
        <v>1196</v>
      </c>
      <c r="B256" s="88">
        <v>1.22E18</v>
      </c>
      <c r="C256" s="87" t="s">
        <v>1197</v>
      </c>
      <c r="D256" s="87" t="s">
        <v>87</v>
      </c>
      <c r="E256" s="87" t="s">
        <v>88</v>
      </c>
      <c r="F256" s="87" t="s">
        <v>1197</v>
      </c>
      <c r="H256" s="87" t="s">
        <v>369</v>
      </c>
      <c r="I256" s="87" t="s">
        <v>327</v>
      </c>
      <c r="J256" s="87" t="s">
        <v>1198</v>
      </c>
      <c r="K256" s="90">
        <v>0.0</v>
      </c>
      <c r="L256" s="92"/>
      <c r="M256" s="87" t="s">
        <v>575</v>
      </c>
      <c r="N256" s="87" t="s">
        <v>390</v>
      </c>
      <c r="O256" s="87" t="s">
        <v>377</v>
      </c>
      <c r="P256" s="87" t="s">
        <v>372</v>
      </c>
    </row>
    <row r="257" ht="15.75" customHeight="1">
      <c r="A257" s="87" t="s">
        <v>1199</v>
      </c>
      <c r="B257" s="88">
        <v>1.22E18</v>
      </c>
      <c r="C257" s="87" t="s">
        <v>1200</v>
      </c>
      <c r="D257" s="87" t="s">
        <v>87</v>
      </c>
      <c r="E257" s="87" t="s">
        <v>88</v>
      </c>
      <c r="F257" s="87" t="s">
        <v>1200</v>
      </c>
      <c r="H257" s="87" t="s">
        <v>369</v>
      </c>
      <c r="I257" s="87" t="s">
        <v>327</v>
      </c>
      <c r="J257" s="87" t="s">
        <v>1201</v>
      </c>
      <c r="K257" s="90">
        <v>0.0</v>
      </c>
      <c r="L257" s="92"/>
      <c r="M257" s="87" t="s">
        <v>575</v>
      </c>
      <c r="N257" s="87" t="s">
        <v>390</v>
      </c>
      <c r="O257" s="87" t="s">
        <v>377</v>
      </c>
      <c r="P257" s="87" t="s">
        <v>372</v>
      </c>
    </row>
    <row r="258" ht="15.75" customHeight="1">
      <c r="A258" s="87" t="s">
        <v>1202</v>
      </c>
      <c r="B258" s="88">
        <v>1.22E18</v>
      </c>
      <c r="C258" s="87" t="s">
        <v>1203</v>
      </c>
      <c r="D258" s="87" t="s">
        <v>87</v>
      </c>
      <c r="E258" s="87" t="s">
        <v>88</v>
      </c>
      <c r="F258" s="87" t="s">
        <v>1203</v>
      </c>
      <c r="H258" s="87" t="s">
        <v>1204</v>
      </c>
      <c r="I258" s="87" t="s">
        <v>327</v>
      </c>
      <c r="J258" s="87" t="s">
        <v>1205</v>
      </c>
      <c r="K258" s="90">
        <v>100000.0</v>
      </c>
      <c r="L258" s="92"/>
      <c r="M258" s="87" t="s">
        <v>575</v>
      </c>
      <c r="N258" s="87" t="s">
        <v>1206</v>
      </c>
      <c r="O258" s="87" t="s">
        <v>377</v>
      </c>
      <c r="P258" s="87" t="s">
        <v>372</v>
      </c>
    </row>
    <row r="259" ht="15.75" customHeight="1">
      <c r="A259" s="87" t="s">
        <v>1207</v>
      </c>
      <c r="B259" s="88">
        <v>1.22E18</v>
      </c>
      <c r="C259" s="87" t="s">
        <v>1208</v>
      </c>
      <c r="D259" s="87" t="s">
        <v>87</v>
      </c>
      <c r="E259" s="87" t="s">
        <v>88</v>
      </c>
      <c r="F259" s="87" t="s">
        <v>1208</v>
      </c>
      <c r="H259" s="87" t="s">
        <v>369</v>
      </c>
      <c r="I259" s="87" t="s">
        <v>327</v>
      </c>
      <c r="J259" s="87" t="s">
        <v>1209</v>
      </c>
      <c r="K259" s="90">
        <v>0.0</v>
      </c>
      <c r="L259" s="92"/>
      <c r="M259" s="87" t="s">
        <v>575</v>
      </c>
      <c r="N259" s="87" t="s">
        <v>390</v>
      </c>
      <c r="O259" s="87" t="s">
        <v>377</v>
      </c>
      <c r="P259" s="87" t="s">
        <v>372</v>
      </c>
    </row>
    <row r="260" ht="15.75" customHeight="1">
      <c r="A260" s="87" t="s">
        <v>1210</v>
      </c>
      <c r="B260" s="88">
        <v>1.22E18</v>
      </c>
      <c r="C260" s="87" t="s">
        <v>1211</v>
      </c>
      <c r="D260" s="87" t="s">
        <v>87</v>
      </c>
      <c r="E260" s="87" t="s">
        <v>88</v>
      </c>
      <c r="F260" s="87" t="s">
        <v>1211</v>
      </c>
      <c r="H260" s="87" t="s">
        <v>369</v>
      </c>
      <c r="I260" s="87" t="s">
        <v>327</v>
      </c>
      <c r="J260" s="87" t="s">
        <v>1212</v>
      </c>
      <c r="K260" s="90">
        <v>78000.0</v>
      </c>
      <c r="L260" s="92"/>
      <c r="M260" s="87" t="s">
        <v>575</v>
      </c>
      <c r="O260" s="87" t="s">
        <v>377</v>
      </c>
      <c r="P260" s="87" t="s">
        <v>372</v>
      </c>
    </row>
    <row r="261" ht="15.75" customHeight="1">
      <c r="A261" s="87" t="s">
        <v>1213</v>
      </c>
      <c r="B261" s="88">
        <v>1.22E18</v>
      </c>
      <c r="C261" s="87" t="s">
        <v>1214</v>
      </c>
      <c r="D261" s="87" t="s">
        <v>87</v>
      </c>
      <c r="E261" s="87" t="s">
        <v>88</v>
      </c>
      <c r="F261" s="87" t="s">
        <v>1214</v>
      </c>
      <c r="H261" s="87" t="s">
        <v>369</v>
      </c>
      <c r="I261" s="87" t="s">
        <v>327</v>
      </c>
      <c r="J261" s="87" t="s">
        <v>1215</v>
      </c>
      <c r="K261" s="90">
        <v>0.0</v>
      </c>
      <c r="L261" s="92"/>
      <c r="M261" s="87" t="s">
        <v>575</v>
      </c>
      <c r="N261" s="87" t="s">
        <v>390</v>
      </c>
      <c r="O261" s="87" t="s">
        <v>377</v>
      </c>
      <c r="P261" s="87" t="s">
        <v>372</v>
      </c>
    </row>
    <row r="262" ht="15.75" customHeight="1">
      <c r="A262" s="87" t="s">
        <v>1216</v>
      </c>
      <c r="B262" s="88">
        <v>1.22E18</v>
      </c>
      <c r="C262" s="87" t="s">
        <v>1217</v>
      </c>
      <c r="D262" s="87" t="s">
        <v>87</v>
      </c>
      <c r="E262" s="87" t="s">
        <v>88</v>
      </c>
      <c r="F262" s="87" t="s">
        <v>1217</v>
      </c>
      <c r="H262" s="87" t="s">
        <v>369</v>
      </c>
      <c r="I262" s="87" t="s">
        <v>327</v>
      </c>
      <c r="J262" s="87" t="s">
        <v>1218</v>
      </c>
      <c r="K262" s="90">
        <v>0.0</v>
      </c>
      <c r="L262" s="92"/>
      <c r="M262" s="87" t="s">
        <v>575</v>
      </c>
      <c r="N262" s="87" t="s">
        <v>390</v>
      </c>
      <c r="O262" s="87" t="s">
        <v>377</v>
      </c>
      <c r="P262" s="87" t="s">
        <v>372</v>
      </c>
    </row>
    <row r="263" ht="15.75" customHeight="1">
      <c r="A263" s="87" t="s">
        <v>1219</v>
      </c>
      <c r="B263" s="88">
        <v>1.22E18</v>
      </c>
      <c r="C263" s="87" t="s">
        <v>1220</v>
      </c>
      <c r="D263" s="87" t="s">
        <v>87</v>
      </c>
      <c r="E263" s="87" t="s">
        <v>88</v>
      </c>
      <c r="F263" s="118" t="s">
        <v>1220</v>
      </c>
      <c r="G263" s="119"/>
      <c r="H263" s="87" t="s">
        <v>369</v>
      </c>
      <c r="I263" s="87" t="s">
        <v>315</v>
      </c>
      <c r="J263" s="87" t="s">
        <v>1221</v>
      </c>
      <c r="K263" s="90">
        <v>0.0</v>
      </c>
      <c r="L263" s="92"/>
      <c r="M263" s="87" t="s">
        <v>575</v>
      </c>
      <c r="N263" s="87" t="s">
        <v>390</v>
      </c>
      <c r="O263" s="87" t="s">
        <v>377</v>
      </c>
      <c r="P263" s="87" t="s">
        <v>372</v>
      </c>
    </row>
    <row r="264" ht="15.75" customHeight="1">
      <c r="A264" s="87" t="s">
        <v>1222</v>
      </c>
      <c r="B264" s="88">
        <v>1.22E18</v>
      </c>
      <c r="C264" s="87" t="s">
        <v>1223</v>
      </c>
      <c r="D264" s="87" t="s">
        <v>87</v>
      </c>
      <c r="E264" s="87" t="s">
        <v>88</v>
      </c>
      <c r="F264" s="118" t="s">
        <v>1223</v>
      </c>
      <c r="G264" s="119"/>
      <c r="H264" s="87" t="s">
        <v>369</v>
      </c>
      <c r="I264" s="87" t="s">
        <v>315</v>
      </c>
      <c r="J264" s="87" t="s">
        <v>1224</v>
      </c>
      <c r="K264" s="90">
        <v>0.0</v>
      </c>
      <c r="L264" s="92"/>
      <c r="M264" s="87" t="s">
        <v>575</v>
      </c>
      <c r="N264" s="87" t="s">
        <v>390</v>
      </c>
      <c r="O264" s="87" t="s">
        <v>377</v>
      </c>
      <c r="P264" s="87" t="s">
        <v>372</v>
      </c>
    </row>
    <row r="265" ht="15.75" customHeight="1">
      <c r="A265" s="87" t="s">
        <v>1225</v>
      </c>
      <c r="B265" s="88">
        <v>1.22E18</v>
      </c>
      <c r="C265" s="87" t="s">
        <v>1226</v>
      </c>
      <c r="D265" s="87" t="s">
        <v>87</v>
      </c>
      <c r="E265" s="87" t="s">
        <v>88</v>
      </c>
      <c r="F265" s="87" t="s">
        <v>1226</v>
      </c>
      <c r="H265" s="87" t="s">
        <v>369</v>
      </c>
      <c r="I265" s="87" t="s">
        <v>327</v>
      </c>
      <c r="J265" s="87" t="s">
        <v>678</v>
      </c>
      <c r="K265" s="90">
        <v>0.0</v>
      </c>
      <c r="L265" s="92"/>
      <c r="M265" s="87" t="s">
        <v>575</v>
      </c>
      <c r="N265" s="87" t="s">
        <v>390</v>
      </c>
      <c r="O265" s="87" t="s">
        <v>377</v>
      </c>
      <c r="P265" s="87" t="s">
        <v>372</v>
      </c>
    </row>
    <row r="266" ht="15.75" customHeight="1">
      <c r="A266" s="87" t="s">
        <v>1227</v>
      </c>
      <c r="B266" s="88">
        <v>1.22E18</v>
      </c>
      <c r="C266" s="87" t="s">
        <v>1228</v>
      </c>
      <c r="D266" s="87" t="s">
        <v>87</v>
      </c>
      <c r="E266" s="87" t="s">
        <v>88</v>
      </c>
      <c r="F266" s="87" t="s">
        <v>1228</v>
      </c>
      <c r="H266" s="87" t="s">
        <v>369</v>
      </c>
      <c r="I266" s="87" t="s">
        <v>315</v>
      </c>
      <c r="J266" s="87" t="s">
        <v>1187</v>
      </c>
      <c r="K266" s="90">
        <v>25000.0</v>
      </c>
      <c r="L266" s="92"/>
      <c r="M266" s="87" t="s">
        <v>575</v>
      </c>
      <c r="N266" s="87" t="s">
        <v>390</v>
      </c>
      <c r="O266" s="87" t="s">
        <v>377</v>
      </c>
      <c r="P266" s="87" t="s">
        <v>372</v>
      </c>
    </row>
    <row r="267" ht="15.75" customHeight="1">
      <c r="A267" s="87" t="s">
        <v>1229</v>
      </c>
      <c r="B267" s="88">
        <v>1.22E18</v>
      </c>
      <c r="C267" s="87" t="s">
        <v>1230</v>
      </c>
      <c r="D267" s="87" t="s">
        <v>87</v>
      </c>
      <c r="E267" s="87" t="s">
        <v>88</v>
      </c>
      <c r="F267" s="87" t="s">
        <v>1230</v>
      </c>
      <c r="H267" s="87" t="s">
        <v>369</v>
      </c>
      <c r="I267" s="87" t="s">
        <v>327</v>
      </c>
      <c r="J267" s="87" t="s">
        <v>1231</v>
      </c>
      <c r="K267" s="90">
        <v>5000.0</v>
      </c>
      <c r="L267" s="92"/>
      <c r="M267" s="87" t="s">
        <v>575</v>
      </c>
      <c r="N267" s="87" t="s">
        <v>390</v>
      </c>
      <c r="O267" s="87" t="s">
        <v>377</v>
      </c>
      <c r="P267" s="87" t="s">
        <v>372</v>
      </c>
    </row>
    <row r="268" ht="15.75" customHeight="1">
      <c r="A268" s="87" t="s">
        <v>1232</v>
      </c>
      <c r="B268" s="88">
        <v>1.22E18</v>
      </c>
      <c r="C268" s="87" t="s">
        <v>1233</v>
      </c>
      <c r="D268" s="87" t="s">
        <v>87</v>
      </c>
      <c r="E268" s="87" t="s">
        <v>88</v>
      </c>
      <c r="F268" s="87" t="s">
        <v>1233</v>
      </c>
      <c r="H268" s="87" t="s">
        <v>1234</v>
      </c>
      <c r="I268" s="87" t="s">
        <v>327</v>
      </c>
      <c r="J268" s="87" t="s">
        <v>1235</v>
      </c>
      <c r="K268" s="90">
        <v>0.0</v>
      </c>
      <c r="L268" s="92"/>
      <c r="M268" s="87" t="s">
        <v>575</v>
      </c>
      <c r="O268" s="87" t="s">
        <v>377</v>
      </c>
      <c r="P268" s="87" t="s">
        <v>372</v>
      </c>
    </row>
    <row r="269" ht="15.75" customHeight="1">
      <c r="A269" s="87" t="s">
        <v>1236</v>
      </c>
      <c r="B269" s="88">
        <v>1.22E18</v>
      </c>
      <c r="C269" s="87" t="s">
        <v>1237</v>
      </c>
      <c r="D269" s="87" t="s">
        <v>87</v>
      </c>
      <c r="E269" s="87" t="s">
        <v>88</v>
      </c>
      <c r="F269" s="87" t="s">
        <v>1237</v>
      </c>
      <c r="H269" s="87" t="s">
        <v>369</v>
      </c>
      <c r="I269" s="87" t="s">
        <v>327</v>
      </c>
      <c r="J269" s="87" t="s">
        <v>959</v>
      </c>
      <c r="K269" s="90">
        <v>0.0</v>
      </c>
      <c r="L269" s="92"/>
      <c r="M269" s="87" t="s">
        <v>575</v>
      </c>
      <c r="N269" s="87" t="s">
        <v>390</v>
      </c>
      <c r="O269" s="87" t="s">
        <v>377</v>
      </c>
      <c r="P269" s="87" t="s">
        <v>372</v>
      </c>
    </row>
    <row r="270" ht="15.75" customHeight="1">
      <c r="A270" s="87" t="s">
        <v>1238</v>
      </c>
      <c r="B270" s="88">
        <v>1.22E18</v>
      </c>
      <c r="C270" s="87" t="s">
        <v>1239</v>
      </c>
      <c r="D270" s="87" t="s">
        <v>87</v>
      </c>
      <c r="E270" s="87" t="s">
        <v>88</v>
      </c>
      <c r="F270" s="87" t="s">
        <v>1239</v>
      </c>
      <c r="H270" s="87" t="s">
        <v>369</v>
      </c>
      <c r="I270" s="87" t="s">
        <v>327</v>
      </c>
      <c r="J270" s="87" t="s">
        <v>1240</v>
      </c>
      <c r="K270" s="90">
        <v>0.0</v>
      </c>
      <c r="L270" s="92"/>
      <c r="M270" s="87" t="s">
        <v>575</v>
      </c>
      <c r="N270" s="87" t="s">
        <v>390</v>
      </c>
      <c r="O270" s="87" t="s">
        <v>377</v>
      </c>
      <c r="P270" s="87" t="s">
        <v>372</v>
      </c>
    </row>
    <row r="271" ht="15.75" customHeight="1">
      <c r="A271" s="87" t="s">
        <v>1241</v>
      </c>
      <c r="B271" s="88">
        <v>1.22E18</v>
      </c>
      <c r="C271" s="87" t="s">
        <v>1242</v>
      </c>
      <c r="D271" s="87" t="s">
        <v>87</v>
      </c>
      <c r="E271" s="87" t="s">
        <v>88</v>
      </c>
      <c r="F271" s="87" t="s">
        <v>1242</v>
      </c>
      <c r="H271" s="87" t="s">
        <v>369</v>
      </c>
      <c r="I271" s="87" t="s">
        <v>327</v>
      </c>
      <c r="J271" s="87" t="s">
        <v>631</v>
      </c>
      <c r="K271" s="90">
        <v>20000.0</v>
      </c>
      <c r="L271" s="92"/>
      <c r="M271" s="87" t="s">
        <v>575</v>
      </c>
      <c r="N271" s="87" t="s">
        <v>390</v>
      </c>
      <c r="O271" s="87" t="s">
        <v>377</v>
      </c>
      <c r="P271" s="87" t="s">
        <v>372</v>
      </c>
    </row>
    <row r="272" ht="15.75" customHeight="1">
      <c r="A272" s="87" t="s">
        <v>1243</v>
      </c>
      <c r="B272" s="88">
        <v>1.22E18</v>
      </c>
      <c r="C272" s="87" t="s">
        <v>1244</v>
      </c>
      <c r="D272" s="87" t="s">
        <v>87</v>
      </c>
      <c r="E272" s="87" t="s">
        <v>102</v>
      </c>
      <c r="F272" s="87" t="s">
        <v>1244</v>
      </c>
      <c r="H272" s="87" t="s">
        <v>1136</v>
      </c>
      <c r="I272" s="87" t="s">
        <v>327</v>
      </c>
      <c r="J272" s="87" t="s">
        <v>1245</v>
      </c>
      <c r="K272" s="90">
        <v>0.0</v>
      </c>
      <c r="L272" s="92"/>
      <c r="M272" s="87" t="s">
        <v>575</v>
      </c>
      <c r="O272" s="87" t="s">
        <v>377</v>
      </c>
      <c r="P272" s="87" t="s">
        <v>372</v>
      </c>
    </row>
    <row r="273" ht="15.75" customHeight="1">
      <c r="A273" s="87" t="s">
        <v>1246</v>
      </c>
      <c r="B273" s="88">
        <v>1.22E18</v>
      </c>
      <c r="C273" s="87" t="s">
        <v>1247</v>
      </c>
      <c r="D273" s="87" t="s">
        <v>87</v>
      </c>
      <c r="E273" s="87" t="s">
        <v>88</v>
      </c>
      <c r="F273" s="87" t="s">
        <v>1247</v>
      </c>
      <c r="H273" s="87" t="s">
        <v>369</v>
      </c>
      <c r="I273" s="87" t="s">
        <v>327</v>
      </c>
      <c r="J273" s="87" t="s">
        <v>1248</v>
      </c>
      <c r="K273" s="90">
        <v>155000.0</v>
      </c>
      <c r="L273" s="92"/>
      <c r="M273" s="87" t="s">
        <v>575</v>
      </c>
      <c r="N273" s="87" t="s">
        <v>390</v>
      </c>
      <c r="O273" s="87" t="s">
        <v>377</v>
      </c>
      <c r="P273" s="87" t="s">
        <v>372</v>
      </c>
    </row>
    <row r="274" ht="15.75" customHeight="1">
      <c r="A274" s="87" t="s">
        <v>1249</v>
      </c>
      <c r="B274" s="88">
        <v>1.22E18</v>
      </c>
      <c r="C274" s="87" t="s">
        <v>1250</v>
      </c>
      <c r="D274" s="87" t="s">
        <v>87</v>
      </c>
      <c r="E274" s="87" t="s">
        <v>88</v>
      </c>
      <c r="F274" s="87" t="s">
        <v>1250</v>
      </c>
      <c r="H274" s="87" t="s">
        <v>1251</v>
      </c>
      <c r="I274" s="87" t="s">
        <v>327</v>
      </c>
      <c r="J274" s="87" t="s">
        <v>1140</v>
      </c>
      <c r="K274" s="90">
        <v>0.0</v>
      </c>
      <c r="L274" s="92"/>
      <c r="M274" s="87" t="s">
        <v>575</v>
      </c>
      <c r="O274" s="87" t="s">
        <v>377</v>
      </c>
      <c r="P274" s="87" t="s">
        <v>372</v>
      </c>
    </row>
    <row r="275" ht="15.75" customHeight="1">
      <c r="A275" s="87" t="s">
        <v>1252</v>
      </c>
      <c r="B275" s="88">
        <v>1.22E18</v>
      </c>
      <c r="C275" s="87" t="s">
        <v>1253</v>
      </c>
      <c r="D275" s="87" t="s">
        <v>87</v>
      </c>
      <c r="E275" s="87" t="s">
        <v>88</v>
      </c>
      <c r="F275" s="87" t="s">
        <v>1253</v>
      </c>
      <c r="H275" s="87" t="s">
        <v>369</v>
      </c>
      <c r="I275" s="87" t="s">
        <v>327</v>
      </c>
      <c r="J275" s="87" t="s">
        <v>601</v>
      </c>
      <c r="K275" s="90">
        <v>0.0</v>
      </c>
      <c r="L275" s="92"/>
      <c r="M275" s="87" t="s">
        <v>575</v>
      </c>
      <c r="N275" s="87" t="s">
        <v>390</v>
      </c>
      <c r="O275" s="87" t="s">
        <v>377</v>
      </c>
      <c r="P275" s="87" t="s">
        <v>372</v>
      </c>
    </row>
    <row r="276" ht="15.75" customHeight="1">
      <c r="A276" s="87" t="s">
        <v>1254</v>
      </c>
      <c r="B276" s="88">
        <v>1.22E18</v>
      </c>
      <c r="C276" s="87" t="s">
        <v>1255</v>
      </c>
      <c r="D276" s="87" t="s">
        <v>87</v>
      </c>
      <c r="E276" s="87" t="s">
        <v>88</v>
      </c>
      <c r="F276" s="87" t="s">
        <v>1255</v>
      </c>
      <c r="H276" s="87" t="s">
        <v>369</v>
      </c>
      <c r="I276" s="87" t="s">
        <v>327</v>
      </c>
      <c r="J276" s="87" t="s">
        <v>1256</v>
      </c>
      <c r="K276" s="90">
        <v>0.0</v>
      </c>
      <c r="L276" s="92"/>
      <c r="M276" s="87" t="s">
        <v>575</v>
      </c>
      <c r="N276" s="87" t="s">
        <v>390</v>
      </c>
      <c r="O276" s="87" t="s">
        <v>377</v>
      </c>
      <c r="P276" s="87" t="s">
        <v>372</v>
      </c>
    </row>
    <row r="277" ht="15.75" customHeight="1">
      <c r="A277" s="87" t="s">
        <v>1257</v>
      </c>
      <c r="B277" s="88">
        <v>1.22E18</v>
      </c>
      <c r="C277" s="87" t="s">
        <v>1258</v>
      </c>
      <c r="D277" s="87" t="s">
        <v>87</v>
      </c>
      <c r="E277" s="87" t="s">
        <v>88</v>
      </c>
      <c r="F277" s="87" t="s">
        <v>1258</v>
      </c>
      <c r="H277" s="87" t="s">
        <v>1259</v>
      </c>
      <c r="I277" s="87" t="s">
        <v>315</v>
      </c>
      <c r="J277" s="87" t="s">
        <v>931</v>
      </c>
      <c r="K277" s="90">
        <v>0.0</v>
      </c>
      <c r="L277" s="92"/>
      <c r="M277" s="87" t="s">
        <v>575</v>
      </c>
      <c r="O277" s="87" t="s">
        <v>377</v>
      </c>
      <c r="P277" s="87" t="s">
        <v>372</v>
      </c>
    </row>
    <row r="278" ht="15.75" customHeight="1">
      <c r="A278" s="87" t="s">
        <v>1260</v>
      </c>
      <c r="B278" s="88">
        <v>1.22E18</v>
      </c>
      <c r="C278" s="87" t="s">
        <v>1261</v>
      </c>
      <c r="D278" s="87" t="s">
        <v>87</v>
      </c>
      <c r="E278" s="87" t="s">
        <v>88</v>
      </c>
      <c r="F278" s="87" t="s">
        <v>1261</v>
      </c>
      <c r="H278" s="87" t="s">
        <v>369</v>
      </c>
      <c r="I278" s="87" t="s">
        <v>327</v>
      </c>
      <c r="J278" s="87" t="s">
        <v>488</v>
      </c>
      <c r="K278" s="90">
        <v>0.0</v>
      </c>
      <c r="L278" s="92"/>
      <c r="M278" s="87" t="s">
        <v>575</v>
      </c>
      <c r="N278" s="87" t="s">
        <v>390</v>
      </c>
      <c r="O278" s="87" t="s">
        <v>377</v>
      </c>
      <c r="P278" s="87" t="s">
        <v>372</v>
      </c>
    </row>
    <row r="279" ht="15.75" customHeight="1">
      <c r="A279" s="87" t="s">
        <v>1262</v>
      </c>
      <c r="B279" s="88">
        <v>1.22E18</v>
      </c>
      <c r="C279" s="87" t="s">
        <v>1263</v>
      </c>
      <c r="D279" s="87" t="s">
        <v>87</v>
      </c>
      <c r="E279" s="87" t="s">
        <v>88</v>
      </c>
      <c r="F279" s="87" t="s">
        <v>1263</v>
      </c>
      <c r="H279" s="87" t="s">
        <v>369</v>
      </c>
      <c r="I279" s="87" t="s">
        <v>327</v>
      </c>
      <c r="J279" s="87" t="s">
        <v>1264</v>
      </c>
      <c r="K279" s="90">
        <v>0.0</v>
      </c>
      <c r="L279" s="92"/>
      <c r="M279" s="87" t="s">
        <v>575</v>
      </c>
      <c r="N279" s="87" t="s">
        <v>390</v>
      </c>
      <c r="O279" s="87" t="s">
        <v>377</v>
      </c>
      <c r="P279" s="87" t="s">
        <v>372</v>
      </c>
    </row>
    <row r="280" ht="15.75" customHeight="1">
      <c r="A280" s="87" t="s">
        <v>1265</v>
      </c>
      <c r="B280" s="88">
        <v>1.22E18</v>
      </c>
      <c r="C280" s="87" t="s">
        <v>1266</v>
      </c>
      <c r="D280" s="87" t="s">
        <v>87</v>
      </c>
      <c r="E280" s="87" t="s">
        <v>88</v>
      </c>
      <c r="F280" s="87" t="s">
        <v>1266</v>
      </c>
      <c r="H280" s="87" t="s">
        <v>369</v>
      </c>
      <c r="I280" s="87" t="s">
        <v>327</v>
      </c>
      <c r="J280" s="87" t="s">
        <v>1215</v>
      </c>
      <c r="K280" s="90">
        <v>0.0</v>
      </c>
      <c r="L280" s="92"/>
      <c r="M280" s="87" t="s">
        <v>575</v>
      </c>
      <c r="N280" s="87" t="s">
        <v>390</v>
      </c>
      <c r="O280" s="87" t="s">
        <v>377</v>
      </c>
      <c r="P280" s="87" t="s">
        <v>372</v>
      </c>
    </row>
    <row r="281" ht="15.75" customHeight="1">
      <c r="A281" s="87" t="s">
        <v>1267</v>
      </c>
      <c r="B281" s="88">
        <v>1.22E18</v>
      </c>
      <c r="C281" s="87" t="s">
        <v>1268</v>
      </c>
      <c r="D281" s="87" t="s">
        <v>87</v>
      </c>
      <c r="E281" s="87" t="s">
        <v>88</v>
      </c>
      <c r="F281" s="87" t="s">
        <v>1268</v>
      </c>
      <c r="H281" s="87" t="s">
        <v>369</v>
      </c>
      <c r="I281" s="87" t="s">
        <v>315</v>
      </c>
      <c r="J281" s="87" t="s">
        <v>1269</v>
      </c>
      <c r="K281" s="90">
        <v>0.0</v>
      </c>
      <c r="L281" s="92"/>
      <c r="M281" s="87" t="s">
        <v>575</v>
      </c>
      <c r="N281" s="87" t="s">
        <v>390</v>
      </c>
      <c r="O281" s="87" t="s">
        <v>377</v>
      </c>
      <c r="P281" s="87" t="s">
        <v>372</v>
      </c>
    </row>
    <row r="282" ht="15.75" customHeight="1">
      <c r="A282" s="87" t="s">
        <v>1270</v>
      </c>
      <c r="B282" s="88">
        <v>1.22E18</v>
      </c>
      <c r="C282" s="87" t="s">
        <v>1271</v>
      </c>
      <c r="D282" s="87" t="s">
        <v>87</v>
      </c>
      <c r="E282" s="87" t="s">
        <v>88</v>
      </c>
      <c r="F282" s="118" t="s">
        <v>1271</v>
      </c>
      <c r="G282" s="119"/>
      <c r="H282" s="87" t="s">
        <v>369</v>
      </c>
      <c r="I282" s="87" t="s">
        <v>327</v>
      </c>
      <c r="J282" s="87" t="s">
        <v>1198</v>
      </c>
      <c r="K282" s="90">
        <v>100000.0</v>
      </c>
      <c r="L282" s="92"/>
      <c r="M282" s="87" t="s">
        <v>575</v>
      </c>
      <c r="N282" s="87" t="s">
        <v>390</v>
      </c>
      <c r="O282" s="87" t="s">
        <v>377</v>
      </c>
      <c r="P282" s="87" t="s">
        <v>372</v>
      </c>
    </row>
    <row r="283" ht="15.75" customHeight="1">
      <c r="A283" s="87" t="s">
        <v>1272</v>
      </c>
      <c r="B283" s="88">
        <v>1.22E18</v>
      </c>
      <c r="C283" s="87" t="s">
        <v>1273</v>
      </c>
      <c r="D283" s="87" t="s">
        <v>87</v>
      </c>
      <c r="E283" s="87" t="s">
        <v>88</v>
      </c>
      <c r="F283" s="87" t="s">
        <v>1273</v>
      </c>
      <c r="H283" s="87" t="s">
        <v>1274</v>
      </c>
      <c r="I283" s="87" t="s">
        <v>327</v>
      </c>
      <c r="J283" s="87" t="s">
        <v>1275</v>
      </c>
      <c r="K283" s="90">
        <v>0.0</v>
      </c>
      <c r="L283" s="92"/>
      <c r="M283" s="87" t="s">
        <v>575</v>
      </c>
      <c r="N283" s="87" t="s">
        <v>390</v>
      </c>
      <c r="O283" s="87" t="s">
        <v>377</v>
      </c>
      <c r="P283" s="87" t="s">
        <v>372</v>
      </c>
    </row>
    <row r="284" ht="15.75" customHeight="1">
      <c r="A284" s="87" t="s">
        <v>1276</v>
      </c>
      <c r="B284" s="88">
        <v>1.22E18</v>
      </c>
      <c r="C284" s="87" t="s">
        <v>1277</v>
      </c>
      <c r="D284" s="87" t="s">
        <v>87</v>
      </c>
      <c r="E284" s="87" t="s">
        <v>88</v>
      </c>
      <c r="F284" s="87" t="s">
        <v>1277</v>
      </c>
      <c r="H284" s="87" t="s">
        <v>369</v>
      </c>
      <c r="I284" s="87" t="s">
        <v>327</v>
      </c>
      <c r="J284" s="87" t="s">
        <v>1278</v>
      </c>
      <c r="K284" s="90">
        <v>0.0</v>
      </c>
      <c r="L284" s="92"/>
      <c r="M284" s="87" t="s">
        <v>575</v>
      </c>
      <c r="N284" s="87" t="s">
        <v>390</v>
      </c>
      <c r="O284" s="87" t="s">
        <v>377</v>
      </c>
      <c r="P284" s="87" t="s">
        <v>372</v>
      </c>
    </row>
    <row r="285" ht="15.75" customHeight="1">
      <c r="A285" s="87" t="s">
        <v>1279</v>
      </c>
      <c r="B285" s="88">
        <v>1.22E18</v>
      </c>
      <c r="C285" s="87" t="s">
        <v>1280</v>
      </c>
      <c r="D285" s="87" t="s">
        <v>87</v>
      </c>
      <c r="E285" s="87" t="s">
        <v>88</v>
      </c>
      <c r="F285" s="87" t="s">
        <v>1280</v>
      </c>
      <c r="H285" s="87" t="s">
        <v>369</v>
      </c>
      <c r="I285" s="87" t="s">
        <v>327</v>
      </c>
      <c r="J285" s="87" t="s">
        <v>1198</v>
      </c>
      <c r="K285" s="90">
        <v>0.0</v>
      </c>
      <c r="L285" s="92"/>
      <c r="M285" s="87" t="s">
        <v>575</v>
      </c>
      <c r="N285" s="87" t="s">
        <v>390</v>
      </c>
      <c r="O285" s="87" t="s">
        <v>377</v>
      </c>
      <c r="P285" s="87" t="s">
        <v>372</v>
      </c>
    </row>
    <row r="286" ht="15.75" customHeight="1">
      <c r="A286" s="87" t="s">
        <v>1281</v>
      </c>
      <c r="B286" s="88">
        <v>1.22E18</v>
      </c>
      <c r="C286" s="87" t="s">
        <v>1282</v>
      </c>
      <c r="D286" s="87" t="s">
        <v>87</v>
      </c>
      <c r="E286" s="87" t="s">
        <v>88</v>
      </c>
      <c r="F286" s="87" t="s">
        <v>373</v>
      </c>
      <c r="H286" s="87" t="s">
        <v>369</v>
      </c>
      <c r="I286" s="87" t="s">
        <v>327</v>
      </c>
      <c r="J286" s="87" t="s">
        <v>1159</v>
      </c>
      <c r="K286" s="90">
        <v>150000.0</v>
      </c>
      <c r="L286" s="92"/>
      <c r="M286" s="87" t="s">
        <v>575</v>
      </c>
      <c r="N286" s="87" t="s">
        <v>390</v>
      </c>
      <c r="O286" s="87" t="s">
        <v>377</v>
      </c>
      <c r="P286" s="87" t="s">
        <v>372</v>
      </c>
    </row>
    <row r="287" ht="15.75" customHeight="1">
      <c r="A287" s="87" t="s">
        <v>1283</v>
      </c>
      <c r="B287" s="88">
        <v>1.22E18</v>
      </c>
      <c r="C287" s="87" t="s">
        <v>1284</v>
      </c>
      <c r="D287" s="87" t="s">
        <v>87</v>
      </c>
      <c r="E287" s="87" t="s">
        <v>88</v>
      </c>
      <c r="F287" s="87" t="s">
        <v>1284</v>
      </c>
      <c r="H287" s="87" t="s">
        <v>369</v>
      </c>
      <c r="I287" s="87" t="s">
        <v>327</v>
      </c>
      <c r="J287" s="87" t="s">
        <v>405</v>
      </c>
      <c r="K287" s="90">
        <v>0.0</v>
      </c>
      <c r="L287" s="92"/>
      <c r="M287" s="87" t="s">
        <v>575</v>
      </c>
      <c r="N287" s="87" t="s">
        <v>390</v>
      </c>
      <c r="O287" s="87" t="s">
        <v>377</v>
      </c>
      <c r="P287" s="87" t="s">
        <v>372</v>
      </c>
    </row>
    <row r="288" ht="15.75" customHeight="1">
      <c r="A288" s="87" t="s">
        <v>1285</v>
      </c>
      <c r="B288" s="88">
        <v>1.22E18</v>
      </c>
      <c r="C288" s="87" t="s">
        <v>1286</v>
      </c>
      <c r="D288" s="87" t="s">
        <v>87</v>
      </c>
      <c r="E288" s="87" t="s">
        <v>241</v>
      </c>
      <c r="F288" s="87" t="s">
        <v>1286</v>
      </c>
      <c r="H288" s="87" t="s">
        <v>1287</v>
      </c>
      <c r="I288" s="87" t="s">
        <v>315</v>
      </c>
      <c r="J288" s="87" t="s">
        <v>689</v>
      </c>
      <c r="K288" s="90">
        <v>0.0</v>
      </c>
      <c r="L288" s="92"/>
      <c r="M288" s="87" t="s">
        <v>575</v>
      </c>
      <c r="O288" s="87" t="s">
        <v>377</v>
      </c>
      <c r="P288" s="87" t="s">
        <v>372</v>
      </c>
    </row>
    <row r="289" ht="15.75" customHeight="1">
      <c r="A289" s="87" t="s">
        <v>1288</v>
      </c>
      <c r="B289" s="88">
        <v>1.22E18</v>
      </c>
      <c r="C289" s="87" t="s">
        <v>1289</v>
      </c>
      <c r="D289" s="87" t="s">
        <v>87</v>
      </c>
      <c r="E289" s="87" t="s">
        <v>88</v>
      </c>
      <c r="F289" s="87" t="s">
        <v>1289</v>
      </c>
      <c r="H289" s="87" t="s">
        <v>369</v>
      </c>
      <c r="I289" s="87" t="s">
        <v>327</v>
      </c>
      <c r="J289" s="87" t="s">
        <v>1159</v>
      </c>
      <c r="K289" s="90">
        <v>170000.0</v>
      </c>
      <c r="L289" s="92"/>
      <c r="M289" s="87" t="s">
        <v>575</v>
      </c>
      <c r="N289" s="87" t="s">
        <v>390</v>
      </c>
      <c r="O289" s="87" t="s">
        <v>377</v>
      </c>
      <c r="P289" s="87" t="s">
        <v>372</v>
      </c>
    </row>
    <row r="290" ht="15.75" customHeight="1">
      <c r="A290" s="87" t="s">
        <v>1290</v>
      </c>
      <c r="B290" s="88">
        <v>1.22E18</v>
      </c>
      <c r="C290" s="87" t="s">
        <v>1291</v>
      </c>
      <c r="D290" s="87" t="s">
        <v>87</v>
      </c>
      <c r="E290" s="87" t="s">
        <v>88</v>
      </c>
      <c r="F290" s="87" t="s">
        <v>1291</v>
      </c>
      <c r="H290" s="87" t="s">
        <v>369</v>
      </c>
      <c r="I290" s="87" t="s">
        <v>327</v>
      </c>
      <c r="J290" s="87" t="s">
        <v>628</v>
      </c>
      <c r="K290" s="90">
        <v>300000.0</v>
      </c>
      <c r="L290" s="92"/>
      <c r="M290" s="87" t="s">
        <v>575</v>
      </c>
      <c r="N290" s="87" t="s">
        <v>390</v>
      </c>
      <c r="O290" s="87" t="s">
        <v>377</v>
      </c>
      <c r="P290" s="87" t="s">
        <v>372</v>
      </c>
    </row>
    <row r="291" ht="15.75" customHeight="1">
      <c r="A291" s="87" t="s">
        <v>1292</v>
      </c>
      <c r="B291" s="88">
        <v>1.22E18</v>
      </c>
      <c r="C291" s="87" t="s">
        <v>1293</v>
      </c>
      <c r="D291" s="87" t="s">
        <v>87</v>
      </c>
      <c r="E291" s="87" t="s">
        <v>88</v>
      </c>
      <c r="F291" s="87" t="s">
        <v>1293</v>
      </c>
      <c r="H291" s="87" t="s">
        <v>369</v>
      </c>
      <c r="I291" s="87" t="s">
        <v>327</v>
      </c>
      <c r="J291" s="87" t="s">
        <v>682</v>
      </c>
      <c r="K291" s="90">
        <v>0.0</v>
      </c>
      <c r="L291" s="92"/>
      <c r="M291" s="87" t="s">
        <v>575</v>
      </c>
      <c r="N291" s="87" t="s">
        <v>390</v>
      </c>
      <c r="O291" s="87" t="s">
        <v>377</v>
      </c>
      <c r="P291" s="87" t="s">
        <v>372</v>
      </c>
    </row>
    <row r="292" ht="15.75" customHeight="1">
      <c r="A292" s="87" t="s">
        <v>1294</v>
      </c>
      <c r="B292" s="88">
        <v>1.22E18</v>
      </c>
      <c r="C292" s="87" t="s">
        <v>1295</v>
      </c>
      <c r="D292" s="87" t="s">
        <v>87</v>
      </c>
      <c r="E292" s="87" t="s">
        <v>88</v>
      </c>
      <c r="F292" s="87" t="s">
        <v>1295</v>
      </c>
      <c r="H292" s="87" t="s">
        <v>369</v>
      </c>
      <c r="I292" s="87" t="s">
        <v>327</v>
      </c>
      <c r="J292" s="87" t="s">
        <v>1296</v>
      </c>
      <c r="K292" s="90">
        <v>200.0</v>
      </c>
      <c r="L292" s="92"/>
      <c r="M292" s="87" t="s">
        <v>575</v>
      </c>
      <c r="N292" s="87" t="s">
        <v>390</v>
      </c>
      <c r="O292" s="87" t="s">
        <v>377</v>
      </c>
      <c r="P292" s="87" t="s">
        <v>372</v>
      </c>
    </row>
    <row r="293" ht="15.75" customHeight="1">
      <c r="A293" s="87" t="s">
        <v>1297</v>
      </c>
      <c r="B293" s="88">
        <v>1.22E18</v>
      </c>
      <c r="C293" s="87" t="s">
        <v>1298</v>
      </c>
      <c r="D293" s="87" t="s">
        <v>87</v>
      </c>
      <c r="E293" s="87" t="s">
        <v>88</v>
      </c>
      <c r="F293" s="87" t="s">
        <v>1298</v>
      </c>
      <c r="H293" s="87" t="s">
        <v>369</v>
      </c>
      <c r="I293" s="87" t="s">
        <v>327</v>
      </c>
      <c r="J293" s="87" t="s">
        <v>965</v>
      </c>
      <c r="K293" s="90">
        <v>0.0</v>
      </c>
      <c r="L293" s="92"/>
      <c r="M293" s="87" t="s">
        <v>575</v>
      </c>
      <c r="N293" s="87" t="s">
        <v>390</v>
      </c>
      <c r="O293" s="87" t="s">
        <v>377</v>
      </c>
      <c r="P293" s="87" t="s">
        <v>372</v>
      </c>
    </row>
    <row r="294" ht="15.75" customHeight="1">
      <c r="A294" s="87" t="s">
        <v>1299</v>
      </c>
      <c r="B294" s="88">
        <v>1.22E18</v>
      </c>
      <c r="C294" s="87" t="s">
        <v>1300</v>
      </c>
      <c r="D294" s="87" t="s">
        <v>87</v>
      </c>
      <c r="E294" s="87" t="s">
        <v>88</v>
      </c>
      <c r="F294" s="87" t="s">
        <v>1300</v>
      </c>
      <c r="H294" s="87" t="s">
        <v>369</v>
      </c>
      <c r="I294" s="87" t="s">
        <v>327</v>
      </c>
      <c r="J294" s="87" t="s">
        <v>1301</v>
      </c>
      <c r="K294" s="90">
        <v>6000.0</v>
      </c>
      <c r="L294" s="92"/>
      <c r="M294" s="87" t="s">
        <v>575</v>
      </c>
      <c r="N294" s="87" t="s">
        <v>390</v>
      </c>
      <c r="O294" s="87" t="s">
        <v>377</v>
      </c>
      <c r="P294" s="87" t="s">
        <v>372</v>
      </c>
    </row>
    <row r="295" ht="15.75" customHeight="1">
      <c r="A295" s="87" t="s">
        <v>1302</v>
      </c>
      <c r="B295" s="88">
        <v>1.22E18</v>
      </c>
      <c r="C295" s="87" t="s">
        <v>1303</v>
      </c>
      <c r="D295" s="87" t="s">
        <v>87</v>
      </c>
      <c r="E295" s="87" t="s">
        <v>88</v>
      </c>
      <c r="F295" s="118" t="s">
        <v>1303</v>
      </c>
      <c r="G295" s="119"/>
      <c r="H295" s="87" t="s">
        <v>369</v>
      </c>
      <c r="I295" s="87" t="s">
        <v>327</v>
      </c>
      <c r="J295" s="87" t="s">
        <v>1304</v>
      </c>
      <c r="K295" s="90">
        <v>0.0</v>
      </c>
      <c r="L295" s="92"/>
      <c r="M295" s="87" t="s">
        <v>575</v>
      </c>
      <c r="N295" s="87" t="s">
        <v>390</v>
      </c>
      <c r="O295" s="87" t="s">
        <v>377</v>
      </c>
      <c r="P295" s="87" t="s">
        <v>372</v>
      </c>
    </row>
    <row r="296" ht="15.75" customHeight="1">
      <c r="A296" s="87" t="s">
        <v>1305</v>
      </c>
      <c r="B296" s="88">
        <v>1.22E18</v>
      </c>
      <c r="C296" s="87" t="s">
        <v>1306</v>
      </c>
      <c r="D296" s="87" t="s">
        <v>87</v>
      </c>
      <c r="E296" s="87" t="s">
        <v>88</v>
      </c>
      <c r="F296" s="87" t="s">
        <v>1306</v>
      </c>
      <c r="H296" s="87" t="s">
        <v>369</v>
      </c>
      <c r="I296" s="87" t="s">
        <v>327</v>
      </c>
      <c r="J296" s="87" t="s">
        <v>449</v>
      </c>
      <c r="K296" s="90">
        <v>0.0</v>
      </c>
      <c r="L296" s="92"/>
      <c r="M296" s="87" t="s">
        <v>575</v>
      </c>
      <c r="O296" s="87" t="s">
        <v>377</v>
      </c>
      <c r="P296" s="87" t="s">
        <v>372</v>
      </c>
    </row>
    <row r="297" ht="15.75" customHeight="1">
      <c r="A297" s="87" t="s">
        <v>1307</v>
      </c>
      <c r="B297" s="88">
        <v>1.22E18</v>
      </c>
      <c r="C297" s="87" t="s">
        <v>1308</v>
      </c>
      <c r="D297" s="87" t="s">
        <v>87</v>
      </c>
      <c r="E297" s="87" t="s">
        <v>88</v>
      </c>
      <c r="F297" s="87" t="s">
        <v>1308</v>
      </c>
      <c r="H297" s="87" t="s">
        <v>369</v>
      </c>
      <c r="I297" s="87" t="s">
        <v>327</v>
      </c>
      <c r="J297" s="87" t="s">
        <v>1156</v>
      </c>
      <c r="K297" s="90">
        <v>0.0</v>
      </c>
      <c r="L297" s="92"/>
      <c r="M297" s="87" t="s">
        <v>575</v>
      </c>
      <c r="N297" s="87" t="s">
        <v>390</v>
      </c>
      <c r="O297" s="87" t="s">
        <v>377</v>
      </c>
      <c r="P297" s="87" t="s">
        <v>372</v>
      </c>
    </row>
    <row r="298" ht="15.75" customHeight="1">
      <c r="A298" s="87" t="s">
        <v>1309</v>
      </c>
      <c r="B298" s="88">
        <v>1.22E18</v>
      </c>
      <c r="C298" s="87" t="s">
        <v>1310</v>
      </c>
      <c r="D298" s="87" t="s">
        <v>87</v>
      </c>
      <c r="E298" s="87" t="s">
        <v>88</v>
      </c>
      <c r="F298" s="87" t="s">
        <v>1310</v>
      </c>
      <c r="H298" s="87" t="s">
        <v>369</v>
      </c>
      <c r="I298" s="87" t="s">
        <v>327</v>
      </c>
      <c r="J298" s="87" t="s">
        <v>1311</v>
      </c>
      <c r="K298" s="90">
        <v>0.0</v>
      </c>
      <c r="L298" s="92"/>
      <c r="M298" s="87" t="s">
        <v>575</v>
      </c>
      <c r="N298" s="87" t="s">
        <v>390</v>
      </c>
      <c r="O298" s="87" t="s">
        <v>377</v>
      </c>
      <c r="P298" s="87" t="s">
        <v>372</v>
      </c>
    </row>
    <row r="299" ht="15.75" customHeight="1">
      <c r="A299" s="87" t="s">
        <v>1312</v>
      </c>
      <c r="B299" s="88">
        <v>1.22E18</v>
      </c>
      <c r="C299" s="87" t="s">
        <v>1313</v>
      </c>
      <c r="D299" s="87" t="s">
        <v>87</v>
      </c>
      <c r="E299" s="87" t="s">
        <v>88</v>
      </c>
      <c r="F299" s="87" t="s">
        <v>1313</v>
      </c>
      <c r="H299" s="87" t="s">
        <v>369</v>
      </c>
      <c r="I299" s="87" t="s">
        <v>327</v>
      </c>
      <c r="J299" s="87" t="s">
        <v>1314</v>
      </c>
      <c r="K299" s="90">
        <v>0.0</v>
      </c>
      <c r="L299" s="92"/>
      <c r="M299" s="87" t="s">
        <v>575</v>
      </c>
      <c r="N299" s="87" t="s">
        <v>390</v>
      </c>
      <c r="O299" s="87" t="s">
        <v>377</v>
      </c>
      <c r="P299" s="87" t="s">
        <v>372</v>
      </c>
    </row>
    <row r="300" ht="15.75" customHeight="1">
      <c r="A300" s="87" t="s">
        <v>1315</v>
      </c>
      <c r="B300" s="88">
        <v>1.22E18</v>
      </c>
      <c r="C300" s="87" t="s">
        <v>1316</v>
      </c>
      <c r="D300" s="87" t="s">
        <v>87</v>
      </c>
      <c r="E300" s="87" t="s">
        <v>88</v>
      </c>
      <c r="F300" s="87" t="s">
        <v>1316</v>
      </c>
      <c r="I300" s="87" t="s">
        <v>327</v>
      </c>
      <c r="J300" s="87" t="s">
        <v>405</v>
      </c>
      <c r="K300" s="90">
        <v>0.0</v>
      </c>
      <c r="L300" s="92"/>
      <c r="M300" s="87" t="s">
        <v>575</v>
      </c>
      <c r="N300" s="87" t="s">
        <v>390</v>
      </c>
      <c r="O300" s="87" t="s">
        <v>377</v>
      </c>
      <c r="P300" s="87" t="s">
        <v>372</v>
      </c>
    </row>
    <row r="301" ht="15.75" customHeight="1">
      <c r="A301" s="87" t="s">
        <v>1317</v>
      </c>
      <c r="B301" s="88">
        <v>1.22E18</v>
      </c>
      <c r="C301" s="87" t="s">
        <v>1318</v>
      </c>
      <c r="D301" s="87" t="s">
        <v>87</v>
      </c>
      <c r="E301" s="87" t="s">
        <v>88</v>
      </c>
      <c r="F301" s="87" t="s">
        <v>1318</v>
      </c>
      <c r="H301" s="87" t="s">
        <v>369</v>
      </c>
      <c r="I301" s="87" t="s">
        <v>327</v>
      </c>
      <c r="J301" s="87" t="s">
        <v>620</v>
      </c>
      <c r="K301" s="90">
        <v>0.0</v>
      </c>
      <c r="L301" s="92"/>
      <c r="M301" s="87" t="s">
        <v>575</v>
      </c>
      <c r="N301" s="87" t="s">
        <v>390</v>
      </c>
      <c r="O301" s="87" t="s">
        <v>377</v>
      </c>
      <c r="P301" s="87" t="s">
        <v>372</v>
      </c>
    </row>
    <row r="302" ht="15.75" customHeight="1">
      <c r="A302" s="87" t="s">
        <v>1319</v>
      </c>
      <c r="B302" s="88">
        <v>1.22E18</v>
      </c>
      <c r="C302" s="87" t="s">
        <v>1320</v>
      </c>
      <c r="D302" s="87" t="s">
        <v>87</v>
      </c>
      <c r="E302" s="87" t="s">
        <v>88</v>
      </c>
      <c r="F302" s="87" t="s">
        <v>1320</v>
      </c>
      <c r="H302" s="87" t="s">
        <v>369</v>
      </c>
      <c r="I302" s="87" t="s">
        <v>327</v>
      </c>
      <c r="J302" s="87" t="s">
        <v>405</v>
      </c>
      <c r="K302" s="90">
        <v>400000.0</v>
      </c>
      <c r="L302" s="92"/>
      <c r="M302" s="87" t="s">
        <v>575</v>
      </c>
      <c r="N302" s="87" t="s">
        <v>390</v>
      </c>
      <c r="O302" s="87" t="s">
        <v>377</v>
      </c>
      <c r="P302" s="87" t="s">
        <v>372</v>
      </c>
    </row>
    <row r="303" ht="15.75" customHeight="1">
      <c r="A303" s="87" t="s">
        <v>1321</v>
      </c>
      <c r="B303" s="88">
        <v>1.22E18</v>
      </c>
      <c r="C303" s="87" t="s">
        <v>1322</v>
      </c>
      <c r="D303" s="87" t="s">
        <v>87</v>
      </c>
      <c r="E303" s="87" t="s">
        <v>88</v>
      </c>
      <c r="F303" s="87" t="s">
        <v>1322</v>
      </c>
      <c r="H303" s="87" t="s">
        <v>369</v>
      </c>
      <c r="I303" s="87" t="s">
        <v>327</v>
      </c>
      <c r="J303" s="87" t="s">
        <v>405</v>
      </c>
      <c r="K303" s="90">
        <v>0.0</v>
      </c>
      <c r="L303" s="92"/>
      <c r="M303" s="87" t="s">
        <v>575</v>
      </c>
      <c r="N303" s="87" t="s">
        <v>390</v>
      </c>
      <c r="O303" s="87" t="s">
        <v>377</v>
      </c>
      <c r="P303" s="87" t="s">
        <v>372</v>
      </c>
    </row>
    <row r="304" ht="15.75" customHeight="1">
      <c r="A304" s="87" t="s">
        <v>1323</v>
      </c>
      <c r="B304" s="88">
        <v>1.22E18</v>
      </c>
      <c r="C304" s="87" t="s">
        <v>1324</v>
      </c>
      <c r="D304" s="87" t="s">
        <v>87</v>
      </c>
      <c r="E304" s="87" t="s">
        <v>88</v>
      </c>
      <c r="F304" s="87" t="s">
        <v>1324</v>
      </c>
      <c r="H304" s="87" t="s">
        <v>369</v>
      </c>
      <c r="I304" s="87" t="s">
        <v>327</v>
      </c>
      <c r="J304" s="87" t="s">
        <v>405</v>
      </c>
      <c r="K304" s="90">
        <v>0.0</v>
      </c>
      <c r="L304" s="92"/>
      <c r="M304" s="87" t="s">
        <v>575</v>
      </c>
      <c r="N304" s="87" t="s">
        <v>390</v>
      </c>
      <c r="O304" s="87" t="s">
        <v>377</v>
      </c>
      <c r="P304" s="87" t="s">
        <v>372</v>
      </c>
    </row>
    <row r="305" ht="15.75" customHeight="1">
      <c r="A305" s="87" t="s">
        <v>1325</v>
      </c>
      <c r="B305" s="88">
        <v>1.22E18</v>
      </c>
      <c r="C305" s="87" t="s">
        <v>1326</v>
      </c>
      <c r="D305" s="87" t="s">
        <v>87</v>
      </c>
      <c r="E305" s="87" t="s">
        <v>88</v>
      </c>
      <c r="F305" s="87" t="s">
        <v>1326</v>
      </c>
      <c r="H305" s="87" t="s">
        <v>369</v>
      </c>
      <c r="I305" s="87" t="s">
        <v>327</v>
      </c>
      <c r="J305" s="87" t="s">
        <v>405</v>
      </c>
      <c r="K305" s="90">
        <v>0.0</v>
      </c>
      <c r="L305" s="92"/>
      <c r="M305" s="87" t="s">
        <v>575</v>
      </c>
      <c r="N305" s="87" t="s">
        <v>390</v>
      </c>
      <c r="O305" s="87" t="s">
        <v>377</v>
      </c>
      <c r="P305" s="87" t="s">
        <v>372</v>
      </c>
    </row>
    <row r="306" ht="15.75" customHeight="1">
      <c r="A306" s="87" t="s">
        <v>1327</v>
      </c>
      <c r="B306" s="88">
        <v>1.22E18</v>
      </c>
      <c r="C306" s="87" t="s">
        <v>1328</v>
      </c>
      <c r="D306" s="87" t="s">
        <v>87</v>
      </c>
      <c r="E306" s="87" t="s">
        <v>88</v>
      </c>
      <c r="F306" s="87" t="s">
        <v>1328</v>
      </c>
      <c r="H306" s="87" t="s">
        <v>369</v>
      </c>
      <c r="I306" s="87" t="s">
        <v>327</v>
      </c>
      <c r="J306" s="87" t="s">
        <v>1198</v>
      </c>
      <c r="K306" s="90">
        <v>0.0</v>
      </c>
      <c r="L306" s="92"/>
      <c r="M306" s="87" t="s">
        <v>575</v>
      </c>
      <c r="N306" s="87" t="s">
        <v>390</v>
      </c>
      <c r="O306" s="87" t="s">
        <v>377</v>
      </c>
      <c r="P306" s="87" t="s">
        <v>372</v>
      </c>
    </row>
    <row r="307" ht="15.75" customHeight="1">
      <c r="A307" s="87" t="s">
        <v>1329</v>
      </c>
      <c r="B307" s="88">
        <v>1.22E18</v>
      </c>
      <c r="C307" s="87" t="s">
        <v>1330</v>
      </c>
      <c r="D307" s="87" t="s">
        <v>87</v>
      </c>
      <c r="E307" s="87" t="s">
        <v>88</v>
      </c>
      <c r="F307" s="87" t="s">
        <v>1330</v>
      </c>
      <c r="H307" s="87" t="s">
        <v>369</v>
      </c>
      <c r="I307" s="87" t="s">
        <v>327</v>
      </c>
      <c r="J307" s="87" t="s">
        <v>631</v>
      </c>
      <c r="K307" s="90">
        <v>0.0</v>
      </c>
      <c r="L307" s="92"/>
      <c r="M307" s="87" t="s">
        <v>575</v>
      </c>
      <c r="N307" s="87" t="s">
        <v>390</v>
      </c>
      <c r="O307" s="87" t="s">
        <v>377</v>
      </c>
      <c r="P307" s="87" t="s">
        <v>372</v>
      </c>
    </row>
    <row r="308" ht="15.75" customHeight="1">
      <c r="A308" s="87" t="s">
        <v>1331</v>
      </c>
      <c r="B308" s="88">
        <v>1.22E18</v>
      </c>
      <c r="C308" s="87" t="s">
        <v>1332</v>
      </c>
      <c r="D308" s="87" t="s">
        <v>87</v>
      </c>
      <c r="E308" s="87" t="s">
        <v>88</v>
      </c>
      <c r="F308" s="87" t="s">
        <v>1332</v>
      </c>
      <c r="H308" s="87" t="s">
        <v>688</v>
      </c>
      <c r="I308" s="87" t="s">
        <v>327</v>
      </c>
      <c r="J308" s="87" t="s">
        <v>1333</v>
      </c>
      <c r="K308" s="90">
        <v>0.0</v>
      </c>
      <c r="L308" s="92"/>
      <c r="M308" s="87" t="s">
        <v>575</v>
      </c>
      <c r="O308" s="87" t="s">
        <v>377</v>
      </c>
      <c r="P308" s="87" t="s">
        <v>372</v>
      </c>
    </row>
    <row r="309" ht="15.75" customHeight="1">
      <c r="A309" s="87" t="s">
        <v>1334</v>
      </c>
      <c r="B309" s="88">
        <v>1.22E18</v>
      </c>
      <c r="C309" s="87" t="s">
        <v>1335</v>
      </c>
      <c r="D309" s="87" t="s">
        <v>87</v>
      </c>
      <c r="E309" s="87" t="s">
        <v>88</v>
      </c>
      <c r="F309" s="87" t="s">
        <v>1335</v>
      </c>
      <c r="H309" s="87" t="s">
        <v>369</v>
      </c>
      <c r="I309" s="87" t="s">
        <v>327</v>
      </c>
      <c r="J309" s="87" t="s">
        <v>1336</v>
      </c>
      <c r="K309" s="90">
        <v>12500.0</v>
      </c>
      <c r="L309" s="92"/>
      <c r="M309" s="87" t="s">
        <v>575</v>
      </c>
      <c r="N309" s="87" t="s">
        <v>390</v>
      </c>
      <c r="O309" s="87" t="s">
        <v>371</v>
      </c>
      <c r="P309" s="87" t="s">
        <v>372</v>
      </c>
    </row>
    <row r="310" ht="15.75" customHeight="1">
      <c r="A310" s="87" t="s">
        <v>1337</v>
      </c>
      <c r="B310" s="88">
        <v>1.22E18</v>
      </c>
      <c r="C310" s="87" t="s">
        <v>1338</v>
      </c>
      <c r="D310" s="87" t="s">
        <v>87</v>
      </c>
      <c r="E310" s="87" t="s">
        <v>88</v>
      </c>
      <c r="F310" s="87" t="s">
        <v>1338</v>
      </c>
      <c r="H310" s="87" t="s">
        <v>369</v>
      </c>
      <c r="I310" s="87" t="s">
        <v>327</v>
      </c>
      <c r="J310" s="87" t="s">
        <v>1339</v>
      </c>
      <c r="K310" s="90">
        <v>100.0</v>
      </c>
      <c r="L310" s="92"/>
      <c r="M310" s="87" t="s">
        <v>575</v>
      </c>
      <c r="N310" s="87" t="s">
        <v>390</v>
      </c>
      <c r="O310" s="87" t="s">
        <v>377</v>
      </c>
      <c r="P310" s="87" t="s">
        <v>372</v>
      </c>
    </row>
    <row r="311" ht="15.75" customHeight="1">
      <c r="A311" s="87" t="s">
        <v>1340</v>
      </c>
      <c r="B311" s="88">
        <v>1.22E18</v>
      </c>
      <c r="C311" s="87" t="s">
        <v>1341</v>
      </c>
      <c r="D311" s="87" t="s">
        <v>87</v>
      </c>
      <c r="E311" s="87" t="s">
        <v>88</v>
      </c>
      <c r="F311" s="87" t="s">
        <v>1341</v>
      </c>
      <c r="H311" s="87" t="s">
        <v>1342</v>
      </c>
      <c r="I311" s="87" t="s">
        <v>327</v>
      </c>
      <c r="J311" s="87" t="s">
        <v>1343</v>
      </c>
      <c r="K311" s="90">
        <v>0.0</v>
      </c>
      <c r="L311" s="92"/>
      <c r="M311" s="87" t="s">
        <v>575</v>
      </c>
      <c r="N311" s="87" t="s">
        <v>390</v>
      </c>
      <c r="O311" s="87" t="s">
        <v>377</v>
      </c>
      <c r="P311" s="87" t="s">
        <v>372</v>
      </c>
    </row>
    <row r="312" ht="15.75" customHeight="1">
      <c r="A312" s="87" t="s">
        <v>1344</v>
      </c>
      <c r="B312" s="88">
        <v>1.22E18</v>
      </c>
      <c r="C312" s="87" t="s">
        <v>1345</v>
      </c>
      <c r="D312" s="87" t="s">
        <v>87</v>
      </c>
      <c r="E312" s="87" t="s">
        <v>102</v>
      </c>
      <c r="F312" s="87" t="s">
        <v>1345</v>
      </c>
      <c r="H312" s="87" t="s">
        <v>1346</v>
      </c>
      <c r="I312" s="87" t="s">
        <v>327</v>
      </c>
      <c r="J312" s="87" t="s">
        <v>1218</v>
      </c>
      <c r="K312" s="90">
        <v>90000.0</v>
      </c>
      <c r="L312" s="92"/>
      <c r="M312" s="87" t="s">
        <v>575</v>
      </c>
      <c r="O312" s="87" t="s">
        <v>377</v>
      </c>
      <c r="P312" s="87" t="s">
        <v>372</v>
      </c>
    </row>
    <row r="313" ht="15.75" customHeight="1">
      <c r="A313" s="87" t="s">
        <v>1347</v>
      </c>
      <c r="B313" s="88">
        <v>1.22E18</v>
      </c>
      <c r="C313" s="87" t="s">
        <v>1348</v>
      </c>
      <c r="D313" s="87" t="s">
        <v>87</v>
      </c>
      <c r="E313" s="87" t="s">
        <v>88</v>
      </c>
      <c r="F313" s="87" t="s">
        <v>1348</v>
      </c>
      <c r="H313" s="87" t="s">
        <v>369</v>
      </c>
      <c r="I313" s="87" t="s">
        <v>327</v>
      </c>
      <c r="J313" s="87" t="s">
        <v>1349</v>
      </c>
      <c r="K313" s="90">
        <v>0.0</v>
      </c>
      <c r="L313" s="92"/>
      <c r="M313" s="87" t="s">
        <v>575</v>
      </c>
      <c r="N313" s="87" t="s">
        <v>390</v>
      </c>
      <c r="O313" s="87" t="s">
        <v>377</v>
      </c>
      <c r="P313" s="87" t="s">
        <v>372</v>
      </c>
    </row>
    <row r="314" ht="15.75" customHeight="1">
      <c r="A314" s="87" t="s">
        <v>1350</v>
      </c>
      <c r="B314" s="88">
        <v>1.22E18</v>
      </c>
      <c r="C314" s="87" t="s">
        <v>1351</v>
      </c>
      <c r="D314" s="87" t="s">
        <v>87</v>
      </c>
      <c r="E314" s="87" t="s">
        <v>88</v>
      </c>
      <c r="F314" s="87" t="s">
        <v>1351</v>
      </c>
      <c r="H314" s="87" t="s">
        <v>369</v>
      </c>
      <c r="I314" s="87" t="s">
        <v>327</v>
      </c>
      <c r="J314" s="87" t="s">
        <v>405</v>
      </c>
      <c r="K314" s="90">
        <v>0.0</v>
      </c>
      <c r="L314" s="92"/>
      <c r="M314" s="87" t="s">
        <v>575</v>
      </c>
      <c r="N314" s="87" t="s">
        <v>390</v>
      </c>
      <c r="O314" s="87" t="s">
        <v>377</v>
      </c>
      <c r="P314" s="87" t="s">
        <v>372</v>
      </c>
    </row>
    <row r="315" ht="15.75" customHeight="1">
      <c r="A315" s="87" t="s">
        <v>1352</v>
      </c>
      <c r="B315" s="88">
        <v>1.22E18</v>
      </c>
      <c r="C315" s="87" t="s">
        <v>1353</v>
      </c>
      <c r="D315" s="87" t="s">
        <v>87</v>
      </c>
      <c r="E315" s="87" t="s">
        <v>88</v>
      </c>
      <c r="F315" s="87" t="s">
        <v>1353</v>
      </c>
      <c r="H315" s="87" t="s">
        <v>369</v>
      </c>
      <c r="I315" s="87" t="s">
        <v>327</v>
      </c>
      <c r="J315" s="87" t="s">
        <v>1354</v>
      </c>
      <c r="K315" s="90">
        <v>0.0</v>
      </c>
      <c r="L315" s="92"/>
      <c r="M315" s="87" t="s">
        <v>575</v>
      </c>
      <c r="N315" s="87" t="s">
        <v>390</v>
      </c>
      <c r="O315" s="87" t="s">
        <v>377</v>
      </c>
      <c r="P315" s="87" t="s">
        <v>372</v>
      </c>
    </row>
    <row r="316" ht="15.75" customHeight="1">
      <c r="A316" s="87" t="s">
        <v>1355</v>
      </c>
      <c r="B316" s="88">
        <v>1.22E18</v>
      </c>
      <c r="C316" s="87" t="s">
        <v>1356</v>
      </c>
      <c r="D316" s="87" t="s">
        <v>87</v>
      </c>
      <c r="E316" s="87" t="s">
        <v>102</v>
      </c>
      <c r="F316" s="87" t="s">
        <v>1356</v>
      </c>
      <c r="H316" s="87" t="s">
        <v>1136</v>
      </c>
      <c r="I316" s="87" t="s">
        <v>327</v>
      </c>
      <c r="J316" s="87" t="s">
        <v>631</v>
      </c>
      <c r="K316" s="90">
        <v>0.0</v>
      </c>
      <c r="L316" s="92"/>
      <c r="M316" s="87" t="s">
        <v>575</v>
      </c>
      <c r="O316" s="87" t="s">
        <v>377</v>
      </c>
      <c r="P316" s="87" t="s">
        <v>372</v>
      </c>
    </row>
    <row r="317" ht="15.75" customHeight="1">
      <c r="A317" s="87" t="s">
        <v>1357</v>
      </c>
      <c r="B317" s="88">
        <v>1.22E18</v>
      </c>
      <c r="C317" s="87" t="s">
        <v>1358</v>
      </c>
      <c r="D317" s="87" t="s">
        <v>87</v>
      </c>
      <c r="E317" s="87" t="s">
        <v>88</v>
      </c>
      <c r="F317" s="87" t="s">
        <v>373</v>
      </c>
      <c r="H317" s="87" t="s">
        <v>369</v>
      </c>
      <c r="I317" s="87" t="s">
        <v>327</v>
      </c>
      <c r="J317" s="87" t="s">
        <v>1159</v>
      </c>
      <c r="K317" s="90">
        <v>650000.0</v>
      </c>
      <c r="L317" s="92"/>
      <c r="M317" s="87" t="s">
        <v>575</v>
      </c>
      <c r="N317" s="87" t="s">
        <v>390</v>
      </c>
      <c r="O317" s="87" t="s">
        <v>377</v>
      </c>
      <c r="P317" s="87" t="s">
        <v>372</v>
      </c>
    </row>
    <row r="318" ht="15.75" customHeight="1">
      <c r="A318" s="87" t="s">
        <v>1359</v>
      </c>
      <c r="B318" s="88">
        <v>1.22E18</v>
      </c>
      <c r="C318" s="87" t="s">
        <v>1360</v>
      </c>
      <c r="D318" s="87" t="s">
        <v>87</v>
      </c>
      <c r="E318" s="87" t="s">
        <v>88</v>
      </c>
      <c r="F318" s="87" t="s">
        <v>1360</v>
      </c>
      <c r="H318" s="87" t="s">
        <v>688</v>
      </c>
      <c r="I318" s="87" t="s">
        <v>327</v>
      </c>
      <c r="J318" s="87" t="s">
        <v>1159</v>
      </c>
      <c r="K318" s="90">
        <v>0.0</v>
      </c>
      <c r="L318" s="92"/>
      <c r="M318" s="87" t="s">
        <v>575</v>
      </c>
      <c r="O318" s="87" t="s">
        <v>377</v>
      </c>
      <c r="P318" s="87" t="s">
        <v>372</v>
      </c>
    </row>
    <row r="319" ht="15.75" customHeight="1">
      <c r="A319" s="87" t="s">
        <v>1361</v>
      </c>
      <c r="B319" s="88">
        <v>1.22E18</v>
      </c>
      <c r="C319" s="87" t="s">
        <v>1362</v>
      </c>
      <c r="D319" s="87" t="s">
        <v>87</v>
      </c>
      <c r="E319" s="87" t="s">
        <v>88</v>
      </c>
      <c r="F319" s="87" t="s">
        <v>1362</v>
      </c>
      <c r="H319" s="87" t="s">
        <v>369</v>
      </c>
      <c r="I319" s="87" t="s">
        <v>327</v>
      </c>
      <c r="J319" s="87" t="s">
        <v>1159</v>
      </c>
      <c r="K319" s="90">
        <v>60000.0</v>
      </c>
      <c r="L319" s="92"/>
      <c r="M319" s="87" t="s">
        <v>575</v>
      </c>
      <c r="N319" s="87" t="s">
        <v>390</v>
      </c>
      <c r="O319" s="87" t="s">
        <v>377</v>
      </c>
      <c r="P319" s="87" t="s">
        <v>372</v>
      </c>
    </row>
    <row r="320" ht="15.75" customHeight="1">
      <c r="A320" s="87" t="s">
        <v>1363</v>
      </c>
      <c r="B320" s="88">
        <v>1.22E18</v>
      </c>
      <c r="C320" s="87" t="s">
        <v>1364</v>
      </c>
      <c r="D320" s="87" t="s">
        <v>87</v>
      </c>
      <c r="E320" s="87" t="s">
        <v>88</v>
      </c>
      <c r="F320" s="118" t="s">
        <v>1364</v>
      </c>
      <c r="G320" s="119"/>
      <c r="H320" s="87" t="s">
        <v>369</v>
      </c>
      <c r="I320" s="87" t="s">
        <v>327</v>
      </c>
      <c r="J320" s="87" t="s">
        <v>1184</v>
      </c>
      <c r="K320" s="90">
        <v>0.0</v>
      </c>
      <c r="L320" s="92"/>
      <c r="M320" s="87" t="s">
        <v>575</v>
      </c>
      <c r="N320" s="87" t="s">
        <v>390</v>
      </c>
      <c r="O320" s="87" t="s">
        <v>377</v>
      </c>
      <c r="P320" s="87" t="s">
        <v>372</v>
      </c>
    </row>
    <row r="321" ht="15.75" customHeight="1">
      <c r="A321" s="87" t="s">
        <v>1365</v>
      </c>
      <c r="B321" s="88">
        <v>1.22E18</v>
      </c>
      <c r="C321" s="87" t="s">
        <v>1366</v>
      </c>
      <c r="D321" s="87" t="s">
        <v>87</v>
      </c>
      <c r="E321" s="87" t="s">
        <v>88</v>
      </c>
      <c r="F321" s="87" t="s">
        <v>1366</v>
      </c>
      <c r="H321" s="87" t="s">
        <v>369</v>
      </c>
      <c r="I321" s="87" t="s">
        <v>327</v>
      </c>
      <c r="J321" s="87" t="s">
        <v>1162</v>
      </c>
      <c r="K321" s="90">
        <v>0.0</v>
      </c>
      <c r="L321" s="92"/>
      <c r="M321" s="87" t="s">
        <v>575</v>
      </c>
      <c r="N321" s="87" t="s">
        <v>390</v>
      </c>
      <c r="O321" s="87" t="s">
        <v>377</v>
      </c>
      <c r="P321" s="87" t="s">
        <v>372</v>
      </c>
    </row>
    <row r="322" ht="15.75" customHeight="1">
      <c r="A322" s="87" t="s">
        <v>1367</v>
      </c>
      <c r="B322" s="88">
        <v>1.22E18</v>
      </c>
      <c r="C322" s="87" t="s">
        <v>1368</v>
      </c>
      <c r="D322" s="87" t="s">
        <v>87</v>
      </c>
      <c r="E322" s="87" t="s">
        <v>88</v>
      </c>
      <c r="F322" s="87" t="s">
        <v>1368</v>
      </c>
      <c r="H322" s="87" t="s">
        <v>369</v>
      </c>
      <c r="I322" s="87" t="s">
        <v>327</v>
      </c>
      <c r="J322" s="87" t="s">
        <v>405</v>
      </c>
      <c r="K322" s="90">
        <v>0.0</v>
      </c>
      <c r="L322" s="92"/>
      <c r="M322" s="87" t="s">
        <v>575</v>
      </c>
      <c r="N322" s="87" t="s">
        <v>390</v>
      </c>
      <c r="O322" s="87" t="s">
        <v>377</v>
      </c>
      <c r="P322" s="87" t="s">
        <v>372</v>
      </c>
    </row>
    <row r="323" ht="15.75" customHeight="1">
      <c r="A323" s="87" t="s">
        <v>1369</v>
      </c>
      <c r="B323" s="88">
        <v>1.22E18</v>
      </c>
      <c r="C323" s="87" t="s">
        <v>1370</v>
      </c>
      <c r="D323" s="87" t="s">
        <v>87</v>
      </c>
      <c r="E323" s="87" t="s">
        <v>88</v>
      </c>
      <c r="F323" s="118" t="s">
        <v>1370</v>
      </c>
      <c r="G323" s="119"/>
      <c r="H323" s="87" t="s">
        <v>369</v>
      </c>
      <c r="I323" s="87" t="s">
        <v>327</v>
      </c>
      <c r="J323" s="87" t="s">
        <v>1198</v>
      </c>
      <c r="K323" s="90">
        <v>0.0</v>
      </c>
      <c r="L323" s="92"/>
      <c r="M323" s="87" t="s">
        <v>575</v>
      </c>
      <c r="N323" s="87" t="s">
        <v>390</v>
      </c>
      <c r="O323" s="87" t="s">
        <v>377</v>
      </c>
      <c r="P323" s="87" t="s">
        <v>372</v>
      </c>
    </row>
    <row r="324" ht="15.75" customHeight="1">
      <c r="A324" s="87" t="s">
        <v>1371</v>
      </c>
      <c r="B324" s="88">
        <v>1.22E18</v>
      </c>
      <c r="C324" s="87" t="s">
        <v>1372</v>
      </c>
      <c r="D324" s="87" t="s">
        <v>87</v>
      </c>
      <c r="E324" s="87" t="s">
        <v>88</v>
      </c>
      <c r="F324" s="87" t="s">
        <v>1372</v>
      </c>
      <c r="H324" s="87" t="s">
        <v>369</v>
      </c>
      <c r="I324" s="87" t="s">
        <v>327</v>
      </c>
      <c r="J324" s="87" t="s">
        <v>1062</v>
      </c>
      <c r="K324" s="90">
        <v>15000.0</v>
      </c>
      <c r="L324" s="92"/>
      <c r="M324" s="87" t="s">
        <v>575</v>
      </c>
      <c r="N324" s="87" t="s">
        <v>390</v>
      </c>
      <c r="O324" s="87" t="s">
        <v>377</v>
      </c>
      <c r="P324" s="87" t="s">
        <v>372</v>
      </c>
    </row>
    <row r="325" ht="15.75" customHeight="1">
      <c r="A325" s="87" t="s">
        <v>1373</v>
      </c>
      <c r="B325" s="88">
        <v>1.22E18</v>
      </c>
      <c r="C325" s="87" t="s">
        <v>1374</v>
      </c>
      <c r="D325" s="87" t="s">
        <v>87</v>
      </c>
      <c r="E325" s="87" t="s">
        <v>88</v>
      </c>
      <c r="F325" s="87" t="s">
        <v>1374</v>
      </c>
      <c r="H325" s="87" t="s">
        <v>369</v>
      </c>
      <c r="I325" s="87" t="s">
        <v>327</v>
      </c>
      <c r="J325" s="87" t="s">
        <v>1205</v>
      </c>
      <c r="K325" s="90">
        <v>0.0</v>
      </c>
      <c r="L325" s="92"/>
      <c r="M325" s="87" t="s">
        <v>575</v>
      </c>
      <c r="N325" s="87" t="s">
        <v>390</v>
      </c>
      <c r="O325" s="87" t="s">
        <v>377</v>
      </c>
      <c r="P325" s="87" t="s">
        <v>372</v>
      </c>
    </row>
    <row r="326" ht="15.75" customHeight="1">
      <c r="A326" s="87" t="s">
        <v>1375</v>
      </c>
      <c r="B326" s="88">
        <v>1.22E18</v>
      </c>
      <c r="C326" s="87" t="s">
        <v>1376</v>
      </c>
      <c r="D326" s="87" t="s">
        <v>87</v>
      </c>
      <c r="E326" s="87" t="s">
        <v>88</v>
      </c>
      <c r="F326" s="87" t="s">
        <v>861</v>
      </c>
      <c r="G326" s="93"/>
      <c r="H326" s="87" t="s">
        <v>369</v>
      </c>
      <c r="I326" s="87" t="s">
        <v>327</v>
      </c>
      <c r="J326" s="87" t="s">
        <v>631</v>
      </c>
      <c r="K326" s="90">
        <v>0.0</v>
      </c>
      <c r="L326" s="92"/>
      <c r="M326" s="87" t="s">
        <v>575</v>
      </c>
      <c r="N326" s="87" t="s">
        <v>390</v>
      </c>
      <c r="O326" s="87" t="s">
        <v>377</v>
      </c>
      <c r="P326" s="87" t="s">
        <v>372</v>
      </c>
    </row>
    <row r="327" ht="15.75" customHeight="1">
      <c r="A327" s="87" t="s">
        <v>1377</v>
      </c>
      <c r="B327" s="88">
        <v>1.22E18</v>
      </c>
      <c r="C327" s="87" t="s">
        <v>1378</v>
      </c>
      <c r="D327" s="87" t="s">
        <v>87</v>
      </c>
      <c r="E327" s="87" t="s">
        <v>88</v>
      </c>
      <c r="F327" s="87" t="s">
        <v>1378</v>
      </c>
      <c r="H327" s="87" t="s">
        <v>1251</v>
      </c>
      <c r="I327" s="87" t="s">
        <v>327</v>
      </c>
      <c r="J327" s="87" t="s">
        <v>1379</v>
      </c>
      <c r="K327" s="90">
        <v>0.0</v>
      </c>
      <c r="L327" s="92"/>
      <c r="M327" s="87" t="s">
        <v>575</v>
      </c>
      <c r="O327" s="87" t="s">
        <v>377</v>
      </c>
      <c r="P327" s="87" t="s">
        <v>372</v>
      </c>
    </row>
    <row r="328" ht="15.75" customHeight="1">
      <c r="A328" s="87" t="s">
        <v>1380</v>
      </c>
      <c r="B328" s="88">
        <v>1.22E18</v>
      </c>
      <c r="C328" s="87" t="s">
        <v>1381</v>
      </c>
      <c r="D328" s="87" t="s">
        <v>87</v>
      </c>
      <c r="E328" s="87" t="s">
        <v>88</v>
      </c>
      <c r="F328" s="87" t="s">
        <v>1381</v>
      </c>
      <c r="H328" s="87" t="s">
        <v>369</v>
      </c>
      <c r="I328" s="87" t="s">
        <v>327</v>
      </c>
      <c r="J328" s="87" t="s">
        <v>1000</v>
      </c>
      <c r="K328" s="90">
        <v>150000.0</v>
      </c>
      <c r="L328" s="92"/>
      <c r="M328" s="87" t="s">
        <v>575</v>
      </c>
      <c r="N328" s="87" t="s">
        <v>390</v>
      </c>
      <c r="O328" s="87" t="s">
        <v>377</v>
      </c>
      <c r="P328" s="87" t="s">
        <v>372</v>
      </c>
    </row>
    <row r="329" ht="15.75" customHeight="1">
      <c r="A329" s="87" t="s">
        <v>1382</v>
      </c>
      <c r="B329" s="88">
        <v>1.22E18</v>
      </c>
      <c r="C329" s="87" t="s">
        <v>1383</v>
      </c>
      <c r="D329" s="87" t="s">
        <v>87</v>
      </c>
      <c r="E329" s="87" t="s">
        <v>88</v>
      </c>
      <c r="F329" s="87" t="s">
        <v>1383</v>
      </c>
      <c r="H329" s="87" t="s">
        <v>369</v>
      </c>
      <c r="I329" s="87" t="s">
        <v>327</v>
      </c>
      <c r="J329" s="87" t="s">
        <v>631</v>
      </c>
      <c r="K329" s="90">
        <v>100000.0</v>
      </c>
      <c r="L329" s="92"/>
      <c r="M329" s="87" t="s">
        <v>575</v>
      </c>
      <c r="N329" s="87" t="s">
        <v>390</v>
      </c>
      <c r="O329" s="87" t="s">
        <v>377</v>
      </c>
      <c r="P329" s="87" t="s">
        <v>372</v>
      </c>
    </row>
    <row r="330" ht="15.75" customHeight="1">
      <c r="A330" s="87" t="s">
        <v>1384</v>
      </c>
      <c r="B330" s="88">
        <v>1.22E18</v>
      </c>
      <c r="C330" s="87" t="s">
        <v>1385</v>
      </c>
      <c r="D330" s="87" t="s">
        <v>87</v>
      </c>
      <c r="E330" s="87" t="s">
        <v>88</v>
      </c>
      <c r="F330" s="87" t="s">
        <v>1385</v>
      </c>
      <c r="H330" s="87" t="s">
        <v>369</v>
      </c>
      <c r="I330" s="87" t="s">
        <v>327</v>
      </c>
      <c r="J330" s="87" t="s">
        <v>1162</v>
      </c>
      <c r="K330" s="90">
        <v>0.0</v>
      </c>
      <c r="L330" s="92"/>
      <c r="M330" s="87" t="s">
        <v>575</v>
      </c>
      <c r="N330" s="87" t="s">
        <v>390</v>
      </c>
      <c r="O330" s="87" t="s">
        <v>377</v>
      </c>
      <c r="P330" s="87" t="s">
        <v>372</v>
      </c>
    </row>
    <row r="331" ht="15.75" customHeight="1">
      <c r="A331" s="87" t="s">
        <v>1386</v>
      </c>
      <c r="B331" s="88">
        <v>1.22E18</v>
      </c>
      <c r="C331" s="87" t="s">
        <v>1387</v>
      </c>
      <c r="D331" s="87" t="s">
        <v>87</v>
      </c>
      <c r="E331" s="87" t="s">
        <v>88</v>
      </c>
      <c r="F331" s="87" t="s">
        <v>1387</v>
      </c>
      <c r="H331" s="87" t="s">
        <v>369</v>
      </c>
      <c r="I331" s="87" t="s">
        <v>327</v>
      </c>
      <c r="J331" s="87" t="s">
        <v>405</v>
      </c>
      <c r="K331" s="90">
        <v>180000.0</v>
      </c>
      <c r="L331" s="92"/>
      <c r="M331" s="87" t="s">
        <v>575</v>
      </c>
      <c r="N331" s="87" t="s">
        <v>390</v>
      </c>
      <c r="O331" s="87" t="s">
        <v>377</v>
      </c>
      <c r="P331" s="87" t="s">
        <v>372</v>
      </c>
    </row>
    <row r="332" ht="15.75" customHeight="1">
      <c r="A332" s="87" t="s">
        <v>1388</v>
      </c>
      <c r="B332" s="88">
        <v>1.22E18</v>
      </c>
      <c r="C332" s="87" t="s">
        <v>1389</v>
      </c>
      <c r="D332" s="87" t="s">
        <v>87</v>
      </c>
      <c r="E332" s="87" t="s">
        <v>88</v>
      </c>
      <c r="F332" s="87" t="s">
        <v>1389</v>
      </c>
      <c r="H332" s="87" t="s">
        <v>369</v>
      </c>
      <c r="I332" s="87" t="s">
        <v>327</v>
      </c>
      <c r="J332" s="87" t="s">
        <v>1062</v>
      </c>
      <c r="K332" s="90">
        <v>0.0</v>
      </c>
      <c r="L332" s="92"/>
      <c r="M332" s="87" t="s">
        <v>575</v>
      </c>
      <c r="N332" s="87" t="s">
        <v>390</v>
      </c>
      <c r="O332" s="87" t="s">
        <v>377</v>
      </c>
      <c r="P332" s="87" t="s">
        <v>372</v>
      </c>
    </row>
    <row r="333" ht="15.75" customHeight="1">
      <c r="A333" s="87" t="s">
        <v>1390</v>
      </c>
      <c r="B333" s="88">
        <v>1.22E18</v>
      </c>
      <c r="C333" s="87" t="s">
        <v>1391</v>
      </c>
      <c r="D333" s="87" t="s">
        <v>87</v>
      </c>
      <c r="E333" s="87" t="s">
        <v>88</v>
      </c>
      <c r="F333" s="87" t="s">
        <v>1391</v>
      </c>
      <c r="H333" s="87" t="s">
        <v>1152</v>
      </c>
      <c r="I333" s="87" t="s">
        <v>327</v>
      </c>
      <c r="J333" s="87" t="s">
        <v>1062</v>
      </c>
      <c r="K333" s="90">
        <v>0.0</v>
      </c>
      <c r="L333" s="92"/>
      <c r="M333" s="87" t="s">
        <v>575</v>
      </c>
      <c r="O333" s="87" t="s">
        <v>377</v>
      </c>
      <c r="P333" s="87" t="s">
        <v>372</v>
      </c>
    </row>
    <row r="334" ht="15.75" customHeight="1">
      <c r="A334" s="87" t="s">
        <v>1392</v>
      </c>
      <c r="B334" s="88">
        <v>1.22E18</v>
      </c>
      <c r="C334" s="87" t="s">
        <v>1393</v>
      </c>
      <c r="D334" s="87" t="s">
        <v>87</v>
      </c>
      <c r="E334" s="87" t="s">
        <v>88</v>
      </c>
      <c r="F334" s="87" t="s">
        <v>1393</v>
      </c>
      <c r="H334" s="87" t="s">
        <v>369</v>
      </c>
      <c r="I334" s="87" t="s">
        <v>327</v>
      </c>
      <c r="J334" s="87" t="s">
        <v>1394</v>
      </c>
      <c r="K334" s="90">
        <v>0.0</v>
      </c>
      <c r="L334" s="92"/>
      <c r="M334" s="87" t="s">
        <v>575</v>
      </c>
      <c r="N334" s="87" t="s">
        <v>390</v>
      </c>
      <c r="O334" s="87" t="s">
        <v>377</v>
      </c>
      <c r="P334" s="87" t="s">
        <v>372</v>
      </c>
    </row>
    <row r="335" ht="15.75" customHeight="1">
      <c r="A335" s="87" t="s">
        <v>1395</v>
      </c>
      <c r="B335" s="88">
        <v>1.22E18</v>
      </c>
      <c r="C335" s="87" t="s">
        <v>1396</v>
      </c>
      <c r="D335" s="87" t="s">
        <v>87</v>
      </c>
      <c r="E335" s="87" t="s">
        <v>88</v>
      </c>
      <c r="F335" s="87" t="s">
        <v>1396</v>
      </c>
      <c r="H335" s="87" t="s">
        <v>369</v>
      </c>
      <c r="I335" s="87" t="s">
        <v>327</v>
      </c>
      <c r="J335" s="87" t="s">
        <v>1397</v>
      </c>
      <c r="K335" s="90">
        <v>0.0</v>
      </c>
      <c r="L335" s="92"/>
      <c r="M335" s="87" t="s">
        <v>575</v>
      </c>
      <c r="N335" s="87" t="s">
        <v>390</v>
      </c>
      <c r="O335" s="87" t="s">
        <v>377</v>
      </c>
      <c r="P335" s="87" t="s">
        <v>372</v>
      </c>
    </row>
    <row r="336" ht="15.75" customHeight="1">
      <c r="A336" s="87" t="s">
        <v>1398</v>
      </c>
      <c r="B336" s="88">
        <v>1.22E18</v>
      </c>
      <c r="C336" s="87" t="s">
        <v>1399</v>
      </c>
      <c r="D336" s="87" t="s">
        <v>87</v>
      </c>
      <c r="E336" s="87" t="s">
        <v>88</v>
      </c>
      <c r="F336" s="87" t="s">
        <v>1399</v>
      </c>
      <c r="H336" s="87" t="s">
        <v>1234</v>
      </c>
      <c r="I336" s="87" t="s">
        <v>327</v>
      </c>
      <c r="J336" s="87" t="s">
        <v>1400</v>
      </c>
      <c r="K336" s="90">
        <v>0.0</v>
      </c>
      <c r="L336" s="92"/>
      <c r="M336" s="87" t="s">
        <v>575</v>
      </c>
      <c r="O336" s="87" t="s">
        <v>377</v>
      </c>
      <c r="P336" s="87" t="s">
        <v>372</v>
      </c>
    </row>
    <row r="337" ht="15.75" customHeight="1">
      <c r="A337" s="87" t="s">
        <v>1401</v>
      </c>
      <c r="B337" s="88">
        <v>1.22E18</v>
      </c>
      <c r="C337" s="87" t="s">
        <v>1402</v>
      </c>
      <c r="D337" s="87" t="s">
        <v>87</v>
      </c>
      <c r="E337" s="87" t="s">
        <v>88</v>
      </c>
      <c r="F337" s="87" t="s">
        <v>1402</v>
      </c>
      <c r="H337" s="87" t="s">
        <v>1234</v>
      </c>
      <c r="I337" s="87" t="s">
        <v>327</v>
      </c>
      <c r="J337" s="87" t="s">
        <v>1403</v>
      </c>
      <c r="K337" s="90">
        <v>0.0</v>
      </c>
      <c r="L337" s="92"/>
      <c r="M337" s="87" t="s">
        <v>575</v>
      </c>
      <c r="O337" s="87" t="s">
        <v>377</v>
      </c>
      <c r="P337" s="87" t="s">
        <v>372</v>
      </c>
    </row>
    <row r="338" ht="15.75" customHeight="1">
      <c r="A338" s="87" t="s">
        <v>1404</v>
      </c>
      <c r="B338" s="88">
        <v>1.22E18</v>
      </c>
      <c r="C338" s="87" t="s">
        <v>1405</v>
      </c>
      <c r="D338" s="87" t="s">
        <v>87</v>
      </c>
      <c r="E338" s="87" t="s">
        <v>88</v>
      </c>
      <c r="F338" s="87" t="s">
        <v>1405</v>
      </c>
      <c r="H338" s="87" t="s">
        <v>369</v>
      </c>
      <c r="I338" s="87" t="s">
        <v>327</v>
      </c>
      <c r="J338" s="87" t="s">
        <v>1336</v>
      </c>
      <c r="K338" s="90">
        <v>0.0</v>
      </c>
      <c r="L338" s="92"/>
      <c r="M338" s="87" t="s">
        <v>575</v>
      </c>
      <c r="N338" s="87" t="s">
        <v>390</v>
      </c>
      <c r="O338" s="87" t="s">
        <v>377</v>
      </c>
      <c r="P338" s="87" t="s">
        <v>372</v>
      </c>
    </row>
    <row r="339" ht="15.75" customHeight="1">
      <c r="A339" s="87" t="s">
        <v>1406</v>
      </c>
      <c r="B339" s="88">
        <v>1.22E18</v>
      </c>
      <c r="C339" s="87" t="s">
        <v>1407</v>
      </c>
      <c r="D339" s="87" t="s">
        <v>87</v>
      </c>
      <c r="E339" s="87" t="s">
        <v>88</v>
      </c>
      <c r="F339" s="87" t="s">
        <v>1407</v>
      </c>
      <c r="H339" s="87" t="s">
        <v>369</v>
      </c>
      <c r="I339" s="87" t="s">
        <v>327</v>
      </c>
      <c r="J339" s="87" t="s">
        <v>405</v>
      </c>
      <c r="K339" s="90">
        <v>0.0</v>
      </c>
      <c r="L339" s="92"/>
      <c r="M339" s="87" t="s">
        <v>575</v>
      </c>
      <c r="N339" s="87" t="s">
        <v>390</v>
      </c>
      <c r="O339" s="87" t="s">
        <v>377</v>
      </c>
      <c r="P339" s="87" t="s">
        <v>372</v>
      </c>
    </row>
    <row r="340" ht="15.75" customHeight="1">
      <c r="A340" s="87" t="s">
        <v>1408</v>
      </c>
      <c r="B340" s="88">
        <v>1.22E18</v>
      </c>
      <c r="C340" s="87" t="s">
        <v>1409</v>
      </c>
      <c r="D340" s="87" t="s">
        <v>87</v>
      </c>
      <c r="E340" s="87" t="s">
        <v>88</v>
      </c>
      <c r="F340" s="87" t="s">
        <v>1409</v>
      </c>
      <c r="H340" s="87" t="s">
        <v>570</v>
      </c>
      <c r="I340" s="87" t="s">
        <v>315</v>
      </c>
      <c r="J340" s="87" t="s">
        <v>1159</v>
      </c>
      <c r="K340" s="90">
        <v>0.0</v>
      </c>
      <c r="L340" s="92"/>
      <c r="M340" s="87" t="s">
        <v>575</v>
      </c>
      <c r="O340" s="87" t="s">
        <v>377</v>
      </c>
      <c r="P340" s="87" t="s">
        <v>372</v>
      </c>
    </row>
    <row r="341" ht="15.75" customHeight="1">
      <c r="A341" s="87" t="s">
        <v>1410</v>
      </c>
      <c r="B341" s="88">
        <v>1.22E18</v>
      </c>
      <c r="C341" s="87" t="s">
        <v>1411</v>
      </c>
      <c r="D341" s="87" t="s">
        <v>87</v>
      </c>
      <c r="E341" s="87" t="s">
        <v>88</v>
      </c>
      <c r="F341" s="87" t="s">
        <v>1411</v>
      </c>
      <c r="H341" s="87" t="s">
        <v>369</v>
      </c>
      <c r="I341" s="87" t="s">
        <v>327</v>
      </c>
      <c r="J341" s="87" t="s">
        <v>1412</v>
      </c>
      <c r="K341" s="90">
        <v>0.0</v>
      </c>
      <c r="L341" s="92"/>
      <c r="M341" s="87" t="s">
        <v>575</v>
      </c>
      <c r="N341" s="87" t="s">
        <v>390</v>
      </c>
      <c r="O341" s="87" t="s">
        <v>377</v>
      </c>
      <c r="P341" s="87" t="s">
        <v>372</v>
      </c>
    </row>
    <row r="342" ht="15.75" customHeight="1">
      <c r="A342" s="87" t="s">
        <v>1413</v>
      </c>
      <c r="B342" s="88">
        <v>1.22E18</v>
      </c>
      <c r="C342" s="87" t="s">
        <v>1414</v>
      </c>
      <c r="D342" s="87" t="s">
        <v>87</v>
      </c>
      <c r="E342" s="87" t="s">
        <v>88</v>
      </c>
      <c r="F342" s="87" t="s">
        <v>1414</v>
      </c>
      <c r="H342" s="87" t="s">
        <v>369</v>
      </c>
      <c r="I342" s="87" t="s">
        <v>327</v>
      </c>
      <c r="J342" s="87" t="s">
        <v>1415</v>
      </c>
      <c r="K342" s="90">
        <v>250.0</v>
      </c>
      <c r="L342" s="92"/>
      <c r="M342" s="87" t="s">
        <v>575</v>
      </c>
      <c r="N342" s="87" t="s">
        <v>390</v>
      </c>
      <c r="O342" s="87" t="s">
        <v>377</v>
      </c>
      <c r="P342" s="87" t="s">
        <v>372</v>
      </c>
    </row>
    <row r="343" ht="15.75" customHeight="1">
      <c r="A343" s="87" t="s">
        <v>1416</v>
      </c>
      <c r="B343" s="88">
        <v>1.22E18</v>
      </c>
      <c r="C343" s="87" t="s">
        <v>1417</v>
      </c>
      <c r="D343" s="87" t="s">
        <v>87</v>
      </c>
      <c r="E343" s="87" t="s">
        <v>102</v>
      </c>
      <c r="F343" s="87" t="s">
        <v>1417</v>
      </c>
      <c r="H343" s="87" t="s">
        <v>1136</v>
      </c>
      <c r="I343" s="87" t="s">
        <v>327</v>
      </c>
      <c r="J343" s="87" t="s">
        <v>405</v>
      </c>
      <c r="K343" s="90">
        <v>0.0</v>
      </c>
      <c r="L343" s="92"/>
      <c r="M343" s="87" t="s">
        <v>575</v>
      </c>
      <c r="O343" s="87" t="s">
        <v>377</v>
      </c>
      <c r="P343" s="87" t="s">
        <v>372</v>
      </c>
    </row>
    <row r="344" ht="15.75" customHeight="1">
      <c r="A344" s="87" t="s">
        <v>1418</v>
      </c>
      <c r="B344" s="88">
        <v>1.22E18</v>
      </c>
      <c r="C344" s="87" t="s">
        <v>1419</v>
      </c>
      <c r="D344" s="87" t="s">
        <v>87</v>
      </c>
      <c r="E344" s="87" t="s">
        <v>241</v>
      </c>
      <c r="F344" s="87" t="s">
        <v>1419</v>
      </c>
      <c r="H344" s="87" t="s">
        <v>1420</v>
      </c>
      <c r="I344" s="87" t="s">
        <v>327</v>
      </c>
      <c r="J344" s="87" t="s">
        <v>1137</v>
      </c>
      <c r="K344" s="90">
        <v>0.0</v>
      </c>
      <c r="L344" s="92"/>
      <c r="M344" s="87" t="s">
        <v>575</v>
      </c>
      <c r="O344" s="87" t="s">
        <v>377</v>
      </c>
      <c r="P344" s="87" t="s">
        <v>372</v>
      </c>
    </row>
    <row r="345" ht="15.75" customHeight="1">
      <c r="A345" s="87" t="s">
        <v>1421</v>
      </c>
      <c r="B345" s="88">
        <v>1.22E18</v>
      </c>
      <c r="C345" s="87" t="s">
        <v>1422</v>
      </c>
      <c r="D345" s="87" t="s">
        <v>87</v>
      </c>
      <c r="E345" s="87" t="s">
        <v>88</v>
      </c>
      <c r="F345" s="87" t="s">
        <v>1422</v>
      </c>
      <c r="H345" s="87" t="s">
        <v>1423</v>
      </c>
      <c r="I345" s="87" t="s">
        <v>327</v>
      </c>
      <c r="J345" s="87" t="s">
        <v>405</v>
      </c>
      <c r="K345" s="90">
        <v>0.0</v>
      </c>
      <c r="L345" s="92"/>
      <c r="M345" s="87" t="s">
        <v>575</v>
      </c>
      <c r="O345" s="87" t="s">
        <v>377</v>
      </c>
      <c r="P345" s="87" t="s">
        <v>372</v>
      </c>
    </row>
    <row r="346" ht="15.75" customHeight="1">
      <c r="A346" s="87" t="s">
        <v>1424</v>
      </c>
      <c r="B346" s="88">
        <v>1.22E18</v>
      </c>
      <c r="C346" s="87" t="s">
        <v>1425</v>
      </c>
      <c r="D346" s="87" t="s">
        <v>87</v>
      </c>
      <c r="E346" s="87" t="s">
        <v>88</v>
      </c>
      <c r="F346" s="87" t="s">
        <v>1425</v>
      </c>
      <c r="I346" s="87" t="s">
        <v>327</v>
      </c>
      <c r="J346" s="87" t="s">
        <v>405</v>
      </c>
      <c r="K346" s="90">
        <v>150000.0</v>
      </c>
      <c r="L346" s="92"/>
      <c r="M346" s="87" t="s">
        <v>575</v>
      </c>
      <c r="N346" s="87" t="s">
        <v>390</v>
      </c>
      <c r="O346" s="87" t="s">
        <v>377</v>
      </c>
      <c r="P346" s="87" t="s">
        <v>372</v>
      </c>
    </row>
    <row r="347" ht="15.75" customHeight="1">
      <c r="A347" s="87" t="s">
        <v>1426</v>
      </c>
      <c r="B347" s="88">
        <v>1.22E18</v>
      </c>
      <c r="C347" s="87" t="s">
        <v>1427</v>
      </c>
      <c r="D347" s="87" t="s">
        <v>87</v>
      </c>
      <c r="E347" s="87" t="s">
        <v>102</v>
      </c>
      <c r="F347" s="87" t="s">
        <v>1427</v>
      </c>
      <c r="H347" s="87" t="s">
        <v>1346</v>
      </c>
      <c r="I347" s="87" t="s">
        <v>327</v>
      </c>
      <c r="J347" s="87" t="s">
        <v>405</v>
      </c>
      <c r="K347" s="90">
        <v>0.0</v>
      </c>
      <c r="L347" s="92"/>
      <c r="M347" s="87" t="s">
        <v>575</v>
      </c>
      <c r="O347" s="87" t="s">
        <v>377</v>
      </c>
      <c r="P347" s="87" t="s">
        <v>372</v>
      </c>
    </row>
    <row r="348" ht="15.75" customHeight="1">
      <c r="A348" s="87" t="s">
        <v>1428</v>
      </c>
      <c r="B348" s="88">
        <v>1.22E18</v>
      </c>
      <c r="C348" s="87" t="s">
        <v>1429</v>
      </c>
      <c r="D348" s="87" t="s">
        <v>87</v>
      </c>
      <c r="E348" s="87" t="s">
        <v>88</v>
      </c>
      <c r="F348" s="87" t="s">
        <v>1429</v>
      </c>
      <c r="I348" s="87" t="s">
        <v>327</v>
      </c>
      <c r="J348" s="87" t="s">
        <v>405</v>
      </c>
      <c r="K348" s="90">
        <v>200000.0</v>
      </c>
      <c r="L348" s="92"/>
      <c r="M348" s="87" t="s">
        <v>575</v>
      </c>
      <c r="N348" s="87" t="s">
        <v>390</v>
      </c>
      <c r="O348" s="87" t="s">
        <v>377</v>
      </c>
      <c r="P348" s="87" t="s">
        <v>372</v>
      </c>
    </row>
    <row r="349" ht="15.75" customHeight="1">
      <c r="A349" s="87" t="s">
        <v>1430</v>
      </c>
      <c r="B349" s="88">
        <v>1.22E18</v>
      </c>
      <c r="C349" s="87" t="s">
        <v>1431</v>
      </c>
      <c r="D349" s="87" t="s">
        <v>87</v>
      </c>
      <c r="E349" s="87" t="s">
        <v>88</v>
      </c>
      <c r="F349" s="87" t="s">
        <v>1431</v>
      </c>
      <c r="H349" s="87" t="s">
        <v>369</v>
      </c>
      <c r="I349" s="87" t="s">
        <v>327</v>
      </c>
      <c r="J349" s="87" t="s">
        <v>1137</v>
      </c>
      <c r="K349" s="90">
        <v>800000.0</v>
      </c>
      <c r="L349" s="92"/>
      <c r="M349" s="87" t="s">
        <v>575</v>
      </c>
      <c r="N349" s="87" t="s">
        <v>390</v>
      </c>
      <c r="O349" s="87" t="s">
        <v>377</v>
      </c>
      <c r="P349" s="87" t="s">
        <v>372</v>
      </c>
    </row>
    <row r="350" ht="15.75" customHeight="1">
      <c r="A350" s="87" t="s">
        <v>1432</v>
      </c>
      <c r="B350" s="88">
        <v>1.22E18</v>
      </c>
      <c r="C350" s="87" t="s">
        <v>1433</v>
      </c>
      <c r="D350" s="87" t="s">
        <v>87</v>
      </c>
      <c r="E350" s="87" t="s">
        <v>88</v>
      </c>
      <c r="F350" s="87" t="s">
        <v>1433</v>
      </c>
      <c r="H350" s="87" t="s">
        <v>1234</v>
      </c>
      <c r="I350" s="87" t="s">
        <v>327</v>
      </c>
      <c r="J350" s="87" t="s">
        <v>931</v>
      </c>
      <c r="K350" s="90">
        <v>0.0</v>
      </c>
      <c r="L350" s="92"/>
      <c r="M350" s="87" t="s">
        <v>575</v>
      </c>
      <c r="O350" s="87" t="s">
        <v>377</v>
      </c>
      <c r="P350" s="87" t="s">
        <v>372</v>
      </c>
    </row>
    <row r="351" ht="15.75" customHeight="1">
      <c r="A351" s="87" t="s">
        <v>1434</v>
      </c>
      <c r="B351" s="88">
        <v>1.22E18</v>
      </c>
      <c r="C351" s="87" t="s">
        <v>1435</v>
      </c>
      <c r="D351" s="87" t="s">
        <v>87</v>
      </c>
      <c r="E351" s="87" t="s">
        <v>88</v>
      </c>
      <c r="F351" s="87" t="s">
        <v>1435</v>
      </c>
      <c r="H351" s="87" t="s">
        <v>369</v>
      </c>
      <c r="I351" s="87" t="s">
        <v>327</v>
      </c>
      <c r="J351" s="87" t="s">
        <v>1159</v>
      </c>
      <c r="K351" s="90">
        <v>0.0</v>
      </c>
      <c r="L351" s="92"/>
      <c r="M351" s="87" t="s">
        <v>575</v>
      </c>
      <c r="N351" s="87" t="s">
        <v>390</v>
      </c>
      <c r="O351" s="87" t="s">
        <v>377</v>
      </c>
      <c r="P351" s="87" t="s">
        <v>372</v>
      </c>
    </row>
    <row r="352" ht="15.75" customHeight="1">
      <c r="A352" s="87" t="s">
        <v>1436</v>
      </c>
      <c r="B352" s="88">
        <v>1.22E18</v>
      </c>
      <c r="C352" s="87" t="s">
        <v>1437</v>
      </c>
      <c r="D352" s="87" t="s">
        <v>87</v>
      </c>
      <c r="E352" s="87" t="s">
        <v>88</v>
      </c>
      <c r="F352" s="87" t="s">
        <v>1437</v>
      </c>
      <c r="H352" s="87" t="s">
        <v>1438</v>
      </c>
      <c r="I352" s="87" t="s">
        <v>327</v>
      </c>
      <c r="J352" s="87" t="s">
        <v>631</v>
      </c>
      <c r="K352" s="90">
        <v>0.0</v>
      </c>
      <c r="L352" s="92"/>
      <c r="M352" s="87" t="s">
        <v>575</v>
      </c>
      <c r="O352" s="87" t="s">
        <v>377</v>
      </c>
      <c r="P352" s="87" t="s">
        <v>372</v>
      </c>
    </row>
    <row r="353" ht="15.75" customHeight="1">
      <c r="A353" s="87" t="s">
        <v>1439</v>
      </c>
      <c r="B353" s="88">
        <v>1.22E18</v>
      </c>
      <c r="C353" s="87" t="s">
        <v>1440</v>
      </c>
      <c r="D353" s="87" t="s">
        <v>87</v>
      </c>
      <c r="E353" s="87" t="s">
        <v>88</v>
      </c>
      <c r="F353" s="87" t="s">
        <v>1440</v>
      </c>
      <c r="H353" s="87" t="s">
        <v>369</v>
      </c>
      <c r="I353" s="87" t="s">
        <v>327</v>
      </c>
      <c r="J353" s="87" t="s">
        <v>640</v>
      </c>
      <c r="K353" s="90">
        <v>0.0</v>
      </c>
      <c r="L353" s="92"/>
      <c r="M353" s="87" t="s">
        <v>575</v>
      </c>
      <c r="N353" s="87" t="s">
        <v>390</v>
      </c>
      <c r="O353" s="87" t="s">
        <v>377</v>
      </c>
      <c r="P353" s="87" t="s">
        <v>372</v>
      </c>
    </row>
    <row r="354" ht="15.75" customHeight="1">
      <c r="A354" s="87" t="s">
        <v>1441</v>
      </c>
      <c r="B354" s="88">
        <v>1.22E18</v>
      </c>
      <c r="C354" s="87" t="s">
        <v>1442</v>
      </c>
      <c r="D354" s="87" t="s">
        <v>87</v>
      </c>
      <c r="E354" s="87" t="s">
        <v>88</v>
      </c>
      <c r="F354" s="87" t="s">
        <v>1442</v>
      </c>
      <c r="H354" s="87" t="s">
        <v>369</v>
      </c>
      <c r="I354" s="87" t="s">
        <v>327</v>
      </c>
      <c r="J354" s="87" t="s">
        <v>631</v>
      </c>
      <c r="K354" s="90">
        <v>200000.0</v>
      </c>
      <c r="L354" s="92"/>
      <c r="M354" s="87" t="s">
        <v>575</v>
      </c>
      <c r="N354" s="87" t="s">
        <v>390</v>
      </c>
      <c r="O354" s="87" t="s">
        <v>377</v>
      </c>
      <c r="P354" s="87" t="s">
        <v>372</v>
      </c>
    </row>
    <row r="355" ht="15.75" customHeight="1">
      <c r="A355" s="87" t="s">
        <v>1443</v>
      </c>
      <c r="B355" s="88">
        <v>1.22E18</v>
      </c>
      <c r="C355" s="87" t="s">
        <v>1444</v>
      </c>
      <c r="D355" s="87" t="s">
        <v>87</v>
      </c>
      <c r="E355" s="87" t="s">
        <v>88</v>
      </c>
      <c r="F355" s="87" t="s">
        <v>1444</v>
      </c>
      <c r="H355" s="87" t="s">
        <v>688</v>
      </c>
      <c r="I355" s="87" t="s">
        <v>327</v>
      </c>
      <c r="J355" s="87" t="s">
        <v>631</v>
      </c>
      <c r="K355" s="90">
        <v>0.0</v>
      </c>
      <c r="L355" s="92"/>
      <c r="M355" s="87" t="s">
        <v>575</v>
      </c>
      <c r="O355" s="87" t="s">
        <v>377</v>
      </c>
      <c r="P355" s="87" t="s">
        <v>372</v>
      </c>
    </row>
    <row r="356" ht="15.75" customHeight="1">
      <c r="A356" s="87" t="s">
        <v>1445</v>
      </c>
      <c r="B356" s="88">
        <v>1.22E18</v>
      </c>
      <c r="C356" s="87" t="s">
        <v>1446</v>
      </c>
      <c r="D356" s="87" t="s">
        <v>87</v>
      </c>
      <c r="E356" s="87" t="s">
        <v>88</v>
      </c>
      <c r="F356" s="87" t="s">
        <v>1446</v>
      </c>
      <c r="H356" s="87" t="s">
        <v>369</v>
      </c>
      <c r="I356" s="87" t="s">
        <v>327</v>
      </c>
      <c r="J356" s="87" t="s">
        <v>1447</v>
      </c>
      <c r="K356" s="90">
        <v>2250.0</v>
      </c>
      <c r="L356" s="92"/>
      <c r="M356" s="87" t="s">
        <v>575</v>
      </c>
      <c r="N356" s="87" t="s">
        <v>390</v>
      </c>
      <c r="O356" s="87" t="s">
        <v>377</v>
      </c>
      <c r="P356" s="87" t="s">
        <v>372</v>
      </c>
    </row>
    <row r="357" ht="15.75" customHeight="1">
      <c r="A357" s="87" t="s">
        <v>1448</v>
      </c>
      <c r="B357" s="88">
        <v>1.22E18</v>
      </c>
      <c r="C357" s="87" t="s">
        <v>1449</v>
      </c>
      <c r="D357" s="87" t="s">
        <v>87</v>
      </c>
      <c r="E357" s="87" t="s">
        <v>88</v>
      </c>
      <c r="F357" s="87" t="s">
        <v>1449</v>
      </c>
      <c r="H357" s="87" t="s">
        <v>369</v>
      </c>
      <c r="I357" s="87" t="s">
        <v>327</v>
      </c>
      <c r="J357" s="87" t="s">
        <v>1187</v>
      </c>
      <c r="K357" s="90">
        <v>0.0</v>
      </c>
      <c r="L357" s="92"/>
      <c r="M357" s="87" t="s">
        <v>575</v>
      </c>
      <c r="N357" s="87" t="s">
        <v>390</v>
      </c>
      <c r="O357" s="87" t="s">
        <v>377</v>
      </c>
      <c r="P357" s="87" t="s">
        <v>372</v>
      </c>
    </row>
    <row r="358" ht="15.75" customHeight="1">
      <c r="A358" s="87" t="s">
        <v>1450</v>
      </c>
      <c r="B358" s="88">
        <v>1.22E18</v>
      </c>
      <c r="C358" s="87" t="s">
        <v>1451</v>
      </c>
      <c r="D358" s="87" t="s">
        <v>87</v>
      </c>
      <c r="E358" s="87" t="s">
        <v>88</v>
      </c>
      <c r="F358" s="87" t="s">
        <v>1451</v>
      </c>
      <c r="H358" s="87" t="s">
        <v>369</v>
      </c>
      <c r="I358" s="87" t="s">
        <v>327</v>
      </c>
      <c r="J358" s="87" t="s">
        <v>405</v>
      </c>
      <c r="K358" s="90">
        <v>0.0</v>
      </c>
      <c r="L358" s="92"/>
      <c r="M358" s="87" t="s">
        <v>575</v>
      </c>
      <c r="N358" s="87" t="s">
        <v>390</v>
      </c>
      <c r="O358" s="87" t="s">
        <v>377</v>
      </c>
      <c r="P358" s="87" t="s">
        <v>372</v>
      </c>
    </row>
    <row r="359" ht="15.75" customHeight="1">
      <c r="A359" s="87" t="s">
        <v>1452</v>
      </c>
      <c r="B359" s="88">
        <v>1.22E18</v>
      </c>
      <c r="C359" s="87" t="s">
        <v>1453</v>
      </c>
      <c r="D359" s="87" t="s">
        <v>87</v>
      </c>
      <c r="E359" s="87" t="s">
        <v>88</v>
      </c>
      <c r="F359" s="87" t="s">
        <v>1453</v>
      </c>
      <c r="H359" s="87" t="s">
        <v>369</v>
      </c>
      <c r="I359" s="87" t="s">
        <v>327</v>
      </c>
      <c r="J359" s="87" t="s">
        <v>1278</v>
      </c>
      <c r="K359" s="90">
        <v>0.0</v>
      </c>
      <c r="L359" s="92"/>
      <c r="M359" s="87" t="s">
        <v>575</v>
      </c>
      <c r="N359" s="87" t="s">
        <v>390</v>
      </c>
      <c r="O359" s="87" t="s">
        <v>377</v>
      </c>
      <c r="P359" s="87" t="s">
        <v>372</v>
      </c>
    </row>
    <row r="360" ht="15.75" customHeight="1">
      <c r="A360" s="87" t="s">
        <v>1454</v>
      </c>
      <c r="B360" s="88">
        <v>1.22E18</v>
      </c>
      <c r="C360" s="87" t="s">
        <v>1455</v>
      </c>
      <c r="D360" s="87" t="s">
        <v>87</v>
      </c>
      <c r="E360" s="87" t="s">
        <v>88</v>
      </c>
      <c r="F360" s="87" t="s">
        <v>1455</v>
      </c>
      <c r="H360" s="87" t="s">
        <v>369</v>
      </c>
      <c r="I360" s="87" t="s">
        <v>327</v>
      </c>
      <c r="J360" s="87" t="s">
        <v>634</v>
      </c>
      <c r="K360" s="90">
        <v>0.0</v>
      </c>
      <c r="L360" s="92"/>
      <c r="M360" s="87" t="s">
        <v>575</v>
      </c>
      <c r="N360" s="87" t="s">
        <v>390</v>
      </c>
      <c r="O360" s="87" t="s">
        <v>377</v>
      </c>
      <c r="P360" s="87" t="s">
        <v>372</v>
      </c>
    </row>
    <row r="361" ht="15.75" customHeight="1">
      <c r="A361" s="87" t="s">
        <v>1456</v>
      </c>
      <c r="B361" s="88">
        <v>1.22E18</v>
      </c>
      <c r="C361" s="87" t="s">
        <v>1457</v>
      </c>
      <c r="D361" s="87" t="s">
        <v>87</v>
      </c>
      <c r="E361" s="87" t="s">
        <v>88</v>
      </c>
      <c r="F361" s="118" t="s">
        <v>1457</v>
      </c>
      <c r="G361" s="119"/>
      <c r="H361" s="87" t="s">
        <v>1152</v>
      </c>
      <c r="I361" s="87" t="s">
        <v>327</v>
      </c>
      <c r="J361" s="87" t="s">
        <v>1205</v>
      </c>
      <c r="K361" s="90">
        <v>0.0</v>
      </c>
      <c r="L361" s="92"/>
      <c r="M361" s="87" t="s">
        <v>575</v>
      </c>
      <c r="O361" s="87" t="s">
        <v>377</v>
      </c>
      <c r="P361" s="87" t="s">
        <v>372</v>
      </c>
    </row>
    <row r="362" ht="15.75" customHeight="1">
      <c r="A362" s="87" t="s">
        <v>1458</v>
      </c>
      <c r="B362" s="88">
        <v>1.22E18</v>
      </c>
      <c r="C362" s="87" t="s">
        <v>1459</v>
      </c>
      <c r="D362" s="87" t="s">
        <v>87</v>
      </c>
      <c r="E362" s="87" t="s">
        <v>88</v>
      </c>
      <c r="F362" s="87" t="s">
        <v>1459</v>
      </c>
      <c r="H362" s="87" t="s">
        <v>471</v>
      </c>
      <c r="I362" s="87" t="s">
        <v>315</v>
      </c>
      <c r="J362" s="87" t="s">
        <v>1314</v>
      </c>
      <c r="K362" s="90">
        <v>540000.0</v>
      </c>
      <c r="L362" s="92"/>
      <c r="M362" s="87" t="s">
        <v>575</v>
      </c>
      <c r="O362" s="87" t="s">
        <v>377</v>
      </c>
      <c r="P362" s="87" t="s">
        <v>372</v>
      </c>
    </row>
    <row r="363" ht="15.75" customHeight="1">
      <c r="A363" s="87" t="s">
        <v>1460</v>
      </c>
      <c r="B363" s="88">
        <v>1.22E18</v>
      </c>
      <c r="C363" s="87" t="s">
        <v>1461</v>
      </c>
      <c r="D363" s="87" t="s">
        <v>87</v>
      </c>
      <c r="E363" s="87" t="s">
        <v>88</v>
      </c>
      <c r="F363" s="87" t="s">
        <v>1461</v>
      </c>
      <c r="H363" s="87" t="s">
        <v>862</v>
      </c>
      <c r="I363" s="87" t="s">
        <v>327</v>
      </c>
      <c r="J363" s="87" t="s">
        <v>863</v>
      </c>
      <c r="K363" s="90">
        <v>0.0</v>
      </c>
      <c r="L363" s="92"/>
      <c r="M363" s="87" t="s">
        <v>575</v>
      </c>
      <c r="O363" s="87" t="s">
        <v>377</v>
      </c>
      <c r="P363" s="87" t="s">
        <v>372</v>
      </c>
    </row>
    <row r="364" ht="15.75" customHeight="1">
      <c r="A364" s="87" t="s">
        <v>1462</v>
      </c>
      <c r="B364" s="88">
        <v>1.22E18</v>
      </c>
      <c r="C364" s="87" t="s">
        <v>1463</v>
      </c>
      <c r="D364" s="87" t="s">
        <v>87</v>
      </c>
      <c r="E364" s="87" t="s">
        <v>88</v>
      </c>
      <c r="F364" s="87" t="s">
        <v>1463</v>
      </c>
      <c r="H364" s="87" t="s">
        <v>369</v>
      </c>
      <c r="I364" s="87" t="s">
        <v>327</v>
      </c>
      <c r="J364" s="87" t="s">
        <v>1464</v>
      </c>
      <c r="K364" s="90">
        <v>0.0</v>
      </c>
      <c r="L364" s="92"/>
      <c r="M364" s="87" t="s">
        <v>575</v>
      </c>
      <c r="N364" s="87" t="s">
        <v>390</v>
      </c>
      <c r="O364" s="87" t="s">
        <v>377</v>
      </c>
      <c r="P364" s="87" t="s">
        <v>372</v>
      </c>
    </row>
    <row r="365" ht="15.75" customHeight="1">
      <c r="A365" s="87" t="s">
        <v>1465</v>
      </c>
      <c r="B365" s="88">
        <v>1.22E18</v>
      </c>
      <c r="C365" s="87" t="s">
        <v>1466</v>
      </c>
      <c r="D365" s="87" t="s">
        <v>87</v>
      </c>
      <c r="E365" s="87" t="s">
        <v>228</v>
      </c>
      <c r="F365" s="118" t="s">
        <v>1466</v>
      </c>
      <c r="G365" s="119"/>
      <c r="H365" s="87" t="s">
        <v>1088</v>
      </c>
      <c r="I365" s="87" t="s">
        <v>327</v>
      </c>
      <c r="J365" s="87" t="s">
        <v>1467</v>
      </c>
      <c r="K365" s="90">
        <v>0.0</v>
      </c>
      <c r="L365" s="92"/>
      <c r="M365" s="87" t="s">
        <v>575</v>
      </c>
      <c r="O365" s="87" t="s">
        <v>377</v>
      </c>
      <c r="P365" s="87" t="s">
        <v>372</v>
      </c>
    </row>
    <row r="366" ht="15.75" customHeight="1">
      <c r="A366" s="87" t="s">
        <v>1468</v>
      </c>
      <c r="B366" s="88">
        <v>1.22E18</v>
      </c>
      <c r="C366" s="87" t="s">
        <v>1469</v>
      </c>
      <c r="D366" s="87" t="s">
        <v>87</v>
      </c>
      <c r="E366" s="87" t="s">
        <v>88</v>
      </c>
      <c r="F366" s="87" t="s">
        <v>861</v>
      </c>
      <c r="G366" s="93"/>
      <c r="H366" s="87" t="s">
        <v>369</v>
      </c>
      <c r="I366" s="87" t="s">
        <v>327</v>
      </c>
      <c r="J366" s="87" t="s">
        <v>1159</v>
      </c>
      <c r="K366" s="90">
        <v>100000.0</v>
      </c>
      <c r="L366" s="92"/>
      <c r="M366" s="87" t="s">
        <v>575</v>
      </c>
      <c r="N366" s="87" t="s">
        <v>390</v>
      </c>
      <c r="O366" s="87" t="s">
        <v>377</v>
      </c>
      <c r="P366" s="87" t="s">
        <v>372</v>
      </c>
    </row>
    <row r="367" ht="15.75" customHeight="1">
      <c r="A367" s="87" t="s">
        <v>1470</v>
      </c>
      <c r="B367" s="88">
        <v>1.22E18</v>
      </c>
      <c r="C367" s="87" t="s">
        <v>1471</v>
      </c>
      <c r="D367" s="87" t="s">
        <v>87</v>
      </c>
      <c r="E367" s="87" t="s">
        <v>88</v>
      </c>
      <c r="F367" s="87" t="s">
        <v>1471</v>
      </c>
      <c r="H367" s="87" t="s">
        <v>1152</v>
      </c>
      <c r="I367" s="87" t="s">
        <v>327</v>
      </c>
      <c r="J367" s="87" t="s">
        <v>405</v>
      </c>
      <c r="K367" s="90">
        <v>0.0</v>
      </c>
      <c r="L367" s="92"/>
      <c r="M367" s="87" t="s">
        <v>575</v>
      </c>
      <c r="O367" s="87" t="s">
        <v>377</v>
      </c>
      <c r="P367" s="87" t="s">
        <v>372</v>
      </c>
    </row>
    <row r="368" ht="15.75" customHeight="1">
      <c r="A368" s="87" t="s">
        <v>1472</v>
      </c>
      <c r="B368" s="88">
        <v>1.22E18</v>
      </c>
      <c r="C368" s="87" t="s">
        <v>1473</v>
      </c>
      <c r="D368" s="87" t="s">
        <v>87</v>
      </c>
      <c r="E368" s="87" t="s">
        <v>88</v>
      </c>
      <c r="F368" s="87" t="s">
        <v>1473</v>
      </c>
      <c r="H368" s="87" t="s">
        <v>688</v>
      </c>
      <c r="I368" s="87" t="s">
        <v>327</v>
      </c>
      <c r="J368" s="87" t="s">
        <v>1162</v>
      </c>
      <c r="K368" s="90">
        <v>0.0</v>
      </c>
      <c r="L368" s="92"/>
      <c r="M368" s="87" t="s">
        <v>575</v>
      </c>
      <c r="O368" s="87" t="s">
        <v>377</v>
      </c>
      <c r="P368" s="87" t="s">
        <v>372</v>
      </c>
    </row>
    <row r="369" ht="15.75" customHeight="1">
      <c r="A369" s="87" t="s">
        <v>1474</v>
      </c>
      <c r="B369" s="88">
        <v>1.22E18</v>
      </c>
      <c r="C369" s="87" t="s">
        <v>1475</v>
      </c>
      <c r="D369" s="87" t="s">
        <v>87</v>
      </c>
      <c r="E369" s="87" t="s">
        <v>88</v>
      </c>
      <c r="F369" s="87" t="s">
        <v>1475</v>
      </c>
      <c r="H369" s="87" t="s">
        <v>369</v>
      </c>
      <c r="I369" s="87" t="s">
        <v>327</v>
      </c>
      <c r="J369" s="87" t="s">
        <v>1476</v>
      </c>
      <c r="K369" s="90">
        <v>0.0</v>
      </c>
      <c r="L369" s="92"/>
      <c r="M369" s="87" t="s">
        <v>575</v>
      </c>
      <c r="N369" s="87" t="s">
        <v>390</v>
      </c>
      <c r="O369" s="87" t="s">
        <v>377</v>
      </c>
      <c r="P369" s="87" t="s">
        <v>372</v>
      </c>
    </row>
    <row r="370" ht="15.75" customHeight="1">
      <c r="A370" s="87" t="s">
        <v>1477</v>
      </c>
      <c r="B370" s="88">
        <v>1.22E18</v>
      </c>
      <c r="C370" s="87" t="s">
        <v>1478</v>
      </c>
      <c r="D370" s="87" t="s">
        <v>87</v>
      </c>
      <c r="E370" s="87" t="s">
        <v>88</v>
      </c>
      <c r="F370" s="87" t="s">
        <v>1478</v>
      </c>
      <c r="H370" s="87" t="s">
        <v>1342</v>
      </c>
      <c r="I370" s="87" t="s">
        <v>327</v>
      </c>
      <c r="J370" s="87" t="s">
        <v>405</v>
      </c>
      <c r="K370" s="90">
        <v>0.0</v>
      </c>
      <c r="L370" s="92"/>
      <c r="M370" s="87" t="s">
        <v>575</v>
      </c>
      <c r="O370" s="87" t="s">
        <v>377</v>
      </c>
      <c r="P370" s="87" t="s">
        <v>372</v>
      </c>
    </row>
    <row r="371" ht="15.75" customHeight="1">
      <c r="A371" s="87" t="s">
        <v>1479</v>
      </c>
      <c r="B371" s="88">
        <v>1.22E18</v>
      </c>
      <c r="C371" s="87" t="s">
        <v>1480</v>
      </c>
      <c r="D371" s="87" t="s">
        <v>87</v>
      </c>
      <c r="E371" s="87" t="s">
        <v>88</v>
      </c>
      <c r="F371" s="87" t="s">
        <v>1480</v>
      </c>
      <c r="H371" s="87" t="s">
        <v>369</v>
      </c>
      <c r="I371" s="87" t="s">
        <v>327</v>
      </c>
      <c r="J371" s="87" t="s">
        <v>682</v>
      </c>
      <c r="K371" s="90">
        <v>0.0</v>
      </c>
      <c r="L371" s="92"/>
      <c r="M371" s="87" t="s">
        <v>575</v>
      </c>
      <c r="O371" s="87" t="s">
        <v>377</v>
      </c>
      <c r="P371" s="87" t="s">
        <v>372</v>
      </c>
    </row>
    <row r="372" ht="15.75" customHeight="1">
      <c r="A372" s="87" t="s">
        <v>1481</v>
      </c>
      <c r="B372" s="88">
        <v>1.22E18</v>
      </c>
      <c r="C372" s="87" t="s">
        <v>1482</v>
      </c>
      <c r="D372" s="87" t="s">
        <v>87</v>
      </c>
      <c r="E372" s="87" t="s">
        <v>88</v>
      </c>
      <c r="F372" s="87" t="s">
        <v>1482</v>
      </c>
      <c r="H372" s="87" t="s">
        <v>369</v>
      </c>
      <c r="I372" s="87" t="s">
        <v>315</v>
      </c>
      <c r="J372" s="87" t="s">
        <v>1483</v>
      </c>
      <c r="K372" s="90">
        <v>0.0</v>
      </c>
      <c r="L372" s="92"/>
      <c r="M372" s="87" t="s">
        <v>575</v>
      </c>
      <c r="N372" s="87" t="s">
        <v>390</v>
      </c>
      <c r="O372" s="87" t="s">
        <v>377</v>
      </c>
      <c r="P372" s="87" t="s">
        <v>372</v>
      </c>
    </row>
    <row r="373" ht="15.75" customHeight="1">
      <c r="A373" s="87" t="s">
        <v>1484</v>
      </c>
      <c r="B373" s="88">
        <v>1.22E18</v>
      </c>
      <c r="C373" s="87" t="s">
        <v>1485</v>
      </c>
      <c r="D373" s="87" t="s">
        <v>87</v>
      </c>
      <c r="E373" s="87" t="s">
        <v>88</v>
      </c>
      <c r="F373" s="87" t="s">
        <v>1485</v>
      </c>
      <c r="H373" s="87" t="s">
        <v>369</v>
      </c>
      <c r="I373" s="87" t="s">
        <v>340</v>
      </c>
      <c r="J373" s="87" t="s">
        <v>631</v>
      </c>
      <c r="K373" s="90">
        <v>0.0</v>
      </c>
      <c r="L373" s="92"/>
      <c r="M373" s="87" t="s">
        <v>575</v>
      </c>
      <c r="N373" s="87" t="s">
        <v>390</v>
      </c>
      <c r="O373" s="87" t="s">
        <v>377</v>
      </c>
      <c r="P373" s="87" t="s">
        <v>372</v>
      </c>
    </row>
    <row r="374" ht="15.75" customHeight="1">
      <c r="A374" s="87" t="s">
        <v>1486</v>
      </c>
      <c r="B374" s="88">
        <v>1.22E18</v>
      </c>
      <c r="C374" s="87" t="s">
        <v>1487</v>
      </c>
      <c r="D374" s="87" t="s">
        <v>87</v>
      </c>
      <c r="E374" s="87" t="s">
        <v>88</v>
      </c>
      <c r="F374" s="87" t="s">
        <v>1487</v>
      </c>
      <c r="H374" s="87" t="s">
        <v>369</v>
      </c>
      <c r="I374" s="87" t="s">
        <v>1123</v>
      </c>
      <c r="J374" s="87" t="s">
        <v>1488</v>
      </c>
      <c r="K374" s="90">
        <v>0.0</v>
      </c>
      <c r="L374" s="92"/>
      <c r="M374" s="87" t="s">
        <v>575</v>
      </c>
      <c r="N374" s="87" t="s">
        <v>390</v>
      </c>
      <c r="O374" s="87" t="s">
        <v>377</v>
      </c>
      <c r="P374" s="87" t="s">
        <v>372</v>
      </c>
    </row>
    <row r="375" ht="15.75" customHeight="1">
      <c r="A375" s="87" t="s">
        <v>1489</v>
      </c>
      <c r="B375" s="88">
        <v>1.22E18</v>
      </c>
      <c r="C375" s="87" t="s">
        <v>1490</v>
      </c>
      <c r="D375" s="87" t="s">
        <v>87</v>
      </c>
      <c r="E375" s="87" t="s">
        <v>88</v>
      </c>
      <c r="F375" s="87" t="s">
        <v>1490</v>
      </c>
      <c r="H375" s="87" t="s">
        <v>369</v>
      </c>
      <c r="I375" s="87" t="s">
        <v>327</v>
      </c>
      <c r="J375" s="87" t="s">
        <v>405</v>
      </c>
      <c r="K375" s="90">
        <v>100000.0</v>
      </c>
      <c r="L375" s="92"/>
      <c r="M375" s="87" t="s">
        <v>575</v>
      </c>
      <c r="N375" s="87" t="s">
        <v>390</v>
      </c>
      <c r="O375" s="87" t="s">
        <v>377</v>
      </c>
      <c r="P375" s="87" t="s">
        <v>372</v>
      </c>
    </row>
    <row r="376" ht="15.75" customHeight="1">
      <c r="A376" s="87" t="s">
        <v>1491</v>
      </c>
      <c r="B376" s="88">
        <v>1.22E18</v>
      </c>
      <c r="C376" s="87" t="s">
        <v>1492</v>
      </c>
      <c r="D376" s="87" t="s">
        <v>87</v>
      </c>
      <c r="E376" s="87" t="s">
        <v>88</v>
      </c>
      <c r="F376" s="87" t="s">
        <v>1492</v>
      </c>
      <c r="H376" s="87" t="s">
        <v>369</v>
      </c>
      <c r="I376" s="87" t="s">
        <v>327</v>
      </c>
      <c r="J376" s="87" t="s">
        <v>634</v>
      </c>
      <c r="K376" s="90">
        <v>0.0</v>
      </c>
      <c r="L376" s="92"/>
      <c r="M376" s="87" t="s">
        <v>575</v>
      </c>
      <c r="N376" s="87" t="s">
        <v>390</v>
      </c>
      <c r="O376" s="87" t="s">
        <v>377</v>
      </c>
      <c r="P376" s="87" t="s">
        <v>372</v>
      </c>
    </row>
    <row r="377" ht="15.75" customHeight="1">
      <c r="A377" s="87" t="s">
        <v>1493</v>
      </c>
      <c r="B377" s="88">
        <v>1.22E18</v>
      </c>
      <c r="C377" s="87" t="s">
        <v>1494</v>
      </c>
      <c r="D377" s="87" t="s">
        <v>87</v>
      </c>
      <c r="E377" s="87" t="s">
        <v>88</v>
      </c>
      <c r="F377" s="87" t="s">
        <v>1494</v>
      </c>
      <c r="H377" s="87" t="s">
        <v>369</v>
      </c>
      <c r="I377" s="87" t="s">
        <v>327</v>
      </c>
      <c r="J377" s="87" t="s">
        <v>1159</v>
      </c>
      <c r="K377" s="90">
        <v>0.0</v>
      </c>
      <c r="L377" s="92"/>
      <c r="M377" s="87" t="s">
        <v>575</v>
      </c>
      <c r="N377" s="87" t="s">
        <v>390</v>
      </c>
      <c r="O377" s="87" t="s">
        <v>377</v>
      </c>
      <c r="P377" s="87" t="s">
        <v>372</v>
      </c>
    </row>
    <row r="378" ht="15.75" customHeight="1">
      <c r="A378" s="87" t="s">
        <v>1495</v>
      </c>
      <c r="B378" s="88">
        <v>1.22E18</v>
      </c>
      <c r="C378" s="87" t="s">
        <v>1496</v>
      </c>
      <c r="D378" s="87" t="s">
        <v>87</v>
      </c>
      <c r="E378" s="87" t="s">
        <v>88</v>
      </c>
      <c r="F378" s="87" t="s">
        <v>1496</v>
      </c>
      <c r="H378" s="87" t="s">
        <v>369</v>
      </c>
      <c r="I378" s="87" t="s">
        <v>327</v>
      </c>
      <c r="J378" s="87" t="s">
        <v>931</v>
      </c>
      <c r="K378" s="90">
        <v>600000.0</v>
      </c>
      <c r="L378" s="92"/>
      <c r="M378" s="87" t="s">
        <v>575</v>
      </c>
      <c r="N378" s="87" t="s">
        <v>390</v>
      </c>
      <c r="O378" s="87" t="s">
        <v>377</v>
      </c>
      <c r="P378" s="87" t="s">
        <v>372</v>
      </c>
    </row>
    <row r="379" ht="15.75" customHeight="1">
      <c r="A379" s="87" t="s">
        <v>1497</v>
      </c>
      <c r="B379" s="88">
        <v>1.22E18</v>
      </c>
      <c r="C379" s="87" t="s">
        <v>1498</v>
      </c>
      <c r="D379" s="87" t="s">
        <v>87</v>
      </c>
      <c r="E379" s="87" t="s">
        <v>88</v>
      </c>
      <c r="F379" s="87" t="s">
        <v>1498</v>
      </c>
      <c r="H379" s="87" t="s">
        <v>369</v>
      </c>
      <c r="I379" s="87" t="s">
        <v>327</v>
      </c>
      <c r="J379" s="87" t="s">
        <v>478</v>
      </c>
      <c r="K379" s="90">
        <v>0.0</v>
      </c>
      <c r="L379" s="92"/>
      <c r="M379" s="87" t="s">
        <v>575</v>
      </c>
      <c r="N379" s="87" t="s">
        <v>390</v>
      </c>
      <c r="O379" s="87" t="s">
        <v>377</v>
      </c>
      <c r="P379" s="87" t="s">
        <v>372</v>
      </c>
    </row>
    <row r="380" ht="15.75" customHeight="1">
      <c r="A380" s="87" t="s">
        <v>1499</v>
      </c>
      <c r="B380" s="88">
        <v>1.22E18</v>
      </c>
      <c r="C380" s="87" t="s">
        <v>1500</v>
      </c>
      <c r="D380" s="87" t="s">
        <v>87</v>
      </c>
      <c r="E380" s="87" t="s">
        <v>88</v>
      </c>
      <c r="F380" s="87" t="s">
        <v>1500</v>
      </c>
      <c r="H380" s="87" t="s">
        <v>369</v>
      </c>
      <c r="I380" s="87" t="s">
        <v>327</v>
      </c>
      <c r="J380" s="87" t="s">
        <v>1159</v>
      </c>
      <c r="K380" s="90">
        <v>0.0</v>
      </c>
      <c r="L380" s="92"/>
      <c r="M380" s="87" t="s">
        <v>575</v>
      </c>
      <c r="N380" s="87" t="s">
        <v>390</v>
      </c>
      <c r="O380" s="87" t="s">
        <v>377</v>
      </c>
      <c r="P380" s="87" t="s">
        <v>372</v>
      </c>
    </row>
    <row r="381" ht="15.75" customHeight="1">
      <c r="A381" s="87" t="s">
        <v>1501</v>
      </c>
      <c r="B381" s="88">
        <v>1.22E18</v>
      </c>
      <c r="C381" s="87" t="s">
        <v>1502</v>
      </c>
      <c r="D381" s="87" t="s">
        <v>87</v>
      </c>
      <c r="E381" s="87" t="s">
        <v>88</v>
      </c>
      <c r="F381" s="87" t="s">
        <v>1502</v>
      </c>
      <c r="H381" s="87" t="s">
        <v>471</v>
      </c>
      <c r="I381" s="87" t="s">
        <v>327</v>
      </c>
      <c r="J381" s="87" t="s">
        <v>1167</v>
      </c>
      <c r="K381" s="90">
        <v>300000.0</v>
      </c>
      <c r="L381" s="92"/>
      <c r="M381" s="87" t="s">
        <v>575</v>
      </c>
      <c r="N381" s="87" t="s">
        <v>390</v>
      </c>
      <c r="O381" s="87" t="s">
        <v>377</v>
      </c>
      <c r="P381" s="87" t="s">
        <v>372</v>
      </c>
    </row>
    <row r="382" ht="15.75" customHeight="1">
      <c r="A382" s="87" t="s">
        <v>1503</v>
      </c>
      <c r="B382" s="88">
        <v>1.22E18</v>
      </c>
      <c r="C382" s="87" t="s">
        <v>1504</v>
      </c>
      <c r="D382" s="87" t="s">
        <v>87</v>
      </c>
      <c r="E382" s="87" t="s">
        <v>88</v>
      </c>
      <c r="F382" s="87" t="s">
        <v>1504</v>
      </c>
      <c r="H382" s="87" t="s">
        <v>369</v>
      </c>
      <c r="I382" s="87" t="s">
        <v>327</v>
      </c>
      <c r="J382" s="87" t="s">
        <v>934</v>
      </c>
      <c r="K382" s="90">
        <v>0.0</v>
      </c>
      <c r="L382" s="92"/>
      <c r="M382" s="87" t="s">
        <v>575</v>
      </c>
      <c r="O382" s="87" t="s">
        <v>377</v>
      </c>
      <c r="P382" s="87" t="s">
        <v>372</v>
      </c>
    </row>
    <row r="383" ht="15.75" customHeight="1">
      <c r="A383" s="87" t="s">
        <v>1505</v>
      </c>
      <c r="B383" s="88">
        <v>1.22E18</v>
      </c>
      <c r="C383" s="87" t="s">
        <v>1506</v>
      </c>
      <c r="D383" s="87" t="s">
        <v>87</v>
      </c>
      <c r="E383" s="87" t="s">
        <v>88</v>
      </c>
      <c r="F383" s="87" t="s">
        <v>1506</v>
      </c>
      <c r="H383" s="87" t="s">
        <v>369</v>
      </c>
      <c r="I383" s="87" t="s">
        <v>327</v>
      </c>
      <c r="J383" s="87" t="s">
        <v>405</v>
      </c>
      <c r="K383" s="90">
        <v>0.0</v>
      </c>
      <c r="L383" s="92"/>
      <c r="M383" s="87" t="s">
        <v>575</v>
      </c>
      <c r="N383" s="87" t="s">
        <v>390</v>
      </c>
      <c r="O383" s="87" t="s">
        <v>377</v>
      </c>
      <c r="P383" s="87" t="s">
        <v>372</v>
      </c>
    </row>
    <row r="384" ht="15.75" customHeight="1">
      <c r="A384" s="87" t="s">
        <v>1507</v>
      </c>
      <c r="B384" s="88">
        <v>1.22E18</v>
      </c>
      <c r="C384" s="87" t="s">
        <v>1508</v>
      </c>
      <c r="D384" s="87" t="s">
        <v>87</v>
      </c>
      <c r="E384" s="87" t="s">
        <v>88</v>
      </c>
      <c r="F384" s="87" t="s">
        <v>1508</v>
      </c>
      <c r="H384" s="87" t="s">
        <v>369</v>
      </c>
      <c r="I384" s="87" t="s">
        <v>327</v>
      </c>
      <c r="J384" s="87" t="s">
        <v>1159</v>
      </c>
      <c r="K384" s="90">
        <v>0.0</v>
      </c>
      <c r="L384" s="92"/>
      <c r="M384" s="87" t="s">
        <v>575</v>
      </c>
      <c r="N384" s="87" t="s">
        <v>390</v>
      </c>
      <c r="O384" s="87" t="s">
        <v>377</v>
      </c>
      <c r="P384" s="87" t="s">
        <v>372</v>
      </c>
    </row>
    <row r="385" ht="15.75" customHeight="1">
      <c r="A385" s="87" t="s">
        <v>1509</v>
      </c>
      <c r="B385" s="88">
        <v>1.22E18</v>
      </c>
      <c r="C385" s="87" t="s">
        <v>1510</v>
      </c>
      <c r="D385" s="87" t="s">
        <v>87</v>
      </c>
      <c r="E385" s="87" t="s">
        <v>102</v>
      </c>
      <c r="F385" s="87" t="s">
        <v>1510</v>
      </c>
      <c r="H385" s="87" t="s">
        <v>1136</v>
      </c>
      <c r="I385" s="87" t="s">
        <v>327</v>
      </c>
      <c r="J385" s="87" t="s">
        <v>634</v>
      </c>
      <c r="K385" s="90">
        <v>0.0</v>
      </c>
      <c r="L385" s="92"/>
      <c r="M385" s="87" t="s">
        <v>575</v>
      </c>
      <c r="O385" s="87" t="s">
        <v>377</v>
      </c>
      <c r="P385" s="87" t="s">
        <v>372</v>
      </c>
    </row>
    <row r="386" ht="15.75" customHeight="1">
      <c r="A386" s="87" t="s">
        <v>1511</v>
      </c>
      <c r="B386" s="88">
        <v>1.22E18</v>
      </c>
      <c r="C386" s="87" t="s">
        <v>1512</v>
      </c>
      <c r="D386" s="87" t="s">
        <v>87</v>
      </c>
      <c r="E386" s="87" t="s">
        <v>88</v>
      </c>
      <c r="F386" s="87" t="s">
        <v>1512</v>
      </c>
      <c r="H386" s="87" t="s">
        <v>471</v>
      </c>
      <c r="I386" s="87" t="s">
        <v>327</v>
      </c>
      <c r="J386" s="87" t="s">
        <v>405</v>
      </c>
      <c r="K386" s="90">
        <v>0.0</v>
      </c>
      <c r="L386" s="92"/>
      <c r="M386" s="87" t="s">
        <v>575</v>
      </c>
      <c r="O386" s="87" t="s">
        <v>377</v>
      </c>
      <c r="P386" s="87" t="s">
        <v>372</v>
      </c>
    </row>
    <row r="387" ht="15.75" customHeight="1">
      <c r="A387" s="87" t="s">
        <v>1513</v>
      </c>
      <c r="B387" s="88">
        <v>1.22E18</v>
      </c>
      <c r="C387" s="87" t="s">
        <v>1514</v>
      </c>
      <c r="D387" s="87" t="s">
        <v>87</v>
      </c>
      <c r="E387" s="87" t="s">
        <v>88</v>
      </c>
      <c r="F387" s="87" t="s">
        <v>1514</v>
      </c>
      <c r="H387" s="87" t="s">
        <v>1515</v>
      </c>
      <c r="I387" s="87" t="s">
        <v>327</v>
      </c>
      <c r="J387" s="87" t="s">
        <v>934</v>
      </c>
      <c r="K387" s="90">
        <v>0.0</v>
      </c>
      <c r="L387" s="92"/>
      <c r="M387" s="87" t="s">
        <v>575</v>
      </c>
      <c r="O387" s="87" t="s">
        <v>377</v>
      </c>
      <c r="P387" s="87" t="s">
        <v>372</v>
      </c>
    </row>
    <row r="388" ht="15.75" customHeight="1">
      <c r="A388" s="87" t="s">
        <v>1516</v>
      </c>
      <c r="B388" s="88">
        <v>1.22E18</v>
      </c>
      <c r="C388" s="87" t="s">
        <v>1517</v>
      </c>
      <c r="D388" s="87" t="s">
        <v>87</v>
      </c>
      <c r="E388" s="87" t="s">
        <v>88</v>
      </c>
      <c r="F388" s="87" t="s">
        <v>1517</v>
      </c>
      <c r="H388" s="87" t="s">
        <v>1518</v>
      </c>
      <c r="I388" s="87" t="s">
        <v>327</v>
      </c>
      <c r="J388" s="87" t="s">
        <v>1140</v>
      </c>
      <c r="K388" s="90">
        <v>250000.0</v>
      </c>
      <c r="L388" s="92"/>
      <c r="M388" s="87" t="s">
        <v>575</v>
      </c>
      <c r="O388" s="87" t="s">
        <v>377</v>
      </c>
      <c r="P388" s="87" t="s">
        <v>372</v>
      </c>
    </row>
    <row r="389" ht="15.75" customHeight="1">
      <c r="A389" s="87" t="s">
        <v>1519</v>
      </c>
      <c r="B389" s="88">
        <v>1.22E18</v>
      </c>
      <c r="C389" s="87" t="s">
        <v>1520</v>
      </c>
      <c r="D389" s="87" t="s">
        <v>87</v>
      </c>
      <c r="E389" s="87" t="s">
        <v>88</v>
      </c>
      <c r="F389" s="87" t="s">
        <v>1520</v>
      </c>
      <c r="H389" s="87" t="s">
        <v>1521</v>
      </c>
      <c r="I389" s="87" t="s">
        <v>327</v>
      </c>
      <c r="J389" s="87" t="s">
        <v>1120</v>
      </c>
      <c r="K389" s="90">
        <v>200000.0</v>
      </c>
      <c r="L389" s="92"/>
      <c r="M389" s="87" t="s">
        <v>575</v>
      </c>
      <c r="O389" s="87" t="s">
        <v>377</v>
      </c>
      <c r="P389" s="87" t="s">
        <v>372</v>
      </c>
    </row>
    <row r="390" ht="15.75" customHeight="1">
      <c r="A390" s="87" t="s">
        <v>1522</v>
      </c>
      <c r="B390" s="88">
        <v>1.22E18</v>
      </c>
      <c r="C390" s="87" t="s">
        <v>1523</v>
      </c>
      <c r="D390" s="87" t="s">
        <v>87</v>
      </c>
      <c r="E390" s="87" t="s">
        <v>88</v>
      </c>
      <c r="F390" s="87" t="s">
        <v>1523</v>
      </c>
      <c r="H390" s="87" t="s">
        <v>369</v>
      </c>
      <c r="I390" s="87" t="s">
        <v>327</v>
      </c>
      <c r="J390" s="87" t="s">
        <v>1120</v>
      </c>
      <c r="K390" s="90">
        <v>0.0</v>
      </c>
      <c r="L390" s="92"/>
      <c r="M390" s="87" t="s">
        <v>575</v>
      </c>
      <c r="N390" s="87" t="s">
        <v>390</v>
      </c>
      <c r="O390" s="87" t="s">
        <v>377</v>
      </c>
      <c r="P390" s="87" t="s">
        <v>372</v>
      </c>
    </row>
    <row r="391" ht="15.75" customHeight="1">
      <c r="A391" s="87" t="s">
        <v>1524</v>
      </c>
      <c r="B391" s="88">
        <v>1.22E18</v>
      </c>
      <c r="C391" s="87" t="s">
        <v>1525</v>
      </c>
      <c r="D391" s="87" t="s">
        <v>87</v>
      </c>
      <c r="E391" s="87" t="s">
        <v>88</v>
      </c>
      <c r="F391" s="87" t="s">
        <v>1525</v>
      </c>
      <c r="H391" s="87" t="s">
        <v>369</v>
      </c>
      <c r="I391" s="87" t="s">
        <v>327</v>
      </c>
      <c r="J391" s="87" t="s">
        <v>1159</v>
      </c>
      <c r="K391" s="90">
        <v>0.0</v>
      </c>
      <c r="L391" s="92"/>
      <c r="M391" s="87" t="s">
        <v>575</v>
      </c>
      <c r="N391" s="87" t="s">
        <v>390</v>
      </c>
      <c r="O391" s="87" t="s">
        <v>377</v>
      </c>
      <c r="P391" s="87" t="s">
        <v>372</v>
      </c>
    </row>
    <row r="392" ht="15.75" customHeight="1">
      <c r="A392" s="87" t="s">
        <v>1526</v>
      </c>
      <c r="B392" s="88">
        <v>1.22E18</v>
      </c>
      <c r="C392" s="87" t="s">
        <v>1527</v>
      </c>
      <c r="D392" s="87" t="s">
        <v>87</v>
      </c>
      <c r="E392" s="87" t="s">
        <v>88</v>
      </c>
      <c r="F392" s="87" t="s">
        <v>1527</v>
      </c>
      <c r="H392" s="87" t="s">
        <v>369</v>
      </c>
      <c r="I392" s="87" t="s">
        <v>327</v>
      </c>
      <c r="J392" s="87" t="s">
        <v>678</v>
      </c>
      <c r="K392" s="90">
        <v>0.0</v>
      </c>
      <c r="L392" s="92"/>
      <c r="M392" s="87" t="s">
        <v>575</v>
      </c>
      <c r="N392" s="87" t="s">
        <v>390</v>
      </c>
      <c r="O392" s="87" t="s">
        <v>377</v>
      </c>
      <c r="P392" s="87" t="s">
        <v>372</v>
      </c>
    </row>
    <row r="393" ht="15.75" customHeight="1">
      <c r="A393" s="87" t="s">
        <v>1528</v>
      </c>
      <c r="B393" s="88">
        <v>1.22E18</v>
      </c>
      <c r="C393" s="87" t="s">
        <v>1529</v>
      </c>
      <c r="D393" s="87" t="s">
        <v>87</v>
      </c>
      <c r="E393" s="87" t="s">
        <v>88</v>
      </c>
      <c r="F393" s="87" t="s">
        <v>1529</v>
      </c>
      <c r="H393" s="87" t="s">
        <v>395</v>
      </c>
      <c r="I393" s="87" t="s">
        <v>327</v>
      </c>
      <c r="J393" s="87" t="s">
        <v>1530</v>
      </c>
      <c r="K393" s="90">
        <v>0.0</v>
      </c>
      <c r="L393" s="92"/>
      <c r="M393" s="87" t="s">
        <v>575</v>
      </c>
      <c r="O393" s="87" t="s">
        <v>377</v>
      </c>
      <c r="P393" s="87" t="s">
        <v>372</v>
      </c>
    </row>
    <row r="394" ht="15.75" customHeight="1">
      <c r="A394" s="87" t="s">
        <v>1531</v>
      </c>
      <c r="B394" s="88">
        <v>1.22E18</v>
      </c>
      <c r="C394" s="87" t="s">
        <v>1532</v>
      </c>
      <c r="D394" s="87" t="s">
        <v>87</v>
      </c>
      <c r="E394" s="87" t="s">
        <v>228</v>
      </c>
      <c r="F394" s="87" t="s">
        <v>1532</v>
      </c>
      <c r="H394" s="87" t="s">
        <v>1533</v>
      </c>
      <c r="I394" s="87" t="s">
        <v>327</v>
      </c>
      <c r="J394" s="87" t="s">
        <v>1534</v>
      </c>
      <c r="K394" s="90">
        <v>0.0</v>
      </c>
      <c r="L394" s="92"/>
      <c r="M394" s="87" t="s">
        <v>575</v>
      </c>
      <c r="O394" s="87" t="s">
        <v>377</v>
      </c>
      <c r="P394" s="87" t="s">
        <v>372</v>
      </c>
    </row>
    <row r="395" ht="15.75" customHeight="1">
      <c r="A395" s="87" t="s">
        <v>1535</v>
      </c>
      <c r="B395" s="88">
        <v>1.22E18</v>
      </c>
      <c r="C395" s="87" t="s">
        <v>1536</v>
      </c>
      <c r="D395" s="87" t="s">
        <v>87</v>
      </c>
      <c r="E395" s="87" t="s">
        <v>88</v>
      </c>
      <c r="F395" s="87" t="s">
        <v>1536</v>
      </c>
      <c r="H395" s="87" t="s">
        <v>369</v>
      </c>
      <c r="I395" s="87" t="s">
        <v>327</v>
      </c>
      <c r="J395" s="87" t="s">
        <v>1537</v>
      </c>
      <c r="K395" s="90">
        <v>0.0</v>
      </c>
      <c r="L395" s="92"/>
      <c r="M395" s="87" t="s">
        <v>575</v>
      </c>
      <c r="N395" s="87" t="s">
        <v>390</v>
      </c>
      <c r="O395" s="87" t="s">
        <v>377</v>
      </c>
      <c r="P395" s="87" t="s">
        <v>372</v>
      </c>
    </row>
    <row r="396" ht="15.75" customHeight="1">
      <c r="A396" s="87" t="s">
        <v>1538</v>
      </c>
      <c r="B396" s="88">
        <v>1.22E18</v>
      </c>
      <c r="C396" s="87" t="s">
        <v>1539</v>
      </c>
      <c r="D396" s="87" t="s">
        <v>87</v>
      </c>
      <c r="E396" s="87" t="s">
        <v>88</v>
      </c>
      <c r="F396" s="118" t="s">
        <v>1539</v>
      </c>
      <c r="G396" s="119"/>
      <c r="H396" s="87" t="s">
        <v>369</v>
      </c>
      <c r="I396" s="87" t="s">
        <v>327</v>
      </c>
      <c r="J396" s="87" t="s">
        <v>631</v>
      </c>
      <c r="K396" s="90">
        <v>80000.0</v>
      </c>
      <c r="L396" s="92"/>
      <c r="M396" s="87" t="s">
        <v>575</v>
      </c>
      <c r="N396" s="87" t="s">
        <v>390</v>
      </c>
      <c r="O396" s="87" t="s">
        <v>377</v>
      </c>
      <c r="P396" s="87" t="s">
        <v>372</v>
      </c>
    </row>
    <row r="397" ht="15.75" customHeight="1">
      <c r="A397" s="87" t="s">
        <v>1540</v>
      </c>
      <c r="B397" s="88">
        <v>1.22E18</v>
      </c>
      <c r="C397" s="87" t="s">
        <v>1541</v>
      </c>
      <c r="D397" s="87" t="s">
        <v>87</v>
      </c>
      <c r="E397" s="87" t="s">
        <v>88</v>
      </c>
      <c r="F397" s="87" t="s">
        <v>1541</v>
      </c>
      <c r="H397" s="87" t="s">
        <v>369</v>
      </c>
      <c r="I397" s="87" t="s">
        <v>327</v>
      </c>
      <c r="J397" s="87" t="s">
        <v>1205</v>
      </c>
      <c r="K397" s="90">
        <v>0.0</v>
      </c>
      <c r="L397" s="92"/>
      <c r="M397" s="87" t="s">
        <v>575</v>
      </c>
      <c r="N397" s="87" t="s">
        <v>390</v>
      </c>
      <c r="O397" s="87" t="s">
        <v>377</v>
      </c>
      <c r="P397" s="87" t="s">
        <v>372</v>
      </c>
    </row>
    <row r="398" ht="15.75" customHeight="1">
      <c r="A398" s="87" t="s">
        <v>1542</v>
      </c>
      <c r="B398" s="88">
        <v>1.22E18</v>
      </c>
      <c r="C398" s="87" t="s">
        <v>1543</v>
      </c>
      <c r="D398" s="87" t="s">
        <v>87</v>
      </c>
      <c r="E398" s="87" t="s">
        <v>88</v>
      </c>
      <c r="F398" s="87" t="s">
        <v>1543</v>
      </c>
      <c r="H398" s="87" t="s">
        <v>369</v>
      </c>
      <c r="I398" s="87" t="s">
        <v>327</v>
      </c>
      <c r="J398" s="87" t="s">
        <v>1062</v>
      </c>
      <c r="K398" s="90">
        <v>0.0</v>
      </c>
      <c r="L398" s="92"/>
      <c r="M398" s="87" t="s">
        <v>575</v>
      </c>
      <c r="O398" s="87" t="s">
        <v>377</v>
      </c>
      <c r="P398" s="87" t="s">
        <v>372</v>
      </c>
    </row>
    <row r="399" ht="15.75" customHeight="1">
      <c r="A399" s="87" t="s">
        <v>1544</v>
      </c>
      <c r="B399" s="88">
        <v>1.22E18</v>
      </c>
      <c r="C399" s="87" t="s">
        <v>1545</v>
      </c>
      <c r="D399" s="87" t="s">
        <v>87</v>
      </c>
      <c r="E399" s="87" t="s">
        <v>88</v>
      </c>
      <c r="F399" s="87" t="s">
        <v>1545</v>
      </c>
      <c r="H399" s="87" t="s">
        <v>1546</v>
      </c>
      <c r="I399" s="87" t="s">
        <v>327</v>
      </c>
      <c r="J399" s="87" t="s">
        <v>1198</v>
      </c>
      <c r="K399" s="90">
        <v>0.0</v>
      </c>
      <c r="L399" s="92"/>
      <c r="M399" s="87" t="s">
        <v>575</v>
      </c>
      <c r="O399" s="87" t="s">
        <v>377</v>
      </c>
      <c r="P399" s="87" t="s">
        <v>372</v>
      </c>
    </row>
    <row r="400" ht="15.75" customHeight="1">
      <c r="A400" s="87" t="s">
        <v>1547</v>
      </c>
      <c r="B400" s="88">
        <v>1.22E18</v>
      </c>
      <c r="C400" s="87" t="s">
        <v>1548</v>
      </c>
      <c r="D400" s="87" t="s">
        <v>87</v>
      </c>
      <c r="E400" s="87" t="s">
        <v>88</v>
      </c>
      <c r="F400" s="118" t="s">
        <v>1548</v>
      </c>
      <c r="G400" s="119"/>
      <c r="H400" s="87" t="s">
        <v>369</v>
      </c>
      <c r="I400" s="87" t="s">
        <v>327</v>
      </c>
      <c r="J400" s="87" t="s">
        <v>1549</v>
      </c>
      <c r="K400" s="90">
        <v>0.0</v>
      </c>
      <c r="L400" s="92"/>
      <c r="M400" s="87" t="s">
        <v>575</v>
      </c>
      <c r="N400" s="87" t="s">
        <v>390</v>
      </c>
      <c r="O400" s="87" t="s">
        <v>377</v>
      </c>
      <c r="P400" s="87" t="s">
        <v>372</v>
      </c>
    </row>
    <row r="401" ht="15.75" customHeight="1">
      <c r="A401" s="87" t="s">
        <v>1550</v>
      </c>
      <c r="B401" s="88">
        <v>1.22E18</v>
      </c>
      <c r="C401" s="87" t="s">
        <v>1551</v>
      </c>
      <c r="D401" s="87" t="s">
        <v>87</v>
      </c>
      <c r="E401" s="87" t="s">
        <v>88</v>
      </c>
      <c r="F401" s="87" t="s">
        <v>1551</v>
      </c>
      <c r="H401" s="87" t="s">
        <v>369</v>
      </c>
      <c r="I401" s="87" t="s">
        <v>327</v>
      </c>
      <c r="J401" s="87" t="s">
        <v>405</v>
      </c>
      <c r="K401" s="90">
        <v>0.0</v>
      </c>
      <c r="L401" s="92"/>
      <c r="M401" s="87" t="s">
        <v>575</v>
      </c>
      <c r="N401" s="87" t="s">
        <v>390</v>
      </c>
      <c r="O401" s="87" t="s">
        <v>377</v>
      </c>
      <c r="P401" s="87" t="s">
        <v>372</v>
      </c>
    </row>
    <row r="402" ht="15.75" customHeight="1">
      <c r="A402" s="87" t="s">
        <v>1552</v>
      </c>
      <c r="B402" s="88">
        <v>1.22E18</v>
      </c>
      <c r="C402" s="87" t="s">
        <v>1553</v>
      </c>
      <c r="D402" s="87" t="s">
        <v>87</v>
      </c>
      <c r="E402" s="87" t="s">
        <v>88</v>
      </c>
      <c r="F402" s="87" t="s">
        <v>1553</v>
      </c>
      <c r="H402" s="87" t="s">
        <v>1251</v>
      </c>
      <c r="I402" s="87" t="s">
        <v>327</v>
      </c>
      <c r="J402" s="87" t="s">
        <v>405</v>
      </c>
      <c r="K402" s="90">
        <v>0.0</v>
      </c>
      <c r="L402" s="92"/>
      <c r="M402" s="87" t="s">
        <v>575</v>
      </c>
      <c r="O402" s="87" t="s">
        <v>377</v>
      </c>
      <c r="P402" s="87" t="s">
        <v>372</v>
      </c>
    </row>
    <row r="403" ht="15.75" customHeight="1">
      <c r="A403" s="87" t="s">
        <v>1554</v>
      </c>
      <c r="B403" s="88">
        <v>1.22E18</v>
      </c>
      <c r="C403" s="87" t="s">
        <v>1555</v>
      </c>
      <c r="D403" s="87" t="s">
        <v>87</v>
      </c>
      <c r="E403" s="87" t="s">
        <v>88</v>
      </c>
      <c r="F403" s="87" t="s">
        <v>1555</v>
      </c>
      <c r="H403" s="87" t="s">
        <v>1152</v>
      </c>
      <c r="I403" s="87" t="s">
        <v>327</v>
      </c>
      <c r="J403" s="87" t="s">
        <v>405</v>
      </c>
      <c r="K403" s="90">
        <v>500000.0</v>
      </c>
      <c r="L403" s="92"/>
      <c r="M403" s="87" t="s">
        <v>575</v>
      </c>
      <c r="O403" s="87" t="s">
        <v>377</v>
      </c>
      <c r="P403" s="87" t="s">
        <v>372</v>
      </c>
    </row>
    <row r="404" ht="15.75" customHeight="1">
      <c r="A404" s="87" t="s">
        <v>1556</v>
      </c>
      <c r="B404" s="88">
        <v>1.22E18</v>
      </c>
      <c r="C404" s="87" t="s">
        <v>1557</v>
      </c>
      <c r="D404" s="87" t="s">
        <v>87</v>
      </c>
      <c r="E404" s="87" t="s">
        <v>88</v>
      </c>
      <c r="F404" s="87" t="s">
        <v>1557</v>
      </c>
      <c r="H404" s="87" t="s">
        <v>1558</v>
      </c>
      <c r="I404" s="87" t="s">
        <v>327</v>
      </c>
      <c r="J404" s="87" t="s">
        <v>405</v>
      </c>
      <c r="K404" s="90">
        <v>0.0</v>
      </c>
      <c r="L404" s="92"/>
      <c r="M404" s="87" t="s">
        <v>575</v>
      </c>
      <c r="O404" s="87" t="s">
        <v>377</v>
      </c>
      <c r="P404" s="87" t="s">
        <v>372</v>
      </c>
    </row>
    <row r="405" ht="15.75" customHeight="1">
      <c r="A405" s="87" t="s">
        <v>1559</v>
      </c>
      <c r="B405" s="88">
        <v>1.22E18</v>
      </c>
      <c r="C405" s="87" t="s">
        <v>1560</v>
      </c>
      <c r="D405" s="87" t="s">
        <v>87</v>
      </c>
      <c r="E405" s="87" t="s">
        <v>88</v>
      </c>
      <c r="F405" s="87" t="s">
        <v>1560</v>
      </c>
      <c r="H405" s="87" t="s">
        <v>369</v>
      </c>
      <c r="I405" s="87" t="s">
        <v>327</v>
      </c>
      <c r="J405" s="87" t="s">
        <v>405</v>
      </c>
      <c r="K405" s="90">
        <v>0.0</v>
      </c>
      <c r="L405" s="92"/>
      <c r="M405" s="87" t="s">
        <v>575</v>
      </c>
      <c r="N405" s="87" t="s">
        <v>390</v>
      </c>
      <c r="O405" s="87" t="s">
        <v>377</v>
      </c>
      <c r="P405" s="87" t="s">
        <v>372</v>
      </c>
    </row>
    <row r="406" ht="15.75" customHeight="1">
      <c r="A406" s="87" t="s">
        <v>1561</v>
      </c>
      <c r="B406" s="88">
        <v>1.22E18</v>
      </c>
      <c r="C406" s="87" t="s">
        <v>1562</v>
      </c>
      <c r="D406" s="87" t="s">
        <v>87</v>
      </c>
      <c r="E406" s="87" t="s">
        <v>88</v>
      </c>
      <c r="F406" s="87" t="s">
        <v>1562</v>
      </c>
      <c r="H406" s="87" t="s">
        <v>471</v>
      </c>
      <c r="I406" s="87" t="s">
        <v>327</v>
      </c>
      <c r="J406" s="87" t="s">
        <v>1563</v>
      </c>
      <c r="K406" s="90">
        <v>800.0</v>
      </c>
      <c r="L406" s="92"/>
      <c r="M406" s="87" t="s">
        <v>575</v>
      </c>
      <c r="O406" s="87" t="s">
        <v>377</v>
      </c>
      <c r="P406" s="87" t="s">
        <v>372</v>
      </c>
    </row>
    <row r="407" ht="15.75" customHeight="1">
      <c r="A407" s="87" t="s">
        <v>1564</v>
      </c>
      <c r="B407" s="88">
        <v>1.22E18</v>
      </c>
      <c r="C407" s="87" t="s">
        <v>1565</v>
      </c>
      <c r="D407" s="87" t="s">
        <v>87</v>
      </c>
      <c r="E407" s="87" t="s">
        <v>88</v>
      </c>
      <c r="F407" s="87" t="s">
        <v>1565</v>
      </c>
      <c r="H407" s="87" t="s">
        <v>369</v>
      </c>
      <c r="I407" s="87" t="s">
        <v>327</v>
      </c>
      <c r="J407" s="87" t="s">
        <v>678</v>
      </c>
      <c r="K407" s="90">
        <v>0.0</v>
      </c>
      <c r="L407" s="92"/>
      <c r="M407" s="87" t="s">
        <v>575</v>
      </c>
      <c r="N407" s="87" t="s">
        <v>390</v>
      </c>
      <c r="O407" s="87" t="s">
        <v>377</v>
      </c>
      <c r="P407" s="87" t="s">
        <v>372</v>
      </c>
    </row>
    <row r="408" ht="15.75" customHeight="1">
      <c r="A408" s="87" t="s">
        <v>1566</v>
      </c>
      <c r="B408" s="88">
        <v>1.22E18</v>
      </c>
      <c r="C408" s="87" t="s">
        <v>1567</v>
      </c>
      <c r="D408" s="87" t="s">
        <v>87</v>
      </c>
      <c r="E408" s="87" t="s">
        <v>88</v>
      </c>
      <c r="F408" s="87" t="s">
        <v>1567</v>
      </c>
      <c r="H408" s="87" t="s">
        <v>1234</v>
      </c>
      <c r="I408" s="87" t="s">
        <v>315</v>
      </c>
      <c r="J408" s="87" t="s">
        <v>1568</v>
      </c>
      <c r="K408" s="90">
        <v>0.0</v>
      </c>
      <c r="L408" s="92"/>
      <c r="M408" s="87" t="s">
        <v>575</v>
      </c>
      <c r="O408" s="87" t="s">
        <v>377</v>
      </c>
      <c r="P408" s="87" t="s">
        <v>372</v>
      </c>
    </row>
    <row r="409" ht="15.75" customHeight="1">
      <c r="A409" s="87" t="s">
        <v>1569</v>
      </c>
      <c r="B409" s="88">
        <v>1.22E18</v>
      </c>
      <c r="C409" s="87" t="s">
        <v>1570</v>
      </c>
      <c r="D409" s="87" t="s">
        <v>87</v>
      </c>
      <c r="E409" s="87" t="s">
        <v>88</v>
      </c>
      <c r="F409" s="87" t="s">
        <v>1570</v>
      </c>
      <c r="H409" s="87" t="s">
        <v>369</v>
      </c>
      <c r="I409" s="87" t="s">
        <v>327</v>
      </c>
      <c r="J409" s="87" t="s">
        <v>678</v>
      </c>
      <c r="K409" s="90">
        <v>0.0</v>
      </c>
      <c r="L409" s="92"/>
      <c r="M409" s="87" t="s">
        <v>575</v>
      </c>
      <c r="N409" s="87" t="s">
        <v>390</v>
      </c>
      <c r="O409" s="87" t="s">
        <v>377</v>
      </c>
      <c r="P409" s="87" t="s">
        <v>372</v>
      </c>
    </row>
    <row r="410" ht="15.75" customHeight="1">
      <c r="A410" s="87" t="s">
        <v>1571</v>
      </c>
      <c r="B410" s="88">
        <v>1.22E18</v>
      </c>
      <c r="C410" s="87" t="s">
        <v>1572</v>
      </c>
      <c r="D410" s="87" t="s">
        <v>87</v>
      </c>
      <c r="E410" s="87" t="s">
        <v>88</v>
      </c>
      <c r="F410" s="87" t="s">
        <v>1572</v>
      </c>
      <c r="H410" s="87" t="s">
        <v>1251</v>
      </c>
      <c r="I410" s="87" t="s">
        <v>327</v>
      </c>
      <c r="J410" s="87" t="s">
        <v>1198</v>
      </c>
      <c r="K410" s="90">
        <v>0.0</v>
      </c>
      <c r="L410" s="92"/>
      <c r="M410" s="87" t="s">
        <v>575</v>
      </c>
      <c r="O410" s="87" t="s">
        <v>377</v>
      </c>
      <c r="P410" s="87" t="s">
        <v>372</v>
      </c>
    </row>
    <row r="411" ht="15.75" customHeight="1">
      <c r="A411" s="87" t="s">
        <v>1573</v>
      </c>
      <c r="B411" s="88">
        <v>1.22E18</v>
      </c>
      <c r="C411" s="87" t="s">
        <v>1574</v>
      </c>
      <c r="D411" s="87" t="s">
        <v>87</v>
      </c>
      <c r="E411" s="87" t="s">
        <v>88</v>
      </c>
      <c r="F411" s="87" t="s">
        <v>1574</v>
      </c>
      <c r="H411" s="87" t="s">
        <v>369</v>
      </c>
      <c r="I411" s="87" t="s">
        <v>340</v>
      </c>
      <c r="J411" s="87" t="s">
        <v>1159</v>
      </c>
      <c r="K411" s="90">
        <v>0.0</v>
      </c>
      <c r="L411" s="92"/>
      <c r="M411" s="87" t="s">
        <v>575</v>
      </c>
      <c r="N411" s="87" t="s">
        <v>390</v>
      </c>
      <c r="O411" s="87" t="s">
        <v>377</v>
      </c>
      <c r="P411" s="87" t="s">
        <v>372</v>
      </c>
    </row>
    <row r="412" ht="15.75" customHeight="1">
      <c r="A412" s="87" t="s">
        <v>1575</v>
      </c>
      <c r="B412" s="88">
        <v>1.22E18</v>
      </c>
      <c r="C412" s="87" t="s">
        <v>1576</v>
      </c>
      <c r="D412" s="87" t="s">
        <v>87</v>
      </c>
      <c r="E412" s="87" t="s">
        <v>88</v>
      </c>
      <c r="F412" s="87" t="s">
        <v>1576</v>
      </c>
      <c r="H412" s="87" t="s">
        <v>369</v>
      </c>
      <c r="I412" s="87" t="s">
        <v>327</v>
      </c>
      <c r="J412" s="87" t="s">
        <v>1577</v>
      </c>
      <c r="K412" s="90">
        <v>0.0</v>
      </c>
      <c r="L412" s="92"/>
      <c r="M412" s="87" t="s">
        <v>575</v>
      </c>
      <c r="N412" s="87" t="s">
        <v>390</v>
      </c>
      <c r="O412" s="87" t="s">
        <v>377</v>
      </c>
      <c r="P412" s="87" t="s">
        <v>372</v>
      </c>
    </row>
    <row r="413" ht="15.75" customHeight="1">
      <c r="A413" s="87" t="s">
        <v>1578</v>
      </c>
      <c r="B413" s="88">
        <v>1.22E18</v>
      </c>
      <c r="C413" s="87" t="s">
        <v>1579</v>
      </c>
      <c r="D413" s="87" t="s">
        <v>87</v>
      </c>
      <c r="E413" s="87" t="s">
        <v>88</v>
      </c>
      <c r="F413" s="87" t="s">
        <v>1579</v>
      </c>
      <c r="H413" s="87" t="s">
        <v>369</v>
      </c>
      <c r="I413" s="87" t="s">
        <v>327</v>
      </c>
      <c r="J413" s="87" t="s">
        <v>1580</v>
      </c>
      <c r="K413" s="90">
        <v>0.0</v>
      </c>
      <c r="L413" s="92"/>
      <c r="M413" s="87" t="s">
        <v>575</v>
      </c>
      <c r="N413" s="87" t="s">
        <v>390</v>
      </c>
      <c r="O413" s="87" t="s">
        <v>377</v>
      </c>
      <c r="P413" s="87" t="s">
        <v>372</v>
      </c>
    </row>
    <row r="414" ht="15.75" customHeight="1">
      <c r="A414" s="87" t="s">
        <v>1581</v>
      </c>
      <c r="B414" s="88">
        <v>1.22E18</v>
      </c>
      <c r="C414" s="87" t="s">
        <v>1582</v>
      </c>
      <c r="D414" s="87" t="s">
        <v>87</v>
      </c>
      <c r="E414" s="87" t="s">
        <v>88</v>
      </c>
      <c r="F414" s="87" t="s">
        <v>1582</v>
      </c>
      <c r="H414" s="87" t="s">
        <v>369</v>
      </c>
      <c r="I414" s="87" t="s">
        <v>327</v>
      </c>
      <c r="J414" s="87" t="s">
        <v>631</v>
      </c>
      <c r="K414" s="90">
        <v>0.0</v>
      </c>
      <c r="L414" s="92"/>
      <c r="M414" s="87" t="s">
        <v>575</v>
      </c>
      <c r="N414" s="87" t="s">
        <v>390</v>
      </c>
      <c r="O414" s="87" t="s">
        <v>377</v>
      </c>
      <c r="P414" s="87" t="s">
        <v>372</v>
      </c>
    </row>
    <row r="415" ht="15.75" customHeight="1">
      <c r="A415" s="87" t="s">
        <v>1583</v>
      </c>
      <c r="B415" s="88">
        <v>1.22E18</v>
      </c>
      <c r="C415" s="87" t="s">
        <v>1584</v>
      </c>
      <c r="D415" s="87" t="s">
        <v>87</v>
      </c>
      <c r="E415" s="87" t="s">
        <v>88</v>
      </c>
      <c r="F415" s="87" t="s">
        <v>1584</v>
      </c>
      <c r="H415" s="87" t="s">
        <v>369</v>
      </c>
      <c r="I415" s="87" t="s">
        <v>327</v>
      </c>
      <c r="J415" s="87" t="s">
        <v>1159</v>
      </c>
      <c r="K415" s="90">
        <v>0.0</v>
      </c>
      <c r="L415" s="92"/>
      <c r="M415" s="87" t="s">
        <v>575</v>
      </c>
      <c r="N415" s="87" t="s">
        <v>390</v>
      </c>
      <c r="O415" s="87" t="s">
        <v>377</v>
      </c>
      <c r="P415" s="87" t="s">
        <v>372</v>
      </c>
    </row>
    <row r="416" ht="15.75" customHeight="1">
      <c r="A416" s="87" t="s">
        <v>1585</v>
      </c>
      <c r="B416" s="88">
        <v>1.22E18</v>
      </c>
      <c r="C416" s="87" t="s">
        <v>1586</v>
      </c>
      <c r="D416" s="87" t="s">
        <v>87</v>
      </c>
      <c r="E416" s="87" t="s">
        <v>88</v>
      </c>
      <c r="F416" s="87" t="s">
        <v>1586</v>
      </c>
      <c r="H416" s="87" t="s">
        <v>1587</v>
      </c>
      <c r="I416" s="87" t="s">
        <v>315</v>
      </c>
      <c r="J416" s="87" t="s">
        <v>1000</v>
      </c>
      <c r="K416" s="90">
        <v>0.0</v>
      </c>
      <c r="L416" s="92"/>
      <c r="M416" s="87" t="s">
        <v>575</v>
      </c>
      <c r="O416" s="87" t="s">
        <v>377</v>
      </c>
      <c r="P416" s="87" t="s">
        <v>372</v>
      </c>
    </row>
    <row r="417" ht="15.75" customHeight="1">
      <c r="A417" s="87" t="s">
        <v>1588</v>
      </c>
      <c r="B417" s="88">
        <v>1.22E18</v>
      </c>
      <c r="C417" s="87" t="s">
        <v>1589</v>
      </c>
      <c r="D417" s="87" t="s">
        <v>87</v>
      </c>
      <c r="E417" s="87" t="s">
        <v>88</v>
      </c>
      <c r="F417" s="87" t="s">
        <v>1589</v>
      </c>
      <c r="H417" s="87" t="s">
        <v>369</v>
      </c>
      <c r="I417" s="87" t="s">
        <v>327</v>
      </c>
      <c r="J417" s="87" t="s">
        <v>1336</v>
      </c>
      <c r="K417" s="90">
        <v>0.0</v>
      </c>
      <c r="L417" s="92"/>
      <c r="M417" s="87" t="s">
        <v>575</v>
      </c>
      <c r="N417" s="87" t="s">
        <v>390</v>
      </c>
      <c r="O417" s="87" t="s">
        <v>377</v>
      </c>
      <c r="P417" s="87" t="s">
        <v>372</v>
      </c>
    </row>
    <row r="418" ht="15.75" customHeight="1">
      <c r="A418" s="87" t="s">
        <v>1590</v>
      </c>
      <c r="B418" s="88">
        <v>1.22E18</v>
      </c>
      <c r="C418" s="87" t="s">
        <v>1591</v>
      </c>
      <c r="D418" s="87" t="s">
        <v>87</v>
      </c>
      <c r="E418" s="87" t="s">
        <v>88</v>
      </c>
      <c r="F418" s="118" t="s">
        <v>1591</v>
      </c>
      <c r="G418" s="119"/>
      <c r="H418" s="87" t="s">
        <v>1259</v>
      </c>
      <c r="I418" s="87" t="s">
        <v>327</v>
      </c>
      <c r="J418" s="87" t="s">
        <v>1245</v>
      </c>
      <c r="K418" s="90">
        <v>0.0</v>
      </c>
      <c r="L418" s="92"/>
      <c r="M418" s="87" t="s">
        <v>575</v>
      </c>
      <c r="O418" s="87" t="s">
        <v>377</v>
      </c>
      <c r="P418" s="87" t="s">
        <v>372</v>
      </c>
    </row>
    <row r="419" ht="15.75" customHeight="1">
      <c r="A419" s="87" t="s">
        <v>1592</v>
      </c>
      <c r="B419" s="88">
        <v>1.22E18</v>
      </c>
      <c r="C419" s="87" t="s">
        <v>1593</v>
      </c>
      <c r="D419" s="87" t="s">
        <v>87</v>
      </c>
      <c r="E419" s="87" t="s">
        <v>88</v>
      </c>
      <c r="F419" s="87" t="s">
        <v>1593</v>
      </c>
      <c r="H419" s="87" t="s">
        <v>369</v>
      </c>
      <c r="I419" s="87" t="s">
        <v>327</v>
      </c>
      <c r="J419" s="87" t="s">
        <v>1594</v>
      </c>
      <c r="K419" s="90">
        <v>30000.0</v>
      </c>
      <c r="L419" s="92"/>
      <c r="M419" s="87" t="s">
        <v>575</v>
      </c>
      <c r="O419" s="87" t="s">
        <v>377</v>
      </c>
      <c r="P419" s="87" t="s">
        <v>372</v>
      </c>
    </row>
    <row r="420" ht="15.75" customHeight="1">
      <c r="A420" s="87" t="s">
        <v>1595</v>
      </c>
      <c r="B420" s="88">
        <v>1.22E18</v>
      </c>
      <c r="C420" s="87" t="s">
        <v>1596</v>
      </c>
      <c r="D420" s="87" t="s">
        <v>262</v>
      </c>
      <c r="E420" s="87" t="s">
        <v>270</v>
      </c>
      <c r="F420" s="87" t="s">
        <v>1596</v>
      </c>
      <c r="H420" s="87" t="s">
        <v>1597</v>
      </c>
      <c r="I420" s="87" t="s">
        <v>327</v>
      </c>
      <c r="J420" s="87" t="s">
        <v>1598</v>
      </c>
      <c r="K420" s="90">
        <v>0.0</v>
      </c>
      <c r="L420" s="92"/>
      <c r="M420" s="87" t="s">
        <v>575</v>
      </c>
      <c r="O420" s="87" t="s">
        <v>377</v>
      </c>
      <c r="P420" s="87" t="s">
        <v>372</v>
      </c>
    </row>
    <row r="421" ht="15.75" customHeight="1">
      <c r="A421" s="87" t="s">
        <v>1599</v>
      </c>
      <c r="B421" s="88">
        <v>1.22E18</v>
      </c>
      <c r="C421" s="87" t="s">
        <v>1600</v>
      </c>
      <c r="D421" s="87" t="s">
        <v>262</v>
      </c>
      <c r="E421" s="87" t="s">
        <v>270</v>
      </c>
      <c r="F421" s="87" t="s">
        <v>1600</v>
      </c>
      <c r="H421" s="87" t="s">
        <v>1597</v>
      </c>
      <c r="I421" s="87" t="s">
        <v>327</v>
      </c>
      <c r="J421" s="87" t="s">
        <v>1598</v>
      </c>
      <c r="K421" s="90">
        <v>0.0</v>
      </c>
      <c r="L421" s="92"/>
      <c r="M421" s="87" t="s">
        <v>575</v>
      </c>
      <c r="O421" s="87" t="s">
        <v>377</v>
      </c>
      <c r="P421" s="87" t="s">
        <v>372</v>
      </c>
    </row>
    <row r="422" ht="15.75" customHeight="1">
      <c r="A422" s="87" t="s">
        <v>1601</v>
      </c>
      <c r="B422" s="88">
        <v>1.22E18</v>
      </c>
      <c r="C422" s="87" t="s">
        <v>1602</v>
      </c>
      <c r="D422" s="87" t="s">
        <v>262</v>
      </c>
      <c r="E422" s="87" t="s">
        <v>270</v>
      </c>
      <c r="F422" s="87" t="s">
        <v>1602</v>
      </c>
      <c r="H422" s="87" t="s">
        <v>1597</v>
      </c>
      <c r="I422" s="87" t="s">
        <v>327</v>
      </c>
      <c r="J422" s="87" t="s">
        <v>1598</v>
      </c>
      <c r="K422" s="90">
        <v>0.0</v>
      </c>
      <c r="L422" s="92"/>
      <c r="M422" s="87" t="s">
        <v>575</v>
      </c>
      <c r="O422" s="87" t="s">
        <v>377</v>
      </c>
      <c r="P422" s="87" t="s">
        <v>372</v>
      </c>
    </row>
    <row r="423" ht="15.75" customHeight="1">
      <c r="A423" s="87" t="s">
        <v>1603</v>
      </c>
      <c r="B423" s="88">
        <v>1.22E18</v>
      </c>
      <c r="C423" s="87" t="s">
        <v>1604</v>
      </c>
      <c r="D423" s="87" t="s">
        <v>87</v>
      </c>
      <c r="E423" s="87" t="s">
        <v>88</v>
      </c>
      <c r="F423" s="87" t="s">
        <v>1604</v>
      </c>
      <c r="H423" s="87" t="s">
        <v>369</v>
      </c>
      <c r="I423" s="87" t="s">
        <v>327</v>
      </c>
      <c r="J423" s="87" t="s">
        <v>1605</v>
      </c>
      <c r="K423" s="90">
        <v>0.0</v>
      </c>
      <c r="L423" s="92"/>
      <c r="M423" s="87" t="s">
        <v>575</v>
      </c>
      <c r="N423" s="87" t="s">
        <v>390</v>
      </c>
      <c r="O423" s="87" t="s">
        <v>377</v>
      </c>
      <c r="P423" s="87" t="s">
        <v>372</v>
      </c>
    </row>
    <row r="424" ht="15.75" customHeight="1">
      <c r="A424" s="87" t="s">
        <v>1606</v>
      </c>
      <c r="B424" s="88">
        <v>1.22E18</v>
      </c>
      <c r="C424" s="87" t="s">
        <v>1607</v>
      </c>
      <c r="D424" s="87" t="s">
        <v>87</v>
      </c>
      <c r="E424" s="87" t="s">
        <v>88</v>
      </c>
      <c r="F424" s="87" t="s">
        <v>1607</v>
      </c>
      <c r="H424" s="87" t="s">
        <v>369</v>
      </c>
      <c r="I424" s="87" t="s">
        <v>327</v>
      </c>
      <c r="J424" s="87" t="s">
        <v>1187</v>
      </c>
      <c r="K424" s="90">
        <v>0.0</v>
      </c>
      <c r="L424" s="92"/>
      <c r="M424" s="87" t="s">
        <v>575</v>
      </c>
      <c r="N424" s="87" t="s">
        <v>390</v>
      </c>
      <c r="O424" s="87" t="s">
        <v>377</v>
      </c>
      <c r="P424" s="87" t="s">
        <v>372</v>
      </c>
    </row>
    <row r="425" ht="15.75" customHeight="1">
      <c r="A425" s="87" t="s">
        <v>1608</v>
      </c>
      <c r="B425" s="88">
        <v>1.22E18</v>
      </c>
      <c r="C425" s="87" t="s">
        <v>1609</v>
      </c>
      <c r="D425" s="87" t="s">
        <v>87</v>
      </c>
      <c r="E425" s="87" t="s">
        <v>88</v>
      </c>
      <c r="F425" s="87" t="s">
        <v>1609</v>
      </c>
      <c r="H425" s="87" t="s">
        <v>369</v>
      </c>
      <c r="I425" s="87" t="s">
        <v>327</v>
      </c>
      <c r="J425" s="87" t="s">
        <v>678</v>
      </c>
      <c r="K425" s="90">
        <v>15000.0</v>
      </c>
      <c r="L425" s="92"/>
      <c r="M425" s="87" t="s">
        <v>575</v>
      </c>
      <c r="N425" s="87" t="s">
        <v>390</v>
      </c>
      <c r="O425" s="87" t="s">
        <v>377</v>
      </c>
      <c r="P425" s="87" t="s">
        <v>372</v>
      </c>
    </row>
    <row r="426" ht="15.75" customHeight="1">
      <c r="A426" s="87" t="s">
        <v>1610</v>
      </c>
      <c r="B426" s="88">
        <v>1.22E18</v>
      </c>
      <c r="C426" s="87" t="s">
        <v>1611</v>
      </c>
      <c r="D426" s="87" t="s">
        <v>87</v>
      </c>
      <c r="E426" s="87" t="s">
        <v>88</v>
      </c>
      <c r="F426" s="87" t="s">
        <v>1611</v>
      </c>
      <c r="H426" s="87" t="s">
        <v>369</v>
      </c>
      <c r="I426" s="87" t="s">
        <v>327</v>
      </c>
      <c r="J426" s="87" t="s">
        <v>1187</v>
      </c>
      <c r="K426" s="90">
        <v>10000.0</v>
      </c>
      <c r="L426" s="92"/>
      <c r="M426" s="87" t="s">
        <v>575</v>
      </c>
      <c r="N426" s="87" t="s">
        <v>390</v>
      </c>
      <c r="O426" s="87" t="s">
        <v>377</v>
      </c>
      <c r="P426" s="87" t="s">
        <v>372</v>
      </c>
    </row>
    <row r="427" ht="15.75" customHeight="1">
      <c r="A427" s="87" t="s">
        <v>1612</v>
      </c>
      <c r="B427" s="88">
        <v>1.22E18</v>
      </c>
      <c r="C427" s="87" t="s">
        <v>1613</v>
      </c>
      <c r="D427" s="87" t="s">
        <v>87</v>
      </c>
      <c r="E427" s="87" t="s">
        <v>88</v>
      </c>
      <c r="F427" s="87" t="s">
        <v>1613</v>
      </c>
      <c r="H427" s="87" t="s">
        <v>369</v>
      </c>
      <c r="I427" s="87" t="s">
        <v>327</v>
      </c>
      <c r="J427" s="87" t="s">
        <v>1198</v>
      </c>
      <c r="K427" s="90">
        <v>30000.0</v>
      </c>
      <c r="L427" s="92"/>
      <c r="M427" s="87" t="s">
        <v>575</v>
      </c>
      <c r="N427" s="87" t="s">
        <v>390</v>
      </c>
      <c r="O427" s="87" t="s">
        <v>377</v>
      </c>
      <c r="P427" s="87" t="s">
        <v>372</v>
      </c>
    </row>
    <row r="428" ht="15.75" customHeight="1">
      <c r="A428" s="87" t="s">
        <v>1614</v>
      </c>
      <c r="B428" s="88">
        <v>1.22E18</v>
      </c>
      <c r="C428" s="87" t="s">
        <v>1615</v>
      </c>
      <c r="D428" s="87" t="s">
        <v>87</v>
      </c>
      <c r="E428" s="87" t="s">
        <v>88</v>
      </c>
      <c r="F428" s="87" t="s">
        <v>1615</v>
      </c>
      <c r="H428" s="87" t="s">
        <v>369</v>
      </c>
      <c r="I428" s="87" t="s">
        <v>327</v>
      </c>
      <c r="J428" s="87" t="s">
        <v>1159</v>
      </c>
      <c r="K428" s="90">
        <v>0.0</v>
      </c>
      <c r="L428" s="92"/>
      <c r="M428" s="87" t="s">
        <v>575</v>
      </c>
      <c r="N428" s="87" t="s">
        <v>390</v>
      </c>
      <c r="O428" s="87" t="s">
        <v>377</v>
      </c>
      <c r="P428" s="87" t="s">
        <v>372</v>
      </c>
    </row>
    <row r="429" ht="15.75" customHeight="1">
      <c r="A429" s="87" t="s">
        <v>1616</v>
      </c>
      <c r="B429" s="88">
        <v>1.22E18</v>
      </c>
      <c r="C429" s="87" t="s">
        <v>1617</v>
      </c>
      <c r="D429" s="87" t="s">
        <v>87</v>
      </c>
      <c r="E429" s="87" t="s">
        <v>88</v>
      </c>
      <c r="F429" s="87" t="s">
        <v>1617</v>
      </c>
      <c r="H429" s="87" t="s">
        <v>1251</v>
      </c>
      <c r="I429" s="87" t="s">
        <v>327</v>
      </c>
      <c r="J429" s="87" t="s">
        <v>1137</v>
      </c>
      <c r="K429" s="90">
        <v>500000.0</v>
      </c>
      <c r="L429" s="92"/>
      <c r="M429" s="87" t="s">
        <v>575</v>
      </c>
      <c r="O429" s="87" t="s">
        <v>377</v>
      </c>
      <c r="P429" s="87" t="s">
        <v>372</v>
      </c>
    </row>
    <row r="430" ht="15.75" customHeight="1">
      <c r="A430" s="87" t="s">
        <v>1618</v>
      </c>
      <c r="B430" s="88">
        <v>1.22E18</v>
      </c>
      <c r="C430" s="87" t="s">
        <v>1619</v>
      </c>
      <c r="D430" s="87" t="s">
        <v>87</v>
      </c>
      <c r="E430" s="87" t="s">
        <v>88</v>
      </c>
      <c r="F430" s="87" t="s">
        <v>1619</v>
      </c>
      <c r="H430" s="87" t="s">
        <v>369</v>
      </c>
      <c r="I430" s="87" t="s">
        <v>327</v>
      </c>
      <c r="J430" s="87" t="s">
        <v>1620</v>
      </c>
      <c r="K430" s="90">
        <v>0.0</v>
      </c>
      <c r="L430" s="92"/>
      <c r="M430" s="87" t="s">
        <v>575</v>
      </c>
      <c r="N430" s="87" t="s">
        <v>390</v>
      </c>
      <c r="O430" s="87" t="s">
        <v>377</v>
      </c>
      <c r="P430" s="87" t="s">
        <v>372</v>
      </c>
    </row>
    <row r="431" ht="15.75" customHeight="1">
      <c r="A431" s="87" t="s">
        <v>1621</v>
      </c>
      <c r="B431" s="88">
        <v>1.22E18</v>
      </c>
      <c r="C431" s="87" t="s">
        <v>1622</v>
      </c>
      <c r="D431" s="87" t="s">
        <v>87</v>
      </c>
      <c r="E431" s="87" t="s">
        <v>102</v>
      </c>
      <c r="F431" s="87" t="s">
        <v>1622</v>
      </c>
      <c r="H431" s="87" t="s">
        <v>1136</v>
      </c>
      <c r="I431" s="87" t="s">
        <v>327</v>
      </c>
      <c r="J431" s="87" t="s">
        <v>1447</v>
      </c>
      <c r="K431" s="90">
        <v>0.0</v>
      </c>
      <c r="L431" s="92"/>
      <c r="M431" s="87" t="s">
        <v>575</v>
      </c>
      <c r="O431" s="87" t="s">
        <v>377</v>
      </c>
      <c r="P431" s="87" t="s">
        <v>372</v>
      </c>
    </row>
    <row r="432" ht="15.75" customHeight="1">
      <c r="A432" s="87" t="s">
        <v>1623</v>
      </c>
      <c r="B432" s="88">
        <v>1.22E18</v>
      </c>
      <c r="C432" s="87" t="s">
        <v>1624</v>
      </c>
      <c r="D432" s="87" t="s">
        <v>87</v>
      </c>
      <c r="E432" s="87" t="s">
        <v>88</v>
      </c>
      <c r="F432" s="87" t="s">
        <v>1624</v>
      </c>
      <c r="H432" s="87" t="s">
        <v>369</v>
      </c>
      <c r="I432" s="87" t="s">
        <v>327</v>
      </c>
      <c r="J432" s="87" t="s">
        <v>1625</v>
      </c>
      <c r="K432" s="90">
        <v>0.0</v>
      </c>
      <c r="L432" s="92"/>
      <c r="M432" s="87" t="s">
        <v>575</v>
      </c>
      <c r="N432" s="87" t="s">
        <v>390</v>
      </c>
      <c r="O432" s="87" t="s">
        <v>377</v>
      </c>
      <c r="P432" s="87" t="s">
        <v>372</v>
      </c>
    </row>
    <row r="433" ht="15.75" customHeight="1">
      <c r="A433" s="87" t="s">
        <v>1626</v>
      </c>
      <c r="B433" s="88">
        <v>1.22E18</v>
      </c>
      <c r="C433" s="87" t="s">
        <v>1627</v>
      </c>
      <c r="D433" s="87" t="s">
        <v>87</v>
      </c>
      <c r="E433" s="87" t="s">
        <v>88</v>
      </c>
      <c r="F433" s="87" t="s">
        <v>1627</v>
      </c>
      <c r="H433" s="87" t="s">
        <v>369</v>
      </c>
      <c r="I433" s="87" t="s">
        <v>327</v>
      </c>
      <c r="J433" s="87" t="s">
        <v>1159</v>
      </c>
      <c r="K433" s="90">
        <v>0.0</v>
      </c>
      <c r="L433" s="92"/>
      <c r="M433" s="87" t="s">
        <v>575</v>
      </c>
      <c r="N433" s="87" t="s">
        <v>390</v>
      </c>
      <c r="O433" s="87" t="s">
        <v>377</v>
      </c>
      <c r="P433" s="87" t="s">
        <v>372</v>
      </c>
    </row>
    <row r="434" ht="15.75" customHeight="1">
      <c r="A434" s="87" t="s">
        <v>1628</v>
      </c>
      <c r="B434" s="88">
        <v>1.22E18</v>
      </c>
      <c r="C434" s="87" t="s">
        <v>1629</v>
      </c>
      <c r="D434" s="87" t="s">
        <v>87</v>
      </c>
      <c r="E434" s="87" t="s">
        <v>88</v>
      </c>
      <c r="F434" s="87" t="s">
        <v>1629</v>
      </c>
      <c r="H434" s="87" t="s">
        <v>369</v>
      </c>
      <c r="I434" s="87" t="s">
        <v>315</v>
      </c>
      <c r="J434" s="87" t="s">
        <v>1187</v>
      </c>
      <c r="K434" s="90">
        <v>70000.0</v>
      </c>
      <c r="L434" s="92"/>
      <c r="M434" s="87" t="s">
        <v>575</v>
      </c>
      <c r="N434" s="87" t="s">
        <v>390</v>
      </c>
      <c r="O434" s="87" t="s">
        <v>377</v>
      </c>
      <c r="P434" s="87" t="s">
        <v>372</v>
      </c>
    </row>
    <row r="435" ht="15.75" customHeight="1">
      <c r="A435" s="87" t="s">
        <v>1630</v>
      </c>
      <c r="B435" s="88">
        <v>1.22E18</v>
      </c>
      <c r="C435" s="87" t="s">
        <v>1631</v>
      </c>
      <c r="D435" s="87" t="s">
        <v>87</v>
      </c>
      <c r="E435" s="87" t="s">
        <v>88</v>
      </c>
      <c r="F435" s="87" t="s">
        <v>1631</v>
      </c>
      <c r="H435" s="87" t="s">
        <v>369</v>
      </c>
      <c r="I435" s="87" t="s">
        <v>315</v>
      </c>
      <c r="J435" s="87" t="s">
        <v>1198</v>
      </c>
      <c r="K435" s="90">
        <v>0.0</v>
      </c>
      <c r="L435" s="92"/>
      <c r="M435" s="87" t="s">
        <v>575</v>
      </c>
      <c r="N435" s="87" t="s">
        <v>390</v>
      </c>
      <c r="O435" s="87" t="s">
        <v>377</v>
      </c>
      <c r="P435" s="87" t="s">
        <v>372</v>
      </c>
    </row>
    <row r="436" ht="15.75" customHeight="1">
      <c r="A436" s="87" t="s">
        <v>1632</v>
      </c>
      <c r="B436" s="88">
        <v>1.22E18</v>
      </c>
      <c r="C436" s="87" t="s">
        <v>1633</v>
      </c>
      <c r="D436" s="87" t="s">
        <v>87</v>
      </c>
      <c r="E436" s="87" t="s">
        <v>88</v>
      </c>
      <c r="F436" s="87" t="s">
        <v>1633</v>
      </c>
      <c r="H436" s="87" t="s">
        <v>369</v>
      </c>
      <c r="I436" s="87" t="s">
        <v>315</v>
      </c>
      <c r="J436" s="87" t="s">
        <v>405</v>
      </c>
      <c r="K436" s="90">
        <v>250000.0</v>
      </c>
      <c r="L436" s="92"/>
      <c r="M436" s="87" t="s">
        <v>575</v>
      </c>
      <c r="N436" s="87" t="s">
        <v>390</v>
      </c>
      <c r="O436" s="87" t="s">
        <v>377</v>
      </c>
      <c r="P436" s="87" t="s">
        <v>372</v>
      </c>
    </row>
    <row r="437" ht="15.75" customHeight="1">
      <c r="A437" s="87" t="s">
        <v>1634</v>
      </c>
      <c r="B437" s="88">
        <v>1.22E18</v>
      </c>
      <c r="C437" s="87" t="s">
        <v>1635</v>
      </c>
      <c r="D437" s="87" t="s">
        <v>87</v>
      </c>
      <c r="E437" s="87" t="s">
        <v>88</v>
      </c>
      <c r="F437" s="87" t="s">
        <v>1635</v>
      </c>
      <c r="H437" s="87" t="s">
        <v>369</v>
      </c>
      <c r="I437" s="87" t="s">
        <v>315</v>
      </c>
      <c r="J437" s="87" t="s">
        <v>1278</v>
      </c>
      <c r="K437" s="90">
        <v>0.0</v>
      </c>
      <c r="L437" s="92"/>
      <c r="M437" s="87" t="s">
        <v>575</v>
      </c>
      <c r="N437" s="87" t="s">
        <v>390</v>
      </c>
      <c r="O437" s="87" t="s">
        <v>377</v>
      </c>
      <c r="P437" s="87" t="s">
        <v>372</v>
      </c>
    </row>
    <row r="438" ht="15.75" customHeight="1">
      <c r="A438" s="87" t="s">
        <v>1636</v>
      </c>
      <c r="B438" s="88">
        <v>1.22E18</v>
      </c>
      <c r="C438" s="87" t="s">
        <v>1637</v>
      </c>
      <c r="D438" s="87" t="s">
        <v>87</v>
      </c>
      <c r="E438" s="87" t="s">
        <v>88</v>
      </c>
      <c r="F438" s="118" t="s">
        <v>1637</v>
      </c>
      <c r="G438" s="119"/>
      <c r="H438" s="87" t="s">
        <v>369</v>
      </c>
      <c r="I438" s="87" t="s">
        <v>315</v>
      </c>
      <c r="J438" s="87" t="s">
        <v>1000</v>
      </c>
      <c r="K438" s="90">
        <v>0.0</v>
      </c>
      <c r="L438" s="92"/>
      <c r="M438" s="87" t="s">
        <v>575</v>
      </c>
      <c r="N438" s="87" t="s">
        <v>390</v>
      </c>
      <c r="O438" s="87" t="s">
        <v>377</v>
      </c>
      <c r="P438" s="87" t="s">
        <v>372</v>
      </c>
    </row>
    <row r="439" ht="15.75" customHeight="1">
      <c r="A439" s="87" t="s">
        <v>1638</v>
      </c>
      <c r="B439" s="88">
        <v>1.22E18</v>
      </c>
      <c r="C439" s="87" t="s">
        <v>1639</v>
      </c>
      <c r="D439" s="87" t="s">
        <v>87</v>
      </c>
      <c r="E439" s="87" t="s">
        <v>88</v>
      </c>
      <c r="F439" s="87" t="s">
        <v>1639</v>
      </c>
      <c r="H439" s="87" t="s">
        <v>369</v>
      </c>
      <c r="I439" s="87" t="s">
        <v>315</v>
      </c>
      <c r="J439" s="87" t="s">
        <v>1000</v>
      </c>
      <c r="K439" s="90">
        <v>500000.0</v>
      </c>
      <c r="L439" s="92"/>
      <c r="M439" s="87" t="s">
        <v>575</v>
      </c>
      <c r="N439" s="87" t="s">
        <v>390</v>
      </c>
      <c r="O439" s="87" t="s">
        <v>377</v>
      </c>
      <c r="P439" s="87" t="s">
        <v>372</v>
      </c>
    </row>
    <row r="440" ht="15.75" customHeight="1">
      <c r="A440" s="87" t="s">
        <v>1640</v>
      </c>
      <c r="B440" s="88">
        <v>1.22E18</v>
      </c>
      <c r="C440" s="87" t="s">
        <v>1641</v>
      </c>
      <c r="D440" s="87" t="s">
        <v>87</v>
      </c>
      <c r="E440" s="87" t="s">
        <v>88</v>
      </c>
      <c r="F440" s="87" t="s">
        <v>1641</v>
      </c>
      <c r="H440" s="87" t="s">
        <v>369</v>
      </c>
      <c r="I440" s="87" t="s">
        <v>327</v>
      </c>
      <c r="J440" s="87" t="s">
        <v>1198</v>
      </c>
      <c r="K440" s="90">
        <v>0.0</v>
      </c>
      <c r="L440" s="92"/>
      <c r="M440" s="87" t="s">
        <v>575</v>
      </c>
      <c r="N440" s="87" t="s">
        <v>390</v>
      </c>
      <c r="O440" s="87" t="s">
        <v>377</v>
      </c>
      <c r="P440" s="87" t="s">
        <v>372</v>
      </c>
    </row>
    <row r="441" ht="15.75" customHeight="1">
      <c r="A441" s="87" t="s">
        <v>1642</v>
      </c>
      <c r="B441" s="88">
        <v>1.22E18</v>
      </c>
      <c r="C441" s="87" t="s">
        <v>1643</v>
      </c>
      <c r="D441" s="87" t="s">
        <v>87</v>
      </c>
      <c r="E441" s="87" t="s">
        <v>88</v>
      </c>
      <c r="F441" s="87" t="s">
        <v>1643</v>
      </c>
      <c r="H441" s="87" t="s">
        <v>369</v>
      </c>
      <c r="I441" s="87" t="s">
        <v>327</v>
      </c>
      <c r="J441" s="87" t="s">
        <v>1198</v>
      </c>
      <c r="K441" s="90">
        <v>0.0</v>
      </c>
      <c r="L441" s="92"/>
      <c r="M441" s="87" t="s">
        <v>575</v>
      </c>
      <c r="N441" s="87" t="s">
        <v>390</v>
      </c>
      <c r="O441" s="87" t="s">
        <v>377</v>
      </c>
      <c r="P441" s="87" t="s">
        <v>372</v>
      </c>
    </row>
    <row r="442" ht="15.75" customHeight="1">
      <c r="A442" s="87" t="s">
        <v>1644</v>
      </c>
      <c r="B442" s="88">
        <v>1.22E18</v>
      </c>
      <c r="C442" s="87" t="s">
        <v>1645</v>
      </c>
      <c r="D442" s="87" t="s">
        <v>87</v>
      </c>
      <c r="E442" s="87" t="s">
        <v>88</v>
      </c>
      <c r="F442" s="87" t="s">
        <v>1645</v>
      </c>
      <c r="H442" s="87" t="s">
        <v>1646</v>
      </c>
      <c r="I442" s="87" t="s">
        <v>315</v>
      </c>
      <c r="J442" s="87" t="s">
        <v>513</v>
      </c>
      <c r="K442" s="90">
        <v>0.0</v>
      </c>
      <c r="L442" s="92"/>
      <c r="M442" s="87" t="s">
        <v>575</v>
      </c>
      <c r="N442" s="87" t="s">
        <v>390</v>
      </c>
      <c r="O442" s="87" t="s">
        <v>377</v>
      </c>
      <c r="P442" s="87" t="s">
        <v>372</v>
      </c>
    </row>
    <row r="443" ht="15.75" customHeight="1">
      <c r="A443" s="87" t="s">
        <v>1647</v>
      </c>
      <c r="B443" s="88">
        <v>1.22E18</v>
      </c>
      <c r="C443" s="87" t="s">
        <v>1648</v>
      </c>
      <c r="D443" s="87" t="s">
        <v>87</v>
      </c>
      <c r="E443" s="87" t="s">
        <v>88</v>
      </c>
      <c r="F443" s="87" t="s">
        <v>1648</v>
      </c>
      <c r="H443" s="87" t="s">
        <v>1438</v>
      </c>
      <c r="I443" s="87" t="s">
        <v>315</v>
      </c>
      <c r="J443" s="87" t="s">
        <v>931</v>
      </c>
      <c r="K443" s="90">
        <v>90000.0</v>
      </c>
      <c r="L443" s="92"/>
      <c r="M443" s="87" t="s">
        <v>575</v>
      </c>
      <c r="O443" s="87" t="s">
        <v>377</v>
      </c>
      <c r="P443" s="87" t="s">
        <v>372</v>
      </c>
    </row>
    <row r="444" ht="15.75" customHeight="1">
      <c r="A444" s="87" t="s">
        <v>1649</v>
      </c>
      <c r="B444" s="88">
        <v>1.22E18</v>
      </c>
      <c r="C444" s="87" t="s">
        <v>1650</v>
      </c>
      <c r="D444" s="87" t="s">
        <v>87</v>
      </c>
      <c r="E444" s="87" t="s">
        <v>88</v>
      </c>
      <c r="F444" s="87" t="s">
        <v>1650</v>
      </c>
      <c r="H444" s="87" t="s">
        <v>369</v>
      </c>
      <c r="I444" s="87" t="s">
        <v>315</v>
      </c>
      <c r="J444" s="87" t="s">
        <v>405</v>
      </c>
      <c r="K444" s="90">
        <v>0.0</v>
      </c>
      <c r="L444" s="92"/>
      <c r="M444" s="87" t="s">
        <v>575</v>
      </c>
      <c r="N444" s="87" t="s">
        <v>390</v>
      </c>
      <c r="O444" s="87" t="s">
        <v>377</v>
      </c>
      <c r="P444" s="87" t="s">
        <v>372</v>
      </c>
    </row>
    <row r="445" ht="15.75" customHeight="1">
      <c r="A445" s="87" t="s">
        <v>1651</v>
      </c>
      <c r="B445" s="88">
        <v>1.22E18</v>
      </c>
      <c r="C445" s="87" t="s">
        <v>1652</v>
      </c>
      <c r="D445" s="87" t="s">
        <v>87</v>
      </c>
      <c r="E445" s="87" t="s">
        <v>88</v>
      </c>
      <c r="F445" s="87" t="s">
        <v>1652</v>
      </c>
      <c r="H445" s="87" t="s">
        <v>369</v>
      </c>
      <c r="I445" s="87" t="s">
        <v>315</v>
      </c>
      <c r="J445" s="87" t="s">
        <v>1198</v>
      </c>
      <c r="K445" s="90">
        <v>0.0</v>
      </c>
      <c r="L445" s="92"/>
      <c r="M445" s="87" t="s">
        <v>575</v>
      </c>
      <c r="N445" s="87" t="s">
        <v>390</v>
      </c>
      <c r="O445" s="87" t="s">
        <v>377</v>
      </c>
      <c r="P445" s="87" t="s">
        <v>372</v>
      </c>
    </row>
    <row r="446" ht="15.75" customHeight="1">
      <c r="A446" s="87" t="s">
        <v>1653</v>
      </c>
      <c r="B446" s="88">
        <v>1.22E18</v>
      </c>
      <c r="C446" s="87" t="s">
        <v>1654</v>
      </c>
      <c r="D446" s="87" t="s">
        <v>87</v>
      </c>
      <c r="E446" s="87" t="s">
        <v>88</v>
      </c>
      <c r="F446" s="87" t="s">
        <v>1654</v>
      </c>
      <c r="H446" s="87" t="s">
        <v>369</v>
      </c>
      <c r="I446" s="87" t="s">
        <v>327</v>
      </c>
      <c r="J446" s="87" t="s">
        <v>1336</v>
      </c>
      <c r="K446" s="90">
        <v>0.0</v>
      </c>
      <c r="L446" s="92"/>
      <c r="M446" s="87" t="s">
        <v>575</v>
      </c>
      <c r="N446" s="87" t="s">
        <v>390</v>
      </c>
      <c r="O446" s="87" t="s">
        <v>377</v>
      </c>
      <c r="P446" s="87" t="s">
        <v>372</v>
      </c>
    </row>
    <row r="447" ht="15.75" customHeight="1">
      <c r="A447" s="87" t="s">
        <v>1655</v>
      </c>
      <c r="B447" s="88">
        <v>1.22E18</v>
      </c>
      <c r="C447" s="87" t="s">
        <v>1656</v>
      </c>
      <c r="D447" s="87" t="s">
        <v>87</v>
      </c>
      <c r="E447" s="87" t="s">
        <v>88</v>
      </c>
      <c r="F447" s="87" t="s">
        <v>1656</v>
      </c>
      <c r="H447" s="87" t="s">
        <v>369</v>
      </c>
      <c r="I447" s="87" t="s">
        <v>315</v>
      </c>
      <c r="J447" s="87" t="s">
        <v>678</v>
      </c>
      <c r="K447" s="90">
        <v>350000.0</v>
      </c>
      <c r="L447" s="92"/>
      <c r="M447" s="87" t="s">
        <v>575</v>
      </c>
      <c r="N447" s="87" t="s">
        <v>390</v>
      </c>
      <c r="O447" s="87" t="s">
        <v>377</v>
      </c>
      <c r="P447" s="87" t="s">
        <v>372</v>
      </c>
    </row>
    <row r="448" ht="15.75" customHeight="1">
      <c r="A448" s="87" t="s">
        <v>1657</v>
      </c>
      <c r="B448" s="88">
        <v>1.22E18</v>
      </c>
      <c r="C448" s="87" t="s">
        <v>1658</v>
      </c>
      <c r="D448" s="87" t="s">
        <v>87</v>
      </c>
      <c r="E448" s="87" t="s">
        <v>88</v>
      </c>
      <c r="F448" s="87" t="s">
        <v>1658</v>
      </c>
      <c r="H448" s="87" t="s">
        <v>369</v>
      </c>
      <c r="I448" s="87" t="s">
        <v>315</v>
      </c>
      <c r="J448" s="87" t="s">
        <v>1231</v>
      </c>
      <c r="K448" s="90">
        <v>0.0</v>
      </c>
      <c r="L448" s="92"/>
      <c r="M448" s="87" t="s">
        <v>575</v>
      </c>
      <c r="N448" s="87" t="s">
        <v>390</v>
      </c>
      <c r="O448" s="87" t="s">
        <v>377</v>
      </c>
      <c r="P448" s="87" t="s">
        <v>372</v>
      </c>
    </row>
    <row r="449" ht="15.75" customHeight="1">
      <c r="A449" s="87" t="s">
        <v>1659</v>
      </c>
      <c r="B449" s="88">
        <v>1.22E18</v>
      </c>
      <c r="C449" s="87" t="s">
        <v>1660</v>
      </c>
      <c r="D449" s="87" t="s">
        <v>87</v>
      </c>
      <c r="E449" s="87" t="s">
        <v>88</v>
      </c>
      <c r="F449" s="87" t="s">
        <v>1660</v>
      </c>
      <c r="H449" s="87" t="s">
        <v>369</v>
      </c>
      <c r="I449" s="87" t="s">
        <v>315</v>
      </c>
      <c r="J449" s="87" t="s">
        <v>1336</v>
      </c>
      <c r="K449" s="90">
        <v>30000.0</v>
      </c>
      <c r="L449" s="92"/>
      <c r="M449" s="87" t="s">
        <v>575</v>
      </c>
      <c r="N449" s="87" t="s">
        <v>390</v>
      </c>
      <c r="O449" s="87" t="s">
        <v>377</v>
      </c>
      <c r="P449" s="87" t="s">
        <v>372</v>
      </c>
    </row>
    <row r="450" ht="15.75" customHeight="1">
      <c r="A450" s="87" t="s">
        <v>1661</v>
      </c>
      <c r="B450" s="88">
        <v>1.22E18</v>
      </c>
      <c r="C450" s="87" t="s">
        <v>1662</v>
      </c>
      <c r="D450" s="87" t="s">
        <v>87</v>
      </c>
      <c r="E450" s="87" t="s">
        <v>88</v>
      </c>
      <c r="F450" s="87" t="s">
        <v>1662</v>
      </c>
      <c r="H450" s="87" t="s">
        <v>369</v>
      </c>
      <c r="I450" s="87" t="s">
        <v>315</v>
      </c>
      <c r="J450" s="87" t="s">
        <v>1245</v>
      </c>
      <c r="K450" s="90">
        <v>0.0</v>
      </c>
      <c r="L450" s="92"/>
      <c r="M450" s="87" t="s">
        <v>575</v>
      </c>
      <c r="N450" s="87" t="s">
        <v>390</v>
      </c>
      <c r="O450" s="87" t="s">
        <v>377</v>
      </c>
      <c r="P450" s="87" t="s">
        <v>372</v>
      </c>
    </row>
    <row r="451" ht="15.75" customHeight="1">
      <c r="A451" s="87" t="s">
        <v>1663</v>
      </c>
      <c r="B451" s="88">
        <v>1.22E18</v>
      </c>
      <c r="C451" s="87" t="s">
        <v>1664</v>
      </c>
      <c r="D451" s="87" t="s">
        <v>87</v>
      </c>
      <c r="E451" s="87" t="s">
        <v>88</v>
      </c>
      <c r="F451" s="87" t="s">
        <v>1664</v>
      </c>
      <c r="H451" s="87" t="s">
        <v>369</v>
      </c>
      <c r="I451" s="87" t="s">
        <v>315</v>
      </c>
      <c r="J451" s="87" t="s">
        <v>1162</v>
      </c>
      <c r="K451" s="90">
        <v>250000.0</v>
      </c>
      <c r="L451" s="92"/>
      <c r="M451" s="87" t="s">
        <v>575</v>
      </c>
      <c r="N451" s="87" t="s">
        <v>390</v>
      </c>
      <c r="O451" s="87" t="s">
        <v>377</v>
      </c>
      <c r="P451" s="87" t="s">
        <v>372</v>
      </c>
    </row>
    <row r="452" ht="15.75" customHeight="1">
      <c r="A452" s="87" t="s">
        <v>1665</v>
      </c>
      <c r="B452" s="88">
        <v>1.22E18</v>
      </c>
      <c r="C452" s="87" t="s">
        <v>1666</v>
      </c>
      <c r="D452" s="87" t="s">
        <v>87</v>
      </c>
      <c r="E452" s="87" t="s">
        <v>88</v>
      </c>
      <c r="F452" s="87" t="s">
        <v>1666</v>
      </c>
      <c r="H452" s="87" t="s">
        <v>369</v>
      </c>
      <c r="I452" s="87" t="s">
        <v>315</v>
      </c>
      <c r="J452" s="87" t="s">
        <v>1184</v>
      </c>
      <c r="K452" s="90">
        <v>17500.0</v>
      </c>
      <c r="L452" s="92"/>
      <c r="M452" s="87" t="s">
        <v>575</v>
      </c>
      <c r="N452" s="87" t="s">
        <v>390</v>
      </c>
      <c r="O452" s="87" t="s">
        <v>377</v>
      </c>
      <c r="P452" s="87" t="s">
        <v>372</v>
      </c>
    </row>
    <row r="453" ht="15.75" customHeight="1">
      <c r="A453" s="87" t="s">
        <v>1667</v>
      </c>
      <c r="B453" s="88">
        <v>1.22E18</v>
      </c>
      <c r="C453" s="87" t="s">
        <v>1668</v>
      </c>
      <c r="D453" s="87" t="s">
        <v>87</v>
      </c>
      <c r="E453" s="87" t="s">
        <v>88</v>
      </c>
      <c r="F453" s="87" t="s">
        <v>1668</v>
      </c>
      <c r="H453" s="87" t="s">
        <v>1669</v>
      </c>
      <c r="I453" s="87" t="s">
        <v>315</v>
      </c>
      <c r="J453" s="87" t="s">
        <v>689</v>
      </c>
      <c r="K453" s="90">
        <v>0.0</v>
      </c>
      <c r="L453" s="92"/>
      <c r="M453" s="87" t="s">
        <v>575</v>
      </c>
      <c r="O453" s="87" t="s">
        <v>377</v>
      </c>
      <c r="P453" s="87" t="s">
        <v>372</v>
      </c>
    </row>
    <row r="454" ht="15.75" customHeight="1">
      <c r="A454" s="87" t="s">
        <v>1670</v>
      </c>
      <c r="B454" s="88">
        <v>1.22E18</v>
      </c>
      <c r="C454" s="87" t="s">
        <v>1671</v>
      </c>
      <c r="D454" s="87" t="s">
        <v>87</v>
      </c>
      <c r="E454" s="87" t="s">
        <v>88</v>
      </c>
      <c r="F454" s="87" t="s">
        <v>861</v>
      </c>
      <c r="G454" s="93"/>
      <c r="H454" s="87" t="s">
        <v>369</v>
      </c>
      <c r="I454" s="87" t="s">
        <v>315</v>
      </c>
      <c r="J454" s="87" t="s">
        <v>634</v>
      </c>
      <c r="K454" s="90">
        <v>800000.0</v>
      </c>
      <c r="L454" s="92"/>
      <c r="M454" s="87" t="s">
        <v>575</v>
      </c>
      <c r="N454" s="87" t="s">
        <v>390</v>
      </c>
      <c r="O454" s="87" t="s">
        <v>377</v>
      </c>
      <c r="P454" s="87" t="s">
        <v>372</v>
      </c>
    </row>
    <row r="455" ht="15.75" customHeight="1">
      <c r="A455" s="87" t="s">
        <v>1672</v>
      </c>
      <c r="B455" s="88">
        <v>1.22E18</v>
      </c>
      <c r="C455" s="87" t="s">
        <v>1673</v>
      </c>
      <c r="D455" s="87" t="s">
        <v>87</v>
      </c>
      <c r="E455" s="87" t="s">
        <v>88</v>
      </c>
      <c r="F455" s="87" t="s">
        <v>1673</v>
      </c>
      <c r="H455" s="87" t="s">
        <v>369</v>
      </c>
      <c r="I455" s="87" t="s">
        <v>315</v>
      </c>
      <c r="J455" s="87" t="s">
        <v>1140</v>
      </c>
      <c r="K455" s="90">
        <v>0.0</v>
      </c>
      <c r="L455" s="92"/>
      <c r="M455" s="87" t="s">
        <v>575</v>
      </c>
      <c r="N455" s="87" t="s">
        <v>390</v>
      </c>
      <c r="O455" s="87" t="s">
        <v>377</v>
      </c>
      <c r="P455" s="87" t="s">
        <v>372</v>
      </c>
    </row>
    <row r="456" ht="15.75" customHeight="1">
      <c r="A456" s="87" t="s">
        <v>1674</v>
      </c>
      <c r="B456" s="88">
        <v>1.22E18</v>
      </c>
      <c r="C456" s="87" t="s">
        <v>1675</v>
      </c>
      <c r="D456" s="87" t="s">
        <v>87</v>
      </c>
      <c r="E456" s="87" t="s">
        <v>88</v>
      </c>
      <c r="F456" s="87" t="s">
        <v>1675</v>
      </c>
      <c r="H456" s="87" t="s">
        <v>1676</v>
      </c>
      <c r="I456" s="87" t="s">
        <v>315</v>
      </c>
      <c r="J456" s="87" t="s">
        <v>689</v>
      </c>
      <c r="K456" s="90">
        <v>0.0</v>
      </c>
      <c r="L456" s="92"/>
      <c r="M456" s="87" t="s">
        <v>575</v>
      </c>
      <c r="O456" s="87" t="s">
        <v>377</v>
      </c>
      <c r="P456" s="87" t="s">
        <v>372</v>
      </c>
    </row>
    <row r="457" ht="15.75" customHeight="1">
      <c r="A457" s="87" t="s">
        <v>1677</v>
      </c>
      <c r="B457" s="88">
        <v>1.22E18</v>
      </c>
      <c r="C457" s="87" t="s">
        <v>1678</v>
      </c>
      <c r="D457" s="87" t="s">
        <v>87</v>
      </c>
      <c r="E457" s="87" t="s">
        <v>88</v>
      </c>
      <c r="F457" s="87" t="s">
        <v>1678</v>
      </c>
      <c r="H457" s="87" t="s">
        <v>369</v>
      </c>
      <c r="I457" s="87" t="s">
        <v>315</v>
      </c>
      <c r="J457" s="87" t="s">
        <v>1201</v>
      </c>
      <c r="K457" s="90">
        <v>0.0</v>
      </c>
      <c r="L457" s="92"/>
      <c r="M457" s="87" t="s">
        <v>575</v>
      </c>
      <c r="N457" s="87" t="s">
        <v>390</v>
      </c>
      <c r="O457" s="87" t="s">
        <v>377</v>
      </c>
      <c r="P457" s="87" t="s">
        <v>372</v>
      </c>
    </row>
    <row r="458" ht="15.75" customHeight="1">
      <c r="A458" s="87" t="s">
        <v>1679</v>
      </c>
      <c r="B458" s="88">
        <v>1.22E18</v>
      </c>
      <c r="C458" s="87" t="s">
        <v>1680</v>
      </c>
      <c r="D458" s="87" t="s">
        <v>87</v>
      </c>
      <c r="E458" s="87" t="s">
        <v>88</v>
      </c>
      <c r="F458" s="87" t="s">
        <v>1680</v>
      </c>
      <c r="H458" s="87" t="s">
        <v>369</v>
      </c>
      <c r="I458" s="87" t="s">
        <v>315</v>
      </c>
      <c r="J458" s="87" t="s">
        <v>1159</v>
      </c>
      <c r="K458" s="90">
        <v>0.0</v>
      </c>
      <c r="L458" s="92"/>
      <c r="M458" s="87" t="s">
        <v>575</v>
      </c>
      <c r="N458" s="87" t="s">
        <v>390</v>
      </c>
      <c r="O458" s="87" t="s">
        <v>377</v>
      </c>
      <c r="P458" s="87" t="s">
        <v>372</v>
      </c>
    </row>
    <row r="459" ht="15.75" customHeight="1">
      <c r="A459" s="87" t="s">
        <v>1681</v>
      </c>
      <c r="B459" s="88">
        <v>1.22E18</v>
      </c>
      <c r="C459" s="87" t="s">
        <v>1682</v>
      </c>
      <c r="D459" s="87" t="s">
        <v>87</v>
      </c>
      <c r="E459" s="87" t="s">
        <v>88</v>
      </c>
      <c r="F459" s="87" t="s">
        <v>1682</v>
      </c>
      <c r="H459" s="87" t="s">
        <v>688</v>
      </c>
      <c r="I459" s="87" t="s">
        <v>315</v>
      </c>
      <c r="J459" s="87" t="s">
        <v>1140</v>
      </c>
      <c r="K459" s="90">
        <v>0.0</v>
      </c>
      <c r="L459" s="92"/>
      <c r="M459" s="87" t="s">
        <v>575</v>
      </c>
      <c r="O459" s="87" t="s">
        <v>377</v>
      </c>
      <c r="P459" s="87" t="s">
        <v>372</v>
      </c>
    </row>
    <row r="460" ht="15.75" customHeight="1">
      <c r="A460" s="87" t="s">
        <v>1683</v>
      </c>
      <c r="B460" s="88">
        <v>1.22E18</v>
      </c>
      <c r="C460" s="87" t="s">
        <v>1684</v>
      </c>
      <c r="D460" s="87" t="s">
        <v>87</v>
      </c>
      <c r="E460" s="87" t="s">
        <v>88</v>
      </c>
      <c r="F460" s="87" t="s">
        <v>1684</v>
      </c>
      <c r="H460" s="87" t="s">
        <v>369</v>
      </c>
      <c r="I460" s="87" t="s">
        <v>315</v>
      </c>
      <c r="J460" s="87" t="s">
        <v>634</v>
      </c>
      <c r="K460" s="90">
        <v>80000.0</v>
      </c>
      <c r="L460" s="92"/>
      <c r="M460" s="87" t="s">
        <v>575</v>
      </c>
      <c r="N460" s="87" t="s">
        <v>390</v>
      </c>
      <c r="O460" s="87" t="s">
        <v>377</v>
      </c>
      <c r="P460" s="87" t="s">
        <v>372</v>
      </c>
    </row>
    <row r="461" ht="15.75" customHeight="1">
      <c r="A461" s="87" t="s">
        <v>1685</v>
      </c>
      <c r="B461" s="88">
        <v>1.22E18</v>
      </c>
      <c r="C461" s="87" t="s">
        <v>1686</v>
      </c>
      <c r="D461" s="87" t="s">
        <v>87</v>
      </c>
      <c r="E461" s="87" t="s">
        <v>88</v>
      </c>
      <c r="F461" s="87" t="s">
        <v>1686</v>
      </c>
      <c r="H461" s="87" t="s">
        <v>369</v>
      </c>
      <c r="I461" s="87" t="s">
        <v>315</v>
      </c>
      <c r="J461" s="87" t="s">
        <v>1000</v>
      </c>
      <c r="K461" s="90">
        <v>0.0</v>
      </c>
      <c r="L461" s="92"/>
      <c r="M461" s="87" t="s">
        <v>575</v>
      </c>
      <c r="N461" s="87" t="s">
        <v>390</v>
      </c>
      <c r="O461" s="87" t="s">
        <v>377</v>
      </c>
      <c r="P461" s="87" t="s">
        <v>372</v>
      </c>
    </row>
    <row r="462" ht="15.75" customHeight="1">
      <c r="A462" s="87" t="s">
        <v>1687</v>
      </c>
      <c r="B462" s="88">
        <v>1.22E18</v>
      </c>
      <c r="C462" s="87" t="s">
        <v>1688</v>
      </c>
      <c r="D462" s="87" t="s">
        <v>87</v>
      </c>
      <c r="E462" s="87" t="s">
        <v>88</v>
      </c>
      <c r="F462" s="87" t="s">
        <v>1688</v>
      </c>
      <c r="H462" s="87" t="s">
        <v>369</v>
      </c>
      <c r="I462" s="87" t="s">
        <v>315</v>
      </c>
      <c r="J462" s="87" t="s">
        <v>631</v>
      </c>
      <c r="K462" s="90">
        <v>100000.0</v>
      </c>
      <c r="L462" s="92"/>
      <c r="M462" s="87" t="s">
        <v>575</v>
      </c>
      <c r="N462" s="87" t="s">
        <v>390</v>
      </c>
      <c r="O462" s="87" t="s">
        <v>377</v>
      </c>
      <c r="P462" s="87" t="s">
        <v>372</v>
      </c>
    </row>
    <row r="463" ht="15.75" customHeight="1">
      <c r="A463" s="87" t="s">
        <v>1689</v>
      </c>
      <c r="B463" s="88">
        <v>1.22E18</v>
      </c>
      <c r="C463" s="87" t="s">
        <v>1690</v>
      </c>
      <c r="D463" s="87" t="s">
        <v>87</v>
      </c>
      <c r="E463" s="87" t="s">
        <v>88</v>
      </c>
      <c r="F463" s="87" t="s">
        <v>1690</v>
      </c>
      <c r="H463" s="87" t="s">
        <v>369</v>
      </c>
      <c r="I463" s="87" t="s">
        <v>315</v>
      </c>
      <c r="J463" s="87" t="s">
        <v>1349</v>
      </c>
      <c r="K463" s="90">
        <v>8000.0</v>
      </c>
      <c r="L463" s="92"/>
      <c r="M463" s="87" t="s">
        <v>575</v>
      </c>
      <c r="N463" s="87" t="s">
        <v>390</v>
      </c>
      <c r="O463" s="87" t="s">
        <v>377</v>
      </c>
      <c r="P463" s="87" t="s">
        <v>372</v>
      </c>
    </row>
    <row r="464" ht="15.75" customHeight="1">
      <c r="A464" s="87" t="s">
        <v>1691</v>
      </c>
      <c r="B464" s="88">
        <v>1.22E18</v>
      </c>
      <c r="C464" s="87" t="s">
        <v>1692</v>
      </c>
      <c r="D464" s="87" t="s">
        <v>87</v>
      </c>
      <c r="E464" s="87" t="s">
        <v>88</v>
      </c>
      <c r="F464" s="87" t="s">
        <v>1692</v>
      </c>
      <c r="H464" s="87" t="s">
        <v>1251</v>
      </c>
      <c r="I464" s="87" t="s">
        <v>315</v>
      </c>
      <c r="J464" s="87" t="s">
        <v>1167</v>
      </c>
      <c r="K464" s="90">
        <v>0.0</v>
      </c>
      <c r="L464" s="92"/>
      <c r="M464" s="87" t="s">
        <v>575</v>
      </c>
      <c r="O464" s="87" t="s">
        <v>377</v>
      </c>
      <c r="P464" s="87" t="s">
        <v>372</v>
      </c>
    </row>
    <row r="465" ht="15.75" customHeight="1">
      <c r="A465" s="87" t="s">
        <v>1693</v>
      </c>
      <c r="B465" s="88">
        <v>1.22E18</v>
      </c>
      <c r="C465" s="87" t="s">
        <v>1694</v>
      </c>
      <c r="D465" s="87" t="s">
        <v>87</v>
      </c>
      <c r="E465" s="87" t="s">
        <v>88</v>
      </c>
      <c r="F465" s="87" t="s">
        <v>1694</v>
      </c>
      <c r="H465" s="87" t="s">
        <v>369</v>
      </c>
      <c r="I465" s="87" t="s">
        <v>315</v>
      </c>
      <c r="J465" s="87" t="s">
        <v>405</v>
      </c>
      <c r="K465" s="90">
        <v>0.0</v>
      </c>
      <c r="L465" s="92"/>
      <c r="M465" s="87" t="s">
        <v>575</v>
      </c>
      <c r="N465" s="87" t="s">
        <v>390</v>
      </c>
      <c r="O465" s="87" t="s">
        <v>377</v>
      </c>
      <c r="P465" s="87" t="s">
        <v>372</v>
      </c>
    </row>
    <row r="466" ht="15.75" customHeight="1">
      <c r="A466" s="87" t="s">
        <v>1695</v>
      </c>
      <c r="B466" s="88">
        <v>1.22E18</v>
      </c>
      <c r="C466" s="87" t="s">
        <v>1696</v>
      </c>
      <c r="D466" s="87" t="s">
        <v>87</v>
      </c>
      <c r="E466" s="87" t="s">
        <v>102</v>
      </c>
      <c r="F466" s="87" t="s">
        <v>1696</v>
      </c>
      <c r="H466" s="87" t="s">
        <v>1136</v>
      </c>
      <c r="I466" s="87" t="s">
        <v>315</v>
      </c>
      <c r="J466" s="87" t="s">
        <v>405</v>
      </c>
      <c r="K466" s="90">
        <v>0.0</v>
      </c>
      <c r="L466" s="92"/>
      <c r="M466" s="87" t="s">
        <v>575</v>
      </c>
      <c r="O466" s="87" t="s">
        <v>377</v>
      </c>
      <c r="P466" s="87" t="s">
        <v>372</v>
      </c>
    </row>
    <row r="467" ht="15.75" customHeight="1">
      <c r="A467" s="87" t="s">
        <v>1697</v>
      </c>
      <c r="B467" s="88">
        <v>1.22E18</v>
      </c>
      <c r="C467" s="87" t="s">
        <v>1698</v>
      </c>
      <c r="D467" s="87" t="s">
        <v>87</v>
      </c>
      <c r="E467" s="87" t="s">
        <v>88</v>
      </c>
      <c r="F467" s="87" t="s">
        <v>1698</v>
      </c>
      <c r="H467" s="87" t="s">
        <v>369</v>
      </c>
      <c r="I467" s="87" t="s">
        <v>315</v>
      </c>
      <c r="J467" s="87" t="s">
        <v>1699</v>
      </c>
      <c r="K467" s="90">
        <v>0.0</v>
      </c>
      <c r="L467" s="92"/>
      <c r="M467" s="87" t="s">
        <v>575</v>
      </c>
      <c r="N467" s="87" t="s">
        <v>390</v>
      </c>
      <c r="O467" s="87" t="s">
        <v>377</v>
      </c>
      <c r="P467" s="87" t="s">
        <v>372</v>
      </c>
    </row>
    <row r="468" ht="15.75" customHeight="1">
      <c r="A468" s="87" t="s">
        <v>1700</v>
      </c>
      <c r="B468" s="88">
        <v>1.22E18</v>
      </c>
      <c r="C468" s="87" t="s">
        <v>1701</v>
      </c>
      <c r="D468" s="87" t="s">
        <v>87</v>
      </c>
      <c r="E468" s="87" t="s">
        <v>88</v>
      </c>
      <c r="F468" s="87" t="s">
        <v>1701</v>
      </c>
      <c r="H468" s="87" t="s">
        <v>369</v>
      </c>
      <c r="I468" s="87" t="s">
        <v>315</v>
      </c>
      <c r="J468" s="87" t="s">
        <v>1159</v>
      </c>
      <c r="K468" s="90">
        <v>30000.0</v>
      </c>
      <c r="L468" s="92"/>
      <c r="M468" s="87" t="s">
        <v>575</v>
      </c>
      <c r="N468" s="87" t="s">
        <v>390</v>
      </c>
      <c r="O468" s="87" t="s">
        <v>377</v>
      </c>
      <c r="P468" s="87" t="s">
        <v>372</v>
      </c>
    </row>
    <row r="469" ht="15.75" customHeight="1">
      <c r="A469" s="87" t="s">
        <v>1702</v>
      </c>
      <c r="B469" s="88">
        <v>1.22E18</v>
      </c>
      <c r="C469" s="87" t="s">
        <v>1703</v>
      </c>
      <c r="D469" s="87" t="s">
        <v>87</v>
      </c>
      <c r="E469" s="87" t="s">
        <v>88</v>
      </c>
      <c r="F469" s="87" t="s">
        <v>1703</v>
      </c>
      <c r="H469" s="87" t="s">
        <v>369</v>
      </c>
      <c r="I469" s="87" t="s">
        <v>315</v>
      </c>
      <c r="J469" s="87" t="s">
        <v>1187</v>
      </c>
      <c r="K469" s="90">
        <v>0.0</v>
      </c>
      <c r="L469" s="92"/>
      <c r="M469" s="87" t="s">
        <v>575</v>
      </c>
      <c r="N469" s="87" t="s">
        <v>390</v>
      </c>
      <c r="O469" s="87" t="s">
        <v>377</v>
      </c>
      <c r="P469" s="87" t="s">
        <v>372</v>
      </c>
    </row>
    <row r="470" ht="15.75" customHeight="1">
      <c r="A470" s="87" t="s">
        <v>1704</v>
      </c>
      <c r="B470" s="88">
        <v>1.22E18</v>
      </c>
      <c r="C470" s="87" t="s">
        <v>1705</v>
      </c>
      <c r="D470" s="87" t="s">
        <v>87</v>
      </c>
      <c r="E470" s="87" t="s">
        <v>88</v>
      </c>
      <c r="F470" s="87" t="s">
        <v>1705</v>
      </c>
      <c r="H470" s="87" t="s">
        <v>1251</v>
      </c>
      <c r="I470" s="87" t="s">
        <v>315</v>
      </c>
      <c r="J470" s="87" t="s">
        <v>931</v>
      </c>
      <c r="K470" s="90">
        <v>0.0</v>
      </c>
      <c r="L470" s="92"/>
      <c r="M470" s="87" t="s">
        <v>575</v>
      </c>
      <c r="O470" s="87" t="s">
        <v>377</v>
      </c>
      <c r="P470" s="87" t="s">
        <v>372</v>
      </c>
    </row>
    <row r="471" ht="15.75" customHeight="1">
      <c r="A471" s="87" t="s">
        <v>1706</v>
      </c>
      <c r="B471" s="88">
        <v>1.22E18</v>
      </c>
      <c r="C471" s="87" t="s">
        <v>1707</v>
      </c>
      <c r="D471" s="87" t="s">
        <v>87</v>
      </c>
      <c r="E471" s="87" t="s">
        <v>88</v>
      </c>
      <c r="F471" s="87" t="s">
        <v>1707</v>
      </c>
      <c r="H471" s="87" t="s">
        <v>369</v>
      </c>
      <c r="I471" s="87" t="s">
        <v>315</v>
      </c>
      <c r="J471" s="87" t="s">
        <v>405</v>
      </c>
      <c r="K471" s="90">
        <v>0.0</v>
      </c>
      <c r="L471" s="92"/>
      <c r="M471" s="87" t="s">
        <v>575</v>
      </c>
      <c r="N471" s="87" t="s">
        <v>390</v>
      </c>
      <c r="O471" s="87" t="s">
        <v>377</v>
      </c>
      <c r="P471" s="87" t="s">
        <v>372</v>
      </c>
    </row>
    <row r="472" ht="15.75" customHeight="1">
      <c r="A472" s="87" t="s">
        <v>1708</v>
      </c>
      <c r="B472" s="88">
        <v>1.22E18</v>
      </c>
      <c r="C472" s="87" t="s">
        <v>1709</v>
      </c>
      <c r="D472" s="87" t="s">
        <v>87</v>
      </c>
      <c r="E472" s="87" t="s">
        <v>88</v>
      </c>
      <c r="F472" s="87" t="s">
        <v>1709</v>
      </c>
      <c r="H472" s="87" t="s">
        <v>1676</v>
      </c>
      <c r="I472" s="87" t="s">
        <v>315</v>
      </c>
      <c r="J472" s="87" t="s">
        <v>1710</v>
      </c>
      <c r="K472" s="90">
        <v>0.0</v>
      </c>
      <c r="L472" s="92"/>
      <c r="M472" s="87" t="s">
        <v>575</v>
      </c>
      <c r="O472" s="87" t="s">
        <v>377</v>
      </c>
      <c r="P472" s="87" t="s">
        <v>372</v>
      </c>
    </row>
    <row r="473" ht="15.75" customHeight="1">
      <c r="A473" s="87" t="s">
        <v>1711</v>
      </c>
      <c r="B473" s="88">
        <v>1.22E18</v>
      </c>
      <c r="C473" s="87" t="s">
        <v>1712</v>
      </c>
      <c r="D473" s="87" t="s">
        <v>87</v>
      </c>
      <c r="E473" s="87" t="s">
        <v>88</v>
      </c>
      <c r="F473" s="87" t="s">
        <v>1712</v>
      </c>
      <c r="H473" s="87" t="s">
        <v>688</v>
      </c>
      <c r="I473" s="87" t="s">
        <v>315</v>
      </c>
      <c r="J473" s="87" t="s">
        <v>1713</v>
      </c>
      <c r="K473" s="90">
        <v>0.0</v>
      </c>
      <c r="L473" s="92"/>
      <c r="M473" s="87" t="s">
        <v>575</v>
      </c>
      <c r="O473" s="87" t="s">
        <v>377</v>
      </c>
      <c r="P473" s="87" t="s">
        <v>372</v>
      </c>
    </row>
    <row r="474" ht="15.75" customHeight="1">
      <c r="A474" s="87" t="s">
        <v>1714</v>
      </c>
      <c r="B474" s="88">
        <v>1.22E18</v>
      </c>
      <c r="C474" s="87" t="s">
        <v>1715</v>
      </c>
      <c r="D474" s="87" t="s">
        <v>87</v>
      </c>
      <c r="E474" s="87" t="s">
        <v>88</v>
      </c>
      <c r="F474" s="87" t="s">
        <v>1715</v>
      </c>
      <c r="H474" s="87" t="s">
        <v>369</v>
      </c>
      <c r="I474" s="87" t="s">
        <v>315</v>
      </c>
      <c r="J474" s="87" t="s">
        <v>631</v>
      </c>
      <c r="K474" s="90">
        <v>0.0</v>
      </c>
      <c r="L474" s="92"/>
      <c r="M474" s="87" t="s">
        <v>575</v>
      </c>
      <c r="N474" s="87" t="s">
        <v>390</v>
      </c>
      <c r="O474" s="87" t="s">
        <v>377</v>
      </c>
      <c r="P474" s="87" t="s">
        <v>372</v>
      </c>
    </row>
    <row r="475" ht="15.75" customHeight="1">
      <c r="A475" s="87" t="s">
        <v>1716</v>
      </c>
      <c r="B475" s="88">
        <v>1.22E18</v>
      </c>
      <c r="C475" s="87" t="s">
        <v>1717</v>
      </c>
      <c r="D475" s="87" t="s">
        <v>87</v>
      </c>
      <c r="E475" s="87" t="s">
        <v>88</v>
      </c>
      <c r="F475" s="87" t="s">
        <v>1717</v>
      </c>
      <c r="H475" s="87" t="s">
        <v>1718</v>
      </c>
      <c r="I475" s="87" t="s">
        <v>327</v>
      </c>
      <c r="J475" s="87" t="s">
        <v>1719</v>
      </c>
      <c r="K475" s="90">
        <v>0.0</v>
      </c>
      <c r="L475" s="92"/>
      <c r="M475" s="87" t="s">
        <v>575</v>
      </c>
      <c r="O475" s="87" t="s">
        <v>377</v>
      </c>
      <c r="P475" s="87" t="s">
        <v>372</v>
      </c>
    </row>
    <row r="476" ht="15.75" customHeight="1">
      <c r="A476" s="87" t="s">
        <v>1720</v>
      </c>
      <c r="B476" s="88">
        <v>1.22E18</v>
      </c>
      <c r="C476" s="87" t="s">
        <v>1721</v>
      </c>
      <c r="D476" s="87" t="s">
        <v>87</v>
      </c>
      <c r="E476" s="87" t="s">
        <v>88</v>
      </c>
      <c r="F476" s="87" t="s">
        <v>1721</v>
      </c>
      <c r="H476" s="87" t="s">
        <v>369</v>
      </c>
      <c r="I476" s="87" t="s">
        <v>315</v>
      </c>
      <c r="J476" s="87" t="s">
        <v>931</v>
      </c>
      <c r="K476" s="90">
        <v>0.0</v>
      </c>
      <c r="L476" s="92"/>
      <c r="M476" s="87" t="s">
        <v>575</v>
      </c>
      <c r="N476" s="87" t="s">
        <v>390</v>
      </c>
      <c r="O476" s="87" t="s">
        <v>377</v>
      </c>
      <c r="P476" s="87" t="s">
        <v>372</v>
      </c>
    </row>
    <row r="477" ht="15.75" customHeight="1">
      <c r="A477" s="87" t="s">
        <v>1722</v>
      </c>
      <c r="B477" s="88">
        <v>1.22E18</v>
      </c>
      <c r="C477" s="87" t="s">
        <v>1723</v>
      </c>
      <c r="D477" s="87" t="s">
        <v>87</v>
      </c>
      <c r="E477" s="87" t="s">
        <v>88</v>
      </c>
      <c r="F477" s="87" t="s">
        <v>1723</v>
      </c>
      <c r="H477" s="87" t="s">
        <v>369</v>
      </c>
      <c r="I477" s="87" t="s">
        <v>315</v>
      </c>
      <c r="J477" s="87" t="s">
        <v>1062</v>
      </c>
      <c r="K477" s="90">
        <v>90000.0</v>
      </c>
      <c r="L477" s="92"/>
      <c r="M477" s="87" t="s">
        <v>575</v>
      </c>
      <c r="N477" s="87" t="s">
        <v>390</v>
      </c>
      <c r="O477" s="87" t="s">
        <v>377</v>
      </c>
      <c r="P477" s="87" t="s">
        <v>372</v>
      </c>
    </row>
    <row r="478" ht="15.75" customHeight="1">
      <c r="A478" s="87" t="s">
        <v>1724</v>
      </c>
      <c r="B478" s="88">
        <v>1.22E18</v>
      </c>
      <c r="C478" s="87" t="s">
        <v>1725</v>
      </c>
      <c r="D478" s="87" t="s">
        <v>87</v>
      </c>
      <c r="E478" s="87" t="s">
        <v>88</v>
      </c>
      <c r="F478" s="87" t="s">
        <v>1725</v>
      </c>
      <c r="H478" s="87" t="s">
        <v>1234</v>
      </c>
      <c r="I478" s="87" t="s">
        <v>315</v>
      </c>
      <c r="J478" s="87" t="s">
        <v>1726</v>
      </c>
      <c r="K478" s="90">
        <v>0.0</v>
      </c>
      <c r="L478" s="92"/>
      <c r="M478" s="87" t="s">
        <v>575</v>
      </c>
      <c r="O478" s="87" t="s">
        <v>377</v>
      </c>
      <c r="P478" s="87" t="s">
        <v>372</v>
      </c>
    </row>
    <row r="479" ht="15.75" customHeight="1">
      <c r="A479" s="87" t="s">
        <v>1727</v>
      </c>
      <c r="B479" s="88">
        <v>1.22E18</v>
      </c>
      <c r="C479" s="87" t="s">
        <v>1728</v>
      </c>
      <c r="D479" s="87" t="s">
        <v>87</v>
      </c>
      <c r="E479" s="87" t="s">
        <v>102</v>
      </c>
      <c r="F479" s="87" t="s">
        <v>1728</v>
      </c>
      <c r="H479" s="87" t="s">
        <v>1729</v>
      </c>
      <c r="I479" s="87" t="s">
        <v>58</v>
      </c>
      <c r="J479" s="87" t="s">
        <v>1730</v>
      </c>
      <c r="K479" s="90">
        <v>0.0</v>
      </c>
      <c r="L479" s="92"/>
      <c r="M479" s="93"/>
      <c r="N479" s="87" t="s">
        <v>1729</v>
      </c>
      <c r="O479" s="87" t="s">
        <v>377</v>
      </c>
      <c r="P479" s="87" t="s">
        <v>372</v>
      </c>
    </row>
    <row r="480" ht="15.75" customHeight="1">
      <c r="A480" s="87" t="s">
        <v>1731</v>
      </c>
      <c r="B480" s="88">
        <v>1.22E18</v>
      </c>
      <c r="C480" s="87" t="s">
        <v>1732</v>
      </c>
      <c r="D480" s="87" t="s">
        <v>87</v>
      </c>
      <c r="E480" s="87" t="s">
        <v>102</v>
      </c>
      <c r="F480" s="118" t="s">
        <v>1732</v>
      </c>
      <c r="G480" s="119"/>
      <c r="H480" s="87" t="s">
        <v>1729</v>
      </c>
      <c r="I480" s="87" t="s">
        <v>58</v>
      </c>
      <c r="J480" s="87" t="s">
        <v>1733</v>
      </c>
      <c r="K480" s="90">
        <v>0.0</v>
      </c>
      <c r="L480" s="92"/>
      <c r="M480" s="93"/>
      <c r="N480" s="87" t="s">
        <v>1729</v>
      </c>
      <c r="O480" s="87" t="s">
        <v>377</v>
      </c>
      <c r="P480" s="87" t="s">
        <v>372</v>
      </c>
    </row>
    <row r="481" ht="15.75" customHeight="1">
      <c r="A481" s="87" t="s">
        <v>1734</v>
      </c>
      <c r="B481" s="88">
        <v>1.22E18</v>
      </c>
      <c r="C481" s="87" t="s">
        <v>1735</v>
      </c>
      <c r="D481" s="87" t="s">
        <v>87</v>
      </c>
      <c r="E481" s="87" t="s">
        <v>102</v>
      </c>
      <c r="F481" s="118" t="s">
        <v>1735</v>
      </c>
      <c r="G481" s="119"/>
      <c r="H481" s="87" t="s">
        <v>1729</v>
      </c>
      <c r="I481" s="87" t="s">
        <v>58</v>
      </c>
      <c r="J481" s="87" t="s">
        <v>1736</v>
      </c>
      <c r="K481" s="90">
        <v>0.0</v>
      </c>
      <c r="L481" s="92"/>
      <c r="M481" s="93"/>
      <c r="N481" s="87" t="s">
        <v>1729</v>
      </c>
      <c r="O481" s="87" t="s">
        <v>377</v>
      </c>
      <c r="P481" s="87" t="s">
        <v>372</v>
      </c>
    </row>
    <row r="482" ht="15.75" customHeight="1">
      <c r="A482" s="87" t="s">
        <v>169</v>
      </c>
      <c r="B482" s="88">
        <v>1.22E18</v>
      </c>
      <c r="C482" s="87" t="s">
        <v>1737</v>
      </c>
      <c r="D482" s="87" t="s">
        <v>262</v>
      </c>
      <c r="E482" s="87" t="s">
        <v>263</v>
      </c>
      <c r="F482" s="87" t="s">
        <v>415</v>
      </c>
      <c r="G482" s="93"/>
      <c r="H482" s="93"/>
      <c r="I482" s="87" t="s">
        <v>58</v>
      </c>
      <c r="J482" s="87" t="s">
        <v>1738</v>
      </c>
      <c r="K482" s="90">
        <v>4.0</v>
      </c>
      <c r="L482" s="92"/>
      <c r="M482" s="93"/>
      <c r="N482" s="87" t="s">
        <v>1739</v>
      </c>
      <c r="O482" s="87" t="s">
        <v>377</v>
      </c>
      <c r="P482" s="87" t="s">
        <v>372</v>
      </c>
    </row>
    <row r="483" ht="15.75" customHeight="1">
      <c r="A483" s="87" t="s">
        <v>1740</v>
      </c>
      <c r="B483" s="88">
        <v>1.22E18</v>
      </c>
      <c r="C483" s="87" t="s">
        <v>1741</v>
      </c>
      <c r="D483" s="87" t="s">
        <v>87</v>
      </c>
      <c r="E483" s="87" t="s">
        <v>88</v>
      </c>
      <c r="F483" s="87" t="s">
        <v>1741</v>
      </c>
      <c r="I483" s="87" t="s">
        <v>1742</v>
      </c>
      <c r="J483" s="87" t="s">
        <v>1743</v>
      </c>
      <c r="K483" s="90">
        <v>0.0</v>
      </c>
      <c r="L483" s="92"/>
      <c r="M483" s="93"/>
      <c r="N483" s="93"/>
      <c r="O483" s="87" t="s">
        <v>377</v>
      </c>
      <c r="P483" s="87" t="s">
        <v>372</v>
      </c>
    </row>
    <row r="484" ht="15.75" customHeight="1">
      <c r="A484" s="87" t="s">
        <v>1744</v>
      </c>
      <c r="B484" s="88">
        <v>1.22E18</v>
      </c>
      <c r="C484" s="87" t="s">
        <v>1745</v>
      </c>
      <c r="D484" s="87" t="s">
        <v>87</v>
      </c>
      <c r="E484" s="87" t="s">
        <v>88</v>
      </c>
      <c r="F484" s="87" t="s">
        <v>1745</v>
      </c>
      <c r="I484" s="87" t="s">
        <v>1742</v>
      </c>
      <c r="J484" s="87" t="s">
        <v>1746</v>
      </c>
      <c r="K484" s="90">
        <v>0.0</v>
      </c>
      <c r="L484" s="92"/>
      <c r="M484" s="93"/>
      <c r="N484" s="93"/>
      <c r="O484" s="87" t="s">
        <v>377</v>
      </c>
      <c r="P484" s="87" t="s">
        <v>372</v>
      </c>
    </row>
    <row r="485" ht="15.75" customHeight="1">
      <c r="A485" s="87" t="s">
        <v>1747</v>
      </c>
      <c r="B485" s="88">
        <v>1.22E18</v>
      </c>
      <c r="C485" s="87" t="s">
        <v>1748</v>
      </c>
      <c r="D485" s="87" t="s">
        <v>262</v>
      </c>
      <c r="E485" s="87" t="s">
        <v>270</v>
      </c>
      <c r="F485" s="87" t="s">
        <v>1749</v>
      </c>
      <c r="H485" s="93"/>
      <c r="I485" s="87" t="s">
        <v>103</v>
      </c>
      <c r="J485" s="87" t="s">
        <v>1750</v>
      </c>
      <c r="K485" s="90">
        <v>0.0</v>
      </c>
      <c r="L485" s="92"/>
      <c r="M485" s="93"/>
      <c r="N485" s="93"/>
      <c r="O485" s="87" t="s">
        <v>377</v>
      </c>
      <c r="P485" s="87" t="s">
        <v>372</v>
      </c>
    </row>
    <row r="486" ht="15.75" customHeight="1">
      <c r="A486" s="87" t="s">
        <v>1751</v>
      </c>
      <c r="B486" s="88">
        <v>1.22E18</v>
      </c>
      <c r="C486" s="87" t="s">
        <v>1752</v>
      </c>
      <c r="D486" s="87" t="s">
        <v>262</v>
      </c>
      <c r="E486" s="87" t="s">
        <v>275</v>
      </c>
      <c r="F486" s="118" t="s">
        <v>1752</v>
      </c>
      <c r="G486" s="119"/>
      <c r="H486" s="87" t="s">
        <v>1753</v>
      </c>
      <c r="I486" s="87" t="s">
        <v>103</v>
      </c>
      <c r="J486" s="87" t="s">
        <v>1754</v>
      </c>
      <c r="K486" s="90">
        <v>0.0</v>
      </c>
      <c r="L486" s="92"/>
      <c r="M486" s="93"/>
      <c r="N486" s="87" t="s">
        <v>1753</v>
      </c>
      <c r="O486" s="87" t="s">
        <v>377</v>
      </c>
      <c r="P486" s="87" t="s">
        <v>372</v>
      </c>
    </row>
    <row r="487" ht="15.75" customHeight="1">
      <c r="A487" s="87" t="s">
        <v>1755</v>
      </c>
      <c r="B487" s="88">
        <v>1.22E18</v>
      </c>
      <c r="C487" s="87" t="s">
        <v>1756</v>
      </c>
      <c r="D487" s="87" t="s">
        <v>87</v>
      </c>
      <c r="E487" s="87" t="s">
        <v>102</v>
      </c>
      <c r="F487" s="118" t="s">
        <v>1756</v>
      </c>
      <c r="G487" s="119"/>
      <c r="H487" s="87" t="s">
        <v>1729</v>
      </c>
      <c r="I487" s="87" t="s">
        <v>103</v>
      </c>
      <c r="J487" s="87" t="s">
        <v>1757</v>
      </c>
      <c r="K487" s="90">
        <v>0.0</v>
      </c>
      <c r="L487" s="92"/>
      <c r="M487" s="93"/>
      <c r="N487" s="87" t="s">
        <v>1729</v>
      </c>
      <c r="O487" s="87" t="s">
        <v>377</v>
      </c>
      <c r="P487" s="87" t="s">
        <v>372</v>
      </c>
    </row>
    <row r="488" ht="15.75" customHeight="1">
      <c r="A488" s="87" t="s">
        <v>1758</v>
      </c>
      <c r="B488" s="88">
        <v>1.22E18</v>
      </c>
      <c r="C488" s="87" t="s">
        <v>1759</v>
      </c>
      <c r="D488" s="87" t="s">
        <v>87</v>
      </c>
      <c r="E488" s="87" t="s">
        <v>228</v>
      </c>
      <c r="F488" s="87" t="s">
        <v>373</v>
      </c>
      <c r="H488" s="87" t="s">
        <v>1042</v>
      </c>
      <c r="I488" s="87" t="s">
        <v>340</v>
      </c>
      <c r="J488" s="87" t="s">
        <v>1760</v>
      </c>
      <c r="K488" s="90">
        <v>4800.0</v>
      </c>
      <c r="L488" s="92"/>
      <c r="M488" s="93"/>
      <c r="N488" s="87" t="s">
        <v>1044</v>
      </c>
      <c r="O488" s="87" t="s">
        <v>377</v>
      </c>
      <c r="P488" s="87" t="s">
        <v>372</v>
      </c>
    </row>
    <row r="489" ht="15.75" customHeight="1">
      <c r="A489" s="87" t="s">
        <v>1761</v>
      </c>
      <c r="B489" s="88">
        <v>1.22E18</v>
      </c>
      <c r="C489" s="87" t="s">
        <v>1762</v>
      </c>
      <c r="D489" s="87" t="s">
        <v>56</v>
      </c>
      <c r="E489" s="87" t="s">
        <v>102</v>
      </c>
      <c r="F489" s="87" t="s">
        <v>1763</v>
      </c>
      <c r="H489" s="87" t="s">
        <v>1764</v>
      </c>
      <c r="J489" s="87" t="s">
        <v>1765</v>
      </c>
      <c r="K489" s="90">
        <v>1300.0</v>
      </c>
      <c r="L489" s="92"/>
      <c r="M489" s="93"/>
      <c r="N489" s="87" t="s">
        <v>1766</v>
      </c>
      <c r="O489" s="87" t="s">
        <v>377</v>
      </c>
      <c r="P489" s="87" t="s">
        <v>372</v>
      </c>
    </row>
    <row r="490" ht="15.75" customHeight="1">
      <c r="A490" s="87" t="s">
        <v>470</v>
      </c>
      <c r="B490" s="88">
        <v>1.22E18</v>
      </c>
      <c r="C490" s="87" t="s">
        <v>472</v>
      </c>
      <c r="D490" s="87" t="s">
        <v>56</v>
      </c>
      <c r="E490" s="87" t="s">
        <v>102</v>
      </c>
      <c r="F490" s="87" t="s">
        <v>1763</v>
      </c>
      <c r="H490" s="87" t="s">
        <v>1764</v>
      </c>
      <c r="J490" s="87" t="s">
        <v>1765</v>
      </c>
      <c r="K490" s="90">
        <v>100.0</v>
      </c>
      <c r="L490" s="92"/>
      <c r="M490" s="93"/>
      <c r="N490" s="87" t="s">
        <v>1766</v>
      </c>
      <c r="O490" s="87" t="s">
        <v>377</v>
      </c>
      <c r="P490" s="87" t="s">
        <v>372</v>
      </c>
    </row>
    <row r="491" ht="15.75" customHeight="1">
      <c r="A491" s="87" t="s">
        <v>1767</v>
      </c>
      <c r="B491" s="88">
        <v>1.22E18</v>
      </c>
      <c r="C491" s="87" t="s">
        <v>1768</v>
      </c>
      <c r="D491" s="87" t="s">
        <v>56</v>
      </c>
      <c r="E491" s="87" t="s">
        <v>102</v>
      </c>
      <c r="F491" s="87" t="s">
        <v>1763</v>
      </c>
      <c r="H491" s="87" t="s">
        <v>1764</v>
      </c>
      <c r="J491" s="87" t="s">
        <v>1765</v>
      </c>
      <c r="K491" s="90">
        <v>0.0</v>
      </c>
      <c r="L491" s="92"/>
      <c r="M491" s="93"/>
      <c r="N491" s="87" t="s">
        <v>1766</v>
      </c>
      <c r="O491" s="87" t="s">
        <v>377</v>
      </c>
      <c r="P491" s="87" t="s">
        <v>372</v>
      </c>
    </row>
    <row r="492" ht="15.75" customHeight="1">
      <c r="A492" s="87" t="s">
        <v>1769</v>
      </c>
      <c r="B492" s="88">
        <v>1.22E18</v>
      </c>
      <c r="C492" s="87" t="s">
        <v>1770</v>
      </c>
      <c r="D492" s="87" t="s">
        <v>87</v>
      </c>
      <c r="E492" s="87" t="s">
        <v>88</v>
      </c>
      <c r="F492" s="87" t="s">
        <v>1770</v>
      </c>
      <c r="I492" s="87" t="s">
        <v>58</v>
      </c>
      <c r="J492" s="87" t="s">
        <v>1771</v>
      </c>
      <c r="K492" s="90">
        <v>0.0</v>
      </c>
      <c r="L492" s="92"/>
      <c r="M492" s="93"/>
      <c r="N492" s="87" t="s">
        <v>1772</v>
      </c>
      <c r="O492" s="87" t="s">
        <v>377</v>
      </c>
      <c r="P492" s="87" t="s">
        <v>372</v>
      </c>
    </row>
    <row r="493" ht="15.75" customHeight="1">
      <c r="A493" s="87" t="s">
        <v>1773</v>
      </c>
      <c r="B493" s="88">
        <v>1.22E18</v>
      </c>
      <c r="C493" s="87" t="s">
        <v>1774</v>
      </c>
      <c r="D493" s="87" t="s">
        <v>87</v>
      </c>
      <c r="E493" s="87" t="s">
        <v>102</v>
      </c>
      <c r="F493" s="87" t="s">
        <v>1774</v>
      </c>
      <c r="I493" s="87" t="s">
        <v>58</v>
      </c>
      <c r="J493" s="87" t="s">
        <v>1775</v>
      </c>
      <c r="K493" s="90">
        <v>0.0</v>
      </c>
      <c r="L493" s="92"/>
      <c r="M493" s="93"/>
      <c r="N493" s="87" t="s">
        <v>1772</v>
      </c>
      <c r="O493" s="87" t="s">
        <v>377</v>
      </c>
      <c r="P493" s="87" t="s">
        <v>372</v>
      </c>
    </row>
    <row r="494" ht="15.75" customHeight="1">
      <c r="A494" s="87" t="s">
        <v>1776</v>
      </c>
      <c r="B494" s="88">
        <v>1.22E18</v>
      </c>
      <c r="C494" s="87" t="s">
        <v>1777</v>
      </c>
      <c r="D494" s="87" t="s">
        <v>87</v>
      </c>
      <c r="E494" s="87" t="s">
        <v>88</v>
      </c>
      <c r="F494" s="87" t="s">
        <v>415</v>
      </c>
      <c r="G494" s="93"/>
      <c r="H494" s="87" t="s">
        <v>1778</v>
      </c>
      <c r="I494" s="87" t="s">
        <v>58</v>
      </c>
      <c r="J494" s="87" t="s">
        <v>1779</v>
      </c>
      <c r="K494" s="90">
        <v>1.0</v>
      </c>
      <c r="L494" s="92"/>
      <c r="M494" s="93"/>
      <c r="N494" s="87" t="s">
        <v>1772</v>
      </c>
      <c r="O494" s="87" t="s">
        <v>377</v>
      </c>
      <c r="P494" s="87" t="s">
        <v>372</v>
      </c>
    </row>
    <row r="495" ht="15.75" customHeight="1">
      <c r="A495" s="87" t="s">
        <v>1780</v>
      </c>
      <c r="B495" s="88">
        <v>1.22E18</v>
      </c>
      <c r="C495" s="87" t="s">
        <v>1781</v>
      </c>
      <c r="D495" s="87" t="s">
        <v>56</v>
      </c>
      <c r="E495" s="87" t="s">
        <v>102</v>
      </c>
      <c r="F495" s="87" t="s">
        <v>1763</v>
      </c>
      <c r="I495" s="93"/>
      <c r="J495" s="87" t="s">
        <v>1782</v>
      </c>
      <c r="K495" s="90">
        <v>0.0</v>
      </c>
      <c r="L495" s="92"/>
      <c r="M495" s="93"/>
      <c r="N495" s="87" t="s">
        <v>474</v>
      </c>
      <c r="O495" s="87" t="s">
        <v>377</v>
      </c>
      <c r="P495" s="87" t="s">
        <v>372</v>
      </c>
    </row>
    <row r="496" ht="15.75" customHeight="1">
      <c r="A496" s="87" t="s">
        <v>1783</v>
      </c>
      <c r="B496" s="88">
        <v>1.22E18</v>
      </c>
      <c r="C496" s="87" t="s">
        <v>1784</v>
      </c>
      <c r="D496" s="87" t="s">
        <v>87</v>
      </c>
      <c r="E496" s="87" t="s">
        <v>88</v>
      </c>
      <c r="F496" s="87" t="s">
        <v>1784</v>
      </c>
      <c r="I496" s="87" t="s">
        <v>58</v>
      </c>
      <c r="J496" s="87" t="s">
        <v>1785</v>
      </c>
      <c r="K496" s="90">
        <v>0.0</v>
      </c>
      <c r="L496" s="92"/>
      <c r="M496" s="93"/>
      <c r="N496" s="93"/>
      <c r="O496" s="87" t="s">
        <v>377</v>
      </c>
      <c r="P496" s="87" t="s">
        <v>372</v>
      </c>
    </row>
    <row r="497" ht="15.75" customHeight="1">
      <c r="A497" s="87" t="s">
        <v>1786</v>
      </c>
      <c r="B497" s="88">
        <v>1.22E18</v>
      </c>
      <c r="C497" s="87" t="s">
        <v>1787</v>
      </c>
      <c r="D497" s="87" t="s">
        <v>262</v>
      </c>
      <c r="E497" s="87" t="s">
        <v>270</v>
      </c>
      <c r="F497" s="118" t="s">
        <v>1787</v>
      </c>
      <c r="G497" s="130"/>
      <c r="H497" s="119"/>
      <c r="I497" s="87" t="s">
        <v>58</v>
      </c>
      <c r="J497" s="87" t="s">
        <v>1788</v>
      </c>
      <c r="K497" s="90">
        <v>0.0</v>
      </c>
      <c r="L497" s="92"/>
      <c r="M497" s="93"/>
      <c r="N497" s="87" t="s">
        <v>1789</v>
      </c>
      <c r="O497" s="87" t="s">
        <v>377</v>
      </c>
      <c r="P497" s="87" t="s">
        <v>372</v>
      </c>
    </row>
    <row r="498" ht="15.75" customHeight="1">
      <c r="A498" s="87" t="s">
        <v>1790</v>
      </c>
      <c r="B498" s="88">
        <v>1.22E18</v>
      </c>
      <c r="C498" s="87" t="s">
        <v>1791</v>
      </c>
      <c r="D498" s="87" t="s">
        <v>262</v>
      </c>
      <c r="E498" s="87" t="s">
        <v>270</v>
      </c>
      <c r="F498" s="87" t="s">
        <v>1791</v>
      </c>
      <c r="I498" s="87" t="s">
        <v>58</v>
      </c>
      <c r="J498" s="87" t="s">
        <v>1792</v>
      </c>
      <c r="K498" s="90">
        <v>0.0</v>
      </c>
      <c r="L498" s="92"/>
      <c r="M498" s="93"/>
      <c r="N498" s="87" t="s">
        <v>1789</v>
      </c>
      <c r="O498" s="87" t="s">
        <v>377</v>
      </c>
      <c r="P498" s="87" t="s">
        <v>372</v>
      </c>
    </row>
    <row r="499" ht="15.75" customHeight="1">
      <c r="A499" s="87" t="s">
        <v>1793</v>
      </c>
      <c r="B499" s="88">
        <v>1.22E18</v>
      </c>
      <c r="C499" s="87" t="s">
        <v>1794</v>
      </c>
      <c r="D499" s="87" t="s">
        <v>87</v>
      </c>
      <c r="E499" s="87" t="s">
        <v>88</v>
      </c>
      <c r="F499" s="87" t="s">
        <v>1794</v>
      </c>
      <c r="I499" s="87" t="s">
        <v>58</v>
      </c>
      <c r="J499" s="87" t="s">
        <v>1795</v>
      </c>
      <c r="K499" s="90">
        <v>0.0</v>
      </c>
      <c r="L499" s="92"/>
      <c r="M499" s="93"/>
      <c r="N499" s="87" t="s">
        <v>1796</v>
      </c>
      <c r="O499" s="87" t="s">
        <v>377</v>
      </c>
      <c r="P499" s="87" t="s">
        <v>372</v>
      </c>
    </row>
    <row r="500" ht="15.75" customHeight="1">
      <c r="A500" s="87" t="s">
        <v>1797</v>
      </c>
      <c r="B500" s="88">
        <v>1.22E18</v>
      </c>
      <c r="C500" s="87" t="s">
        <v>1798</v>
      </c>
      <c r="D500" s="87" t="s">
        <v>57</v>
      </c>
      <c r="E500" s="87" t="s">
        <v>281</v>
      </c>
      <c r="F500" s="87" t="s">
        <v>415</v>
      </c>
      <c r="G500" s="93"/>
      <c r="H500" s="87" t="s">
        <v>1799</v>
      </c>
      <c r="I500" s="87" t="s">
        <v>58</v>
      </c>
      <c r="J500" s="87" t="s">
        <v>1800</v>
      </c>
      <c r="K500" s="90">
        <v>3.0</v>
      </c>
      <c r="L500" s="92"/>
      <c r="M500" s="93"/>
      <c r="N500" s="93"/>
      <c r="O500" s="87" t="s">
        <v>377</v>
      </c>
      <c r="P500" s="87" t="s">
        <v>372</v>
      </c>
    </row>
    <row r="501" ht="15.75" customHeight="1">
      <c r="A501" s="87" t="s">
        <v>1801</v>
      </c>
      <c r="B501" s="88">
        <v>1.22E18</v>
      </c>
      <c r="C501" s="87" t="s">
        <v>1802</v>
      </c>
      <c r="D501" s="87" t="s">
        <v>87</v>
      </c>
      <c r="E501" s="87" t="s">
        <v>88</v>
      </c>
      <c r="F501" s="87" t="s">
        <v>1802</v>
      </c>
      <c r="H501" s="87" t="s">
        <v>369</v>
      </c>
      <c r="I501" s="87" t="s">
        <v>315</v>
      </c>
      <c r="J501" s="87" t="s">
        <v>1803</v>
      </c>
      <c r="K501" s="90">
        <v>50000.0</v>
      </c>
      <c r="L501" s="92"/>
      <c r="M501" s="93"/>
      <c r="N501" s="87" t="s">
        <v>390</v>
      </c>
      <c r="O501" s="87" t="s">
        <v>377</v>
      </c>
      <c r="P501" s="87" t="s">
        <v>372</v>
      </c>
    </row>
    <row r="502" ht="15.75" customHeight="1">
      <c r="A502" s="87" t="s">
        <v>1804</v>
      </c>
      <c r="B502" s="88">
        <v>1.22E18</v>
      </c>
      <c r="C502" s="87" t="s">
        <v>1805</v>
      </c>
      <c r="D502" s="87" t="s">
        <v>262</v>
      </c>
      <c r="E502" s="87" t="s">
        <v>270</v>
      </c>
      <c r="F502" s="118" t="s">
        <v>1805</v>
      </c>
      <c r="G502" s="119"/>
      <c r="H502" s="87" t="s">
        <v>1806</v>
      </c>
      <c r="I502" s="87" t="s">
        <v>103</v>
      </c>
      <c r="J502" s="87" t="s">
        <v>1807</v>
      </c>
      <c r="K502" s="90">
        <v>0.0</v>
      </c>
      <c r="L502" s="92"/>
      <c r="M502" s="93"/>
      <c r="N502" s="87" t="s">
        <v>1808</v>
      </c>
      <c r="O502" s="87" t="s">
        <v>377</v>
      </c>
      <c r="P502" s="87" t="s">
        <v>372</v>
      </c>
    </row>
    <row r="503" ht="15.75" customHeight="1">
      <c r="A503" s="87" t="s">
        <v>1809</v>
      </c>
      <c r="B503" s="88">
        <v>1.22E18</v>
      </c>
      <c r="C503" s="87" t="s">
        <v>1810</v>
      </c>
      <c r="D503" s="87" t="s">
        <v>262</v>
      </c>
      <c r="E503" s="87" t="s">
        <v>270</v>
      </c>
      <c r="F503" s="118" t="s">
        <v>1810</v>
      </c>
      <c r="G503" s="119"/>
      <c r="H503" s="87" t="s">
        <v>1806</v>
      </c>
      <c r="I503" s="87" t="s">
        <v>103</v>
      </c>
      <c r="J503" s="87" t="s">
        <v>1811</v>
      </c>
      <c r="K503" s="90">
        <v>0.0</v>
      </c>
      <c r="L503" s="92"/>
      <c r="M503" s="93"/>
      <c r="N503" s="87" t="s">
        <v>1808</v>
      </c>
      <c r="O503" s="87" t="s">
        <v>377</v>
      </c>
      <c r="P503" s="87" t="s">
        <v>372</v>
      </c>
    </row>
    <row r="504" ht="15.75" customHeight="1">
      <c r="A504" s="87" t="s">
        <v>1812</v>
      </c>
      <c r="B504" s="88">
        <v>1.22E18</v>
      </c>
      <c r="C504" s="87" t="s">
        <v>1813</v>
      </c>
      <c r="D504" s="87" t="s">
        <v>262</v>
      </c>
      <c r="E504" s="87" t="s">
        <v>270</v>
      </c>
      <c r="F504" s="118" t="s">
        <v>1813</v>
      </c>
      <c r="G504" s="119"/>
      <c r="H504" s="87" t="s">
        <v>1806</v>
      </c>
      <c r="I504" s="87" t="s">
        <v>103</v>
      </c>
      <c r="J504" s="87" t="s">
        <v>1814</v>
      </c>
      <c r="K504" s="90">
        <v>0.0</v>
      </c>
      <c r="L504" s="92"/>
      <c r="M504" s="93"/>
      <c r="N504" s="93"/>
      <c r="O504" s="87" t="s">
        <v>377</v>
      </c>
      <c r="P504" s="87" t="s">
        <v>372</v>
      </c>
    </row>
    <row r="505" ht="15.75" customHeight="1">
      <c r="A505" s="87" t="s">
        <v>1815</v>
      </c>
      <c r="B505" s="88">
        <v>1.22E18</v>
      </c>
      <c r="C505" s="87" t="s">
        <v>1816</v>
      </c>
      <c r="D505" s="87" t="s">
        <v>87</v>
      </c>
      <c r="E505" s="87" t="s">
        <v>102</v>
      </c>
      <c r="F505" s="118" t="s">
        <v>1816</v>
      </c>
      <c r="G505" s="119"/>
      <c r="H505" s="87" t="s">
        <v>1729</v>
      </c>
      <c r="I505" s="87" t="s">
        <v>58</v>
      </c>
      <c r="J505" s="87" t="s">
        <v>1817</v>
      </c>
      <c r="K505" s="90">
        <v>0.0</v>
      </c>
      <c r="L505" s="92"/>
      <c r="M505" s="93"/>
      <c r="N505" s="93"/>
      <c r="O505" s="87" t="s">
        <v>377</v>
      </c>
      <c r="P505" s="87" t="s">
        <v>372</v>
      </c>
    </row>
    <row r="506" ht="15.75" customHeight="1">
      <c r="A506" s="87" t="s">
        <v>1818</v>
      </c>
      <c r="B506" s="88">
        <v>1.22E18</v>
      </c>
      <c r="C506" s="87" t="s">
        <v>1819</v>
      </c>
      <c r="D506" s="87" t="s">
        <v>262</v>
      </c>
      <c r="E506" s="87" t="s">
        <v>267</v>
      </c>
      <c r="F506" s="87" t="s">
        <v>1819</v>
      </c>
      <c r="H506" s="87" t="s">
        <v>1820</v>
      </c>
      <c r="I506" s="87" t="s">
        <v>58</v>
      </c>
      <c r="J506" s="87" t="s">
        <v>1821</v>
      </c>
      <c r="K506" s="90">
        <v>0.0</v>
      </c>
      <c r="L506" s="92"/>
      <c r="M506" s="93"/>
      <c r="N506" s="87" t="s">
        <v>1822</v>
      </c>
      <c r="O506" s="87" t="s">
        <v>377</v>
      </c>
      <c r="P506" s="87" t="s">
        <v>372</v>
      </c>
    </row>
    <row r="507" ht="15.75" customHeight="1">
      <c r="A507" s="87" t="s">
        <v>320</v>
      </c>
      <c r="B507" s="88">
        <v>1.22E18</v>
      </c>
      <c r="C507" s="87" t="s">
        <v>321</v>
      </c>
      <c r="D507" s="87" t="s">
        <v>262</v>
      </c>
      <c r="E507" s="87" t="s">
        <v>267</v>
      </c>
      <c r="F507" s="87" t="s">
        <v>321</v>
      </c>
      <c r="H507" s="87" t="s">
        <v>1823</v>
      </c>
      <c r="I507" s="87" t="s">
        <v>58</v>
      </c>
      <c r="J507" s="87" t="s">
        <v>1824</v>
      </c>
      <c r="K507" s="90">
        <v>0.0</v>
      </c>
      <c r="L507" s="92"/>
      <c r="M507" s="93"/>
      <c r="N507" s="87" t="s">
        <v>1823</v>
      </c>
      <c r="O507" s="87" t="s">
        <v>377</v>
      </c>
      <c r="P507" s="87" t="s">
        <v>372</v>
      </c>
    </row>
    <row r="508" ht="15.75" customHeight="1">
      <c r="A508" s="87" t="s">
        <v>1825</v>
      </c>
      <c r="B508" s="88">
        <v>1.22E18</v>
      </c>
      <c r="C508" s="87" t="s">
        <v>1826</v>
      </c>
      <c r="D508" s="87" t="s">
        <v>87</v>
      </c>
      <c r="E508" s="87" t="s">
        <v>88</v>
      </c>
      <c r="F508" s="87" t="s">
        <v>1826</v>
      </c>
      <c r="H508" s="87" t="s">
        <v>369</v>
      </c>
      <c r="I508" s="87" t="s">
        <v>340</v>
      </c>
      <c r="J508" s="87" t="s">
        <v>634</v>
      </c>
      <c r="K508" s="90">
        <v>100000.0</v>
      </c>
      <c r="L508" s="92"/>
      <c r="M508" s="93"/>
      <c r="N508" s="87" t="s">
        <v>390</v>
      </c>
      <c r="O508" s="87" t="s">
        <v>377</v>
      </c>
      <c r="P508" s="87" t="s">
        <v>372</v>
      </c>
    </row>
    <row r="509" ht="15.75" customHeight="1">
      <c r="A509" s="87" t="s">
        <v>1827</v>
      </c>
      <c r="B509" s="88">
        <v>1.22E18</v>
      </c>
      <c r="C509" s="87" t="s">
        <v>1828</v>
      </c>
      <c r="D509" s="87" t="s">
        <v>87</v>
      </c>
      <c r="E509" s="87" t="s">
        <v>88</v>
      </c>
      <c r="F509" s="87" t="s">
        <v>861</v>
      </c>
      <c r="G509" s="93"/>
      <c r="H509" s="87" t="s">
        <v>369</v>
      </c>
      <c r="I509" s="87" t="s">
        <v>58</v>
      </c>
      <c r="J509" s="87" t="s">
        <v>1829</v>
      </c>
      <c r="K509" s="90">
        <v>166.0</v>
      </c>
      <c r="L509" s="92"/>
      <c r="M509" s="93"/>
      <c r="N509" s="87" t="s">
        <v>390</v>
      </c>
      <c r="O509" s="87" t="s">
        <v>377</v>
      </c>
      <c r="P509" s="87" t="s">
        <v>372</v>
      </c>
    </row>
    <row r="510" ht="15.75" customHeight="1">
      <c r="A510" s="87" t="s">
        <v>1830</v>
      </c>
      <c r="B510" s="88">
        <v>1.22E18</v>
      </c>
      <c r="C510" s="87" t="s">
        <v>1831</v>
      </c>
      <c r="D510" s="87" t="s">
        <v>87</v>
      </c>
      <c r="E510" s="87" t="s">
        <v>228</v>
      </c>
      <c r="F510" s="87" t="s">
        <v>379</v>
      </c>
      <c r="G510" s="93"/>
      <c r="H510" s="87" t="s">
        <v>408</v>
      </c>
      <c r="I510" s="93"/>
      <c r="J510" s="87" t="s">
        <v>1832</v>
      </c>
      <c r="K510" s="90">
        <v>6010.0</v>
      </c>
      <c r="L510" s="92"/>
      <c r="M510" s="93"/>
      <c r="N510" s="87" t="s">
        <v>408</v>
      </c>
      <c r="O510" s="87" t="s">
        <v>377</v>
      </c>
      <c r="P510" s="87" t="s">
        <v>372</v>
      </c>
    </row>
    <row r="511" ht="15.75" customHeight="1">
      <c r="A511" s="87" t="s">
        <v>1833</v>
      </c>
      <c r="B511" s="88">
        <v>1.22E18</v>
      </c>
      <c r="C511" s="87" t="s">
        <v>1834</v>
      </c>
      <c r="D511" s="87" t="s">
        <v>87</v>
      </c>
      <c r="E511" s="87" t="s">
        <v>88</v>
      </c>
      <c r="F511" s="87" t="s">
        <v>1834</v>
      </c>
      <c r="H511" s="87" t="s">
        <v>1835</v>
      </c>
      <c r="I511" s="87" t="s">
        <v>58</v>
      </c>
      <c r="J511" s="87" t="s">
        <v>1836</v>
      </c>
      <c r="K511" s="90">
        <v>0.0</v>
      </c>
      <c r="L511" s="92"/>
      <c r="M511" s="93"/>
      <c r="N511" s="87" t="s">
        <v>1837</v>
      </c>
      <c r="O511" s="87" t="s">
        <v>377</v>
      </c>
      <c r="P511" s="87" t="s">
        <v>372</v>
      </c>
    </row>
    <row r="512" ht="15.75" customHeight="1">
      <c r="A512" s="87" t="s">
        <v>1838</v>
      </c>
      <c r="B512" s="88">
        <v>1.22E18</v>
      </c>
      <c r="C512" s="87" t="s">
        <v>1839</v>
      </c>
      <c r="D512" s="87" t="s">
        <v>87</v>
      </c>
      <c r="E512" s="87" t="s">
        <v>88</v>
      </c>
      <c r="F512" s="87" t="s">
        <v>379</v>
      </c>
      <c r="G512" s="93"/>
      <c r="H512" s="87" t="s">
        <v>1835</v>
      </c>
      <c r="I512" s="93"/>
      <c r="J512" s="87" t="s">
        <v>1840</v>
      </c>
      <c r="K512" s="90">
        <v>900.0</v>
      </c>
      <c r="L512" s="92"/>
      <c r="M512" s="93"/>
      <c r="N512" s="87" t="s">
        <v>1837</v>
      </c>
      <c r="O512" s="87" t="s">
        <v>377</v>
      </c>
      <c r="P512" s="87" t="s">
        <v>372</v>
      </c>
    </row>
    <row r="513" ht="15.75" customHeight="1">
      <c r="A513" s="87" t="s">
        <v>1841</v>
      </c>
      <c r="B513" s="88">
        <v>1.22E18</v>
      </c>
      <c r="C513" s="87" t="s">
        <v>1842</v>
      </c>
      <c r="D513" s="87" t="s">
        <v>87</v>
      </c>
      <c r="E513" s="87" t="s">
        <v>88</v>
      </c>
      <c r="F513" s="87" t="s">
        <v>379</v>
      </c>
      <c r="G513" s="93"/>
      <c r="H513" s="87" t="s">
        <v>381</v>
      </c>
      <c r="J513" s="87" t="s">
        <v>1843</v>
      </c>
      <c r="K513" s="90">
        <v>85000.0</v>
      </c>
      <c r="L513" s="92"/>
      <c r="M513" s="93"/>
      <c r="N513" s="87" t="s">
        <v>1844</v>
      </c>
      <c r="O513" s="87" t="s">
        <v>377</v>
      </c>
      <c r="P513" s="87" t="s">
        <v>372</v>
      </c>
    </row>
    <row r="514" ht="15.75" customHeight="1">
      <c r="A514" s="87" t="s">
        <v>1845</v>
      </c>
      <c r="B514" s="88">
        <v>1.22E18</v>
      </c>
      <c r="C514" s="87" t="s">
        <v>1846</v>
      </c>
      <c r="D514" s="87" t="s">
        <v>87</v>
      </c>
      <c r="E514" s="87" t="s">
        <v>228</v>
      </c>
      <c r="F514" s="87" t="s">
        <v>373</v>
      </c>
      <c r="H514" s="87" t="s">
        <v>374</v>
      </c>
      <c r="I514" s="87" t="s">
        <v>340</v>
      </c>
      <c r="J514" s="87" t="s">
        <v>1847</v>
      </c>
      <c r="K514" s="90">
        <v>4165.0</v>
      </c>
      <c r="L514" s="92"/>
      <c r="M514" s="93"/>
      <c r="N514" s="87" t="s">
        <v>617</v>
      </c>
      <c r="O514" s="87" t="s">
        <v>377</v>
      </c>
      <c r="P514" s="87" t="s">
        <v>372</v>
      </c>
    </row>
    <row r="515" ht="15.75" customHeight="1">
      <c r="A515" s="87" t="s">
        <v>1848</v>
      </c>
      <c r="B515" s="88">
        <v>1.22E18</v>
      </c>
      <c r="C515" s="87" t="s">
        <v>1849</v>
      </c>
      <c r="D515" s="87" t="s">
        <v>87</v>
      </c>
      <c r="E515" s="87" t="s">
        <v>228</v>
      </c>
      <c r="F515" s="87" t="s">
        <v>373</v>
      </c>
      <c r="H515" s="87" t="s">
        <v>374</v>
      </c>
      <c r="I515" s="87" t="s">
        <v>340</v>
      </c>
      <c r="J515" s="87" t="s">
        <v>1847</v>
      </c>
      <c r="K515" s="90">
        <v>1852.0</v>
      </c>
      <c r="L515" s="92"/>
      <c r="M515" s="93"/>
      <c r="N515" s="87" t="s">
        <v>617</v>
      </c>
      <c r="O515" s="87" t="s">
        <v>377</v>
      </c>
      <c r="P515" s="87" t="s">
        <v>372</v>
      </c>
    </row>
    <row r="516" ht="15.75" customHeight="1">
      <c r="A516" s="87" t="s">
        <v>1850</v>
      </c>
      <c r="B516" s="88">
        <v>1.22E18</v>
      </c>
      <c r="C516" s="87" t="s">
        <v>1851</v>
      </c>
      <c r="D516" s="87" t="s">
        <v>87</v>
      </c>
      <c r="E516" s="87" t="s">
        <v>228</v>
      </c>
      <c r="F516" s="87" t="s">
        <v>373</v>
      </c>
      <c r="H516" s="87" t="s">
        <v>374</v>
      </c>
      <c r="I516" s="87" t="s">
        <v>340</v>
      </c>
      <c r="J516" s="87" t="s">
        <v>1847</v>
      </c>
      <c r="K516" s="90">
        <v>8.0</v>
      </c>
      <c r="L516" s="92"/>
      <c r="M516" s="93"/>
      <c r="N516" s="87" t="s">
        <v>617</v>
      </c>
      <c r="O516" s="87" t="s">
        <v>377</v>
      </c>
      <c r="P516" s="87" t="s">
        <v>372</v>
      </c>
    </row>
    <row r="517" ht="15.75" customHeight="1">
      <c r="A517" s="87" t="s">
        <v>1852</v>
      </c>
      <c r="B517" s="88">
        <v>1.22E18</v>
      </c>
      <c r="C517" s="87" t="s">
        <v>1853</v>
      </c>
      <c r="D517" s="87" t="s">
        <v>87</v>
      </c>
      <c r="E517" s="87" t="s">
        <v>228</v>
      </c>
      <c r="F517" s="87" t="s">
        <v>373</v>
      </c>
      <c r="H517" s="87" t="s">
        <v>374</v>
      </c>
      <c r="I517" s="87" t="s">
        <v>340</v>
      </c>
      <c r="J517" s="87" t="s">
        <v>1854</v>
      </c>
      <c r="K517" s="90">
        <v>1888.0</v>
      </c>
      <c r="L517" s="92"/>
      <c r="M517" s="93"/>
      <c r="N517" s="87" t="s">
        <v>617</v>
      </c>
      <c r="O517" s="87" t="s">
        <v>377</v>
      </c>
      <c r="P517" s="87" t="s">
        <v>372</v>
      </c>
    </row>
    <row r="518" ht="15.75" customHeight="1">
      <c r="A518" s="87" t="s">
        <v>1855</v>
      </c>
      <c r="B518" s="88">
        <v>1.22E18</v>
      </c>
      <c r="C518" s="87" t="s">
        <v>1856</v>
      </c>
      <c r="D518" s="87" t="s">
        <v>87</v>
      </c>
      <c r="E518" s="87" t="s">
        <v>228</v>
      </c>
      <c r="F518" s="87" t="s">
        <v>373</v>
      </c>
      <c r="H518" s="87" t="s">
        <v>374</v>
      </c>
      <c r="I518" s="87" t="s">
        <v>340</v>
      </c>
      <c r="J518" s="87" t="s">
        <v>1854</v>
      </c>
      <c r="K518" s="90">
        <v>0.0</v>
      </c>
      <c r="L518" s="92"/>
      <c r="M518" s="93"/>
      <c r="N518" s="87" t="s">
        <v>617</v>
      </c>
      <c r="O518" s="87" t="s">
        <v>377</v>
      </c>
      <c r="P518" s="87" t="s">
        <v>372</v>
      </c>
    </row>
    <row r="519" ht="15.75" customHeight="1">
      <c r="A519" s="87" t="s">
        <v>1857</v>
      </c>
      <c r="B519" s="88">
        <v>1.22E18</v>
      </c>
      <c r="C519" s="87" t="s">
        <v>1858</v>
      </c>
      <c r="D519" s="87" t="s">
        <v>87</v>
      </c>
      <c r="E519" s="87" t="s">
        <v>228</v>
      </c>
      <c r="F519" s="87" t="s">
        <v>1858</v>
      </c>
      <c r="H519" s="87" t="s">
        <v>374</v>
      </c>
      <c r="I519" s="87" t="s">
        <v>340</v>
      </c>
      <c r="J519" s="87" t="s">
        <v>1859</v>
      </c>
      <c r="K519" s="90">
        <v>100.0</v>
      </c>
      <c r="L519" s="92"/>
      <c r="M519" s="93"/>
      <c r="N519" s="87" t="s">
        <v>617</v>
      </c>
      <c r="O519" s="87" t="s">
        <v>377</v>
      </c>
      <c r="P519" s="87" t="s">
        <v>372</v>
      </c>
    </row>
    <row r="520" ht="15.75" customHeight="1">
      <c r="A520" s="87" t="s">
        <v>1860</v>
      </c>
      <c r="B520" s="88">
        <v>1.22E18</v>
      </c>
      <c r="C520" s="87" t="s">
        <v>1861</v>
      </c>
      <c r="D520" s="87" t="s">
        <v>87</v>
      </c>
      <c r="E520" s="87" t="s">
        <v>228</v>
      </c>
      <c r="F520" s="87" t="s">
        <v>1861</v>
      </c>
      <c r="H520" s="87" t="s">
        <v>374</v>
      </c>
      <c r="I520" s="87" t="s">
        <v>340</v>
      </c>
      <c r="J520" s="87" t="s">
        <v>1862</v>
      </c>
      <c r="K520" s="90">
        <v>100.0</v>
      </c>
      <c r="L520" s="92"/>
      <c r="M520" s="93"/>
      <c r="N520" s="87" t="s">
        <v>617</v>
      </c>
      <c r="O520" s="87" t="s">
        <v>377</v>
      </c>
      <c r="P520" s="87" t="s">
        <v>372</v>
      </c>
    </row>
    <row r="521" ht="15.75" customHeight="1">
      <c r="A521" s="87" t="s">
        <v>1863</v>
      </c>
      <c r="B521" s="88">
        <v>1.22E18</v>
      </c>
      <c r="C521" s="87" t="s">
        <v>1864</v>
      </c>
      <c r="D521" s="87" t="s">
        <v>87</v>
      </c>
      <c r="E521" s="87" t="s">
        <v>228</v>
      </c>
      <c r="F521" s="87" t="s">
        <v>373</v>
      </c>
      <c r="H521" s="87" t="s">
        <v>837</v>
      </c>
      <c r="I521" s="87" t="s">
        <v>340</v>
      </c>
      <c r="J521" s="87" t="s">
        <v>1865</v>
      </c>
      <c r="K521" s="90">
        <v>0.0</v>
      </c>
      <c r="L521" s="92"/>
      <c r="M521" s="93"/>
      <c r="N521" s="87" t="s">
        <v>838</v>
      </c>
      <c r="O521" s="87" t="s">
        <v>377</v>
      </c>
      <c r="P521" s="87" t="s">
        <v>372</v>
      </c>
    </row>
    <row r="522" ht="15.75" customHeight="1">
      <c r="A522" s="87" t="s">
        <v>1866</v>
      </c>
      <c r="B522" s="88">
        <v>1.22E18</v>
      </c>
      <c r="C522" s="87" t="s">
        <v>1867</v>
      </c>
      <c r="D522" s="87" t="s">
        <v>87</v>
      </c>
      <c r="E522" s="87" t="s">
        <v>233</v>
      </c>
      <c r="F522" s="87" t="s">
        <v>379</v>
      </c>
      <c r="G522" s="93"/>
      <c r="H522" s="87" t="s">
        <v>1868</v>
      </c>
      <c r="I522" s="93"/>
      <c r="J522" s="87" t="s">
        <v>1869</v>
      </c>
      <c r="K522" s="90">
        <v>140000.0</v>
      </c>
      <c r="L522" s="92"/>
      <c r="M522" s="93"/>
      <c r="N522" s="87" t="s">
        <v>828</v>
      </c>
      <c r="O522" s="87" t="s">
        <v>377</v>
      </c>
      <c r="P522" s="87" t="s">
        <v>372</v>
      </c>
    </row>
    <row r="523" ht="15.75" customHeight="1">
      <c r="A523" s="87" t="s">
        <v>1870</v>
      </c>
      <c r="B523" s="88">
        <v>1.22E18</v>
      </c>
      <c r="C523" s="87" t="s">
        <v>1871</v>
      </c>
      <c r="D523" s="87" t="s">
        <v>87</v>
      </c>
      <c r="E523" s="87" t="s">
        <v>88</v>
      </c>
      <c r="F523" s="87" t="s">
        <v>379</v>
      </c>
      <c r="G523" s="93"/>
      <c r="H523" s="87" t="s">
        <v>1868</v>
      </c>
      <c r="I523" s="93"/>
      <c r="J523" s="87" t="s">
        <v>620</v>
      </c>
      <c r="K523" s="90">
        <v>0.0</v>
      </c>
      <c r="L523" s="92"/>
      <c r="M523" s="93"/>
      <c r="N523" s="87" t="s">
        <v>828</v>
      </c>
      <c r="O523" s="87" t="s">
        <v>377</v>
      </c>
      <c r="P523" s="87" t="s">
        <v>372</v>
      </c>
    </row>
    <row r="524" ht="15.75" customHeight="1">
      <c r="A524" s="87" t="s">
        <v>1872</v>
      </c>
      <c r="B524" s="88">
        <v>1.22E18</v>
      </c>
      <c r="C524" s="87" t="s">
        <v>1873</v>
      </c>
      <c r="D524" s="87" t="s">
        <v>87</v>
      </c>
      <c r="E524" s="87" t="s">
        <v>233</v>
      </c>
      <c r="F524" s="87" t="s">
        <v>1873</v>
      </c>
      <c r="H524" s="87" t="s">
        <v>1868</v>
      </c>
      <c r="I524" s="87" t="s">
        <v>315</v>
      </c>
      <c r="J524" s="87" t="s">
        <v>620</v>
      </c>
      <c r="K524" s="90">
        <v>70000.0</v>
      </c>
      <c r="L524" s="92"/>
      <c r="M524" s="93"/>
      <c r="N524" s="87" t="s">
        <v>828</v>
      </c>
      <c r="O524" s="87" t="s">
        <v>377</v>
      </c>
      <c r="P524" s="87" t="s">
        <v>372</v>
      </c>
    </row>
    <row r="525" ht="15.75" customHeight="1">
      <c r="A525" s="87" t="s">
        <v>1874</v>
      </c>
      <c r="B525" s="88">
        <v>1.22E18</v>
      </c>
      <c r="C525" s="87" t="s">
        <v>1875</v>
      </c>
      <c r="D525" s="87" t="s">
        <v>87</v>
      </c>
      <c r="E525" s="87" t="s">
        <v>88</v>
      </c>
      <c r="F525" s="87" t="s">
        <v>379</v>
      </c>
      <c r="G525" s="93"/>
      <c r="H525" s="87" t="s">
        <v>1868</v>
      </c>
      <c r="I525" s="93"/>
      <c r="J525" s="87" t="s">
        <v>620</v>
      </c>
      <c r="K525" s="90">
        <v>330000.0</v>
      </c>
      <c r="L525" s="92"/>
      <c r="M525" s="93"/>
      <c r="N525" s="87" t="s">
        <v>828</v>
      </c>
      <c r="O525" s="87" t="s">
        <v>377</v>
      </c>
      <c r="P525" s="87" t="s">
        <v>372</v>
      </c>
    </row>
    <row r="526" ht="15.75" customHeight="1">
      <c r="A526" s="87" t="s">
        <v>1876</v>
      </c>
      <c r="B526" s="88">
        <v>1.22E18</v>
      </c>
      <c r="C526" s="87" t="s">
        <v>1877</v>
      </c>
      <c r="D526" s="87" t="s">
        <v>87</v>
      </c>
      <c r="E526" s="87" t="s">
        <v>102</v>
      </c>
      <c r="F526" s="87" t="s">
        <v>1763</v>
      </c>
      <c r="H526" s="87" t="s">
        <v>1878</v>
      </c>
      <c r="I526" s="93"/>
      <c r="J526" s="87" t="s">
        <v>1879</v>
      </c>
      <c r="K526" s="90">
        <v>23.0</v>
      </c>
      <c r="L526" s="92"/>
      <c r="M526" s="93"/>
      <c r="N526" s="87" t="s">
        <v>474</v>
      </c>
      <c r="O526" s="87" t="s">
        <v>377</v>
      </c>
      <c r="P526" s="87" t="s">
        <v>372</v>
      </c>
    </row>
    <row r="527" ht="15.75" customHeight="1">
      <c r="A527" s="87" t="s">
        <v>1880</v>
      </c>
      <c r="B527" s="88">
        <v>1.22E18</v>
      </c>
      <c r="C527" s="87" t="s">
        <v>1881</v>
      </c>
      <c r="D527" s="87" t="s">
        <v>87</v>
      </c>
      <c r="E527" s="87" t="s">
        <v>102</v>
      </c>
      <c r="F527" s="87" t="s">
        <v>1763</v>
      </c>
      <c r="H527" s="87" t="s">
        <v>1878</v>
      </c>
      <c r="I527" s="93"/>
      <c r="J527" s="87" t="s">
        <v>1882</v>
      </c>
      <c r="K527" s="90">
        <v>6.0</v>
      </c>
      <c r="L527" s="92"/>
      <c r="M527" s="87" t="s">
        <v>1883</v>
      </c>
      <c r="N527" s="87" t="s">
        <v>474</v>
      </c>
      <c r="O527" s="87" t="s">
        <v>377</v>
      </c>
      <c r="P527" s="87" t="s">
        <v>372</v>
      </c>
    </row>
    <row r="528" ht="15.75" customHeight="1">
      <c r="A528" s="87" t="s">
        <v>1884</v>
      </c>
      <c r="B528" s="88">
        <v>1.22E18</v>
      </c>
      <c r="C528" s="87" t="s">
        <v>1885</v>
      </c>
      <c r="D528" s="87" t="s">
        <v>87</v>
      </c>
      <c r="E528" s="87" t="s">
        <v>102</v>
      </c>
      <c r="F528" s="87" t="s">
        <v>1763</v>
      </c>
      <c r="H528" s="87" t="s">
        <v>1878</v>
      </c>
      <c r="I528" s="93"/>
      <c r="J528" s="87" t="s">
        <v>1886</v>
      </c>
      <c r="K528" s="90">
        <v>9000.0</v>
      </c>
      <c r="L528" s="92"/>
      <c r="M528" s="87" t="s">
        <v>1883</v>
      </c>
      <c r="N528" s="87" t="s">
        <v>474</v>
      </c>
      <c r="O528" s="87" t="s">
        <v>377</v>
      </c>
      <c r="P528" s="87" t="s">
        <v>372</v>
      </c>
    </row>
    <row r="529" ht="15.75" customHeight="1">
      <c r="A529" s="87" t="s">
        <v>1887</v>
      </c>
      <c r="B529" s="88">
        <v>1.22E18</v>
      </c>
      <c r="C529" s="87" t="s">
        <v>1888</v>
      </c>
      <c r="D529" s="87" t="s">
        <v>56</v>
      </c>
      <c r="E529" s="87" t="s">
        <v>59</v>
      </c>
      <c r="F529" s="87" t="s">
        <v>1763</v>
      </c>
      <c r="I529" s="93"/>
      <c r="J529" s="87" t="s">
        <v>816</v>
      </c>
      <c r="K529" s="90">
        <v>0.0</v>
      </c>
      <c r="L529" s="92"/>
      <c r="M529" s="93"/>
      <c r="N529" s="87" t="s">
        <v>474</v>
      </c>
      <c r="O529" s="87" t="s">
        <v>377</v>
      </c>
      <c r="P529" s="87" t="s">
        <v>372</v>
      </c>
    </row>
    <row r="530" ht="15.75" customHeight="1">
      <c r="A530" s="87" t="s">
        <v>1889</v>
      </c>
      <c r="B530" s="88">
        <v>1.22E18</v>
      </c>
      <c r="C530" s="87" t="s">
        <v>1890</v>
      </c>
      <c r="D530" s="87" t="s">
        <v>87</v>
      </c>
      <c r="E530" s="87" t="s">
        <v>102</v>
      </c>
      <c r="F530" s="87" t="s">
        <v>1763</v>
      </c>
      <c r="H530" s="87" t="s">
        <v>1878</v>
      </c>
      <c r="I530" s="93"/>
      <c r="J530" s="87" t="s">
        <v>1891</v>
      </c>
      <c r="K530" s="90">
        <v>5.0</v>
      </c>
      <c r="L530" s="92"/>
      <c r="M530" s="87" t="s">
        <v>1883</v>
      </c>
      <c r="N530" s="87" t="s">
        <v>474</v>
      </c>
      <c r="O530" s="87" t="s">
        <v>377</v>
      </c>
      <c r="P530" s="87" t="s">
        <v>372</v>
      </c>
    </row>
    <row r="531" ht="15.75" customHeight="1">
      <c r="A531" s="87" t="s">
        <v>1892</v>
      </c>
      <c r="B531" s="88">
        <v>1.22E18</v>
      </c>
      <c r="C531" s="87" t="s">
        <v>1893</v>
      </c>
      <c r="D531" s="87" t="s">
        <v>87</v>
      </c>
      <c r="E531" s="87" t="s">
        <v>102</v>
      </c>
      <c r="F531" s="87" t="s">
        <v>1763</v>
      </c>
      <c r="H531" s="87" t="s">
        <v>1878</v>
      </c>
      <c r="I531" s="93"/>
      <c r="J531" s="87" t="s">
        <v>1894</v>
      </c>
      <c r="K531" s="90">
        <v>10.0</v>
      </c>
      <c r="L531" s="92"/>
      <c r="M531" s="93"/>
      <c r="N531" s="87" t="s">
        <v>474</v>
      </c>
      <c r="O531" s="87" t="s">
        <v>377</v>
      </c>
      <c r="P531" s="87" t="s">
        <v>372</v>
      </c>
    </row>
    <row r="532" ht="15.75" customHeight="1">
      <c r="A532" s="87" t="s">
        <v>1895</v>
      </c>
      <c r="B532" s="88">
        <v>1.22E18</v>
      </c>
      <c r="C532" s="87" t="s">
        <v>1896</v>
      </c>
      <c r="D532" s="87" t="s">
        <v>87</v>
      </c>
      <c r="E532" s="87" t="s">
        <v>102</v>
      </c>
      <c r="F532" s="87" t="s">
        <v>1763</v>
      </c>
      <c r="H532" s="87" t="s">
        <v>1878</v>
      </c>
      <c r="I532" s="93"/>
      <c r="J532" s="87" t="s">
        <v>1894</v>
      </c>
      <c r="K532" s="90">
        <v>15.0</v>
      </c>
      <c r="L532" s="92"/>
      <c r="M532" s="93"/>
      <c r="N532" s="87" t="s">
        <v>474</v>
      </c>
      <c r="O532" s="87" t="s">
        <v>377</v>
      </c>
      <c r="P532" s="87" t="s">
        <v>372</v>
      </c>
    </row>
    <row r="533" ht="15.75" customHeight="1">
      <c r="A533" s="87" t="s">
        <v>1897</v>
      </c>
      <c r="B533" s="88">
        <v>1.22E18</v>
      </c>
      <c r="C533" s="87" t="s">
        <v>1898</v>
      </c>
      <c r="D533" s="87" t="s">
        <v>87</v>
      </c>
      <c r="E533" s="87" t="s">
        <v>102</v>
      </c>
      <c r="F533" s="87" t="s">
        <v>1763</v>
      </c>
      <c r="H533" s="87" t="s">
        <v>1878</v>
      </c>
      <c r="I533" s="93"/>
      <c r="J533" s="87" t="s">
        <v>1899</v>
      </c>
      <c r="K533" s="90">
        <v>5.0</v>
      </c>
      <c r="L533" s="92"/>
      <c r="M533" s="93"/>
      <c r="N533" s="87" t="s">
        <v>474</v>
      </c>
      <c r="O533" s="87" t="s">
        <v>377</v>
      </c>
      <c r="P533" s="87" t="s">
        <v>372</v>
      </c>
    </row>
    <row r="534" ht="15.75" customHeight="1">
      <c r="A534" s="87" t="s">
        <v>1900</v>
      </c>
      <c r="B534" s="88">
        <v>1.22E18</v>
      </c>
      <c r="C534" s="87" t="s">
        <v>1901</v>
      </c>
      <c r="D534" s="87" t="s">
        <v>56</v>
      </c>
      <c r="E534" s="87" t="s">
        <v>102</v>
      </c>
      <c r="F534" s="118" t="s">
        <v>1901</v>
      </c>
      <c r="G534" s="119"/>
      <c r="H534" s="87" t="s">
        <v>1902</v>
      </c>
      <c r="I534" s="87" t="s">
        <v>103</v>
      </c>
      <c r="J534" s="87" t="s">
        <v>1903</v>
      </c>
      <c r="K534" s="90">
        <v>0.0</v>
      </c>
      <c r="L534" s="92"/>
      <c r="M534" s="93"/>
      <c r="N534" s="87" t="s">
        <v>474</v>
      </c>
      <c r="O534" s="87" t="s">
        <v>377</v>
      </c>
      <c r="P534" s="87" t="s">
        <v>372</v>
      </c>
    </row>
    <row r="535" ht="15.75" customHeight="1">
      <c r="A535" s="87" t="s">
        <v>1904</v>
      </c>
      <c r="B535" s="88">
        <v>1.22E18</v>
      </c>
      <c r="C535" s="87" t="s">
        <v>1905</v>
      </c>
      <c r="D535" s="87" t="s">
        <v>87</v>
      </c>
      <c r="E535" s="87" t="s">
        <v>88</v>
      </c>
      <c r="F535" s="118" t="s">
        <v>1905</v>
      </c>
      <c r="G535" s="119"/>
      <c r="H535" s="87" t="s">
        <v>1906</v>
      </c>
      <c r="I535" s="87" t="s">
        <v>103</v>
      </c>
      <c r="J535" s="87" t="s">
        <v>1907</v>
      </c>
      <c r="K535" s="90">
        <v>0.0</v>
      </c>
      <c r="L535" s="92"/>
      <c r="M535" s="93"/>
      <c r="N535" s="87" t="s">
        <v>1906</v>
      </c>
      <c r="O535" s="87" t="s">
        <v>377</v>
      </c>
      <c r="P535" s="87" t="s">
        <v>372</v>
      </c>
    </row>
    <row r="536" ht="15.75" customHeight="1">
      <c r="A536" s="87" t="s">
        <v>1908</v>
      </c>
      <c r="B536" s="88">
        <v>1.22E18</v>
      </c>
      <c r="C536" s="87" t="s">
        <v>1909</v>
      </c>
      <c r="D536" s="87" t="s">
        <v>87</v>
      </c>
      <c r="E536" s="87" t="s">
        <v>88</v>
      </c>
      <c r="F536" s="87" t="s">
        <v>1909</v>
      </c>
      <c r="H536" s="87" t="s">
        <v>369</v>
      </c>
      <c r="I536" s="87" t="s">
        <v>327</v>
      </c>
      <c r="J536" s="87" t="s">
        <v>1910</v>
      </c>
      <c r="K536" s="90">
        <v>200000.0</v>
      </c>
      <c r="L536" s="92"/>
      <c r="M536" s="87" t="s">
        <v>575</v>
      </c>
      <c r="N536" s="87" t="s">
        <v>390</v>
      </c>
      <c r="O536" s="87" t="s">
        <v>377</v>
      </c>
      <c r="P536" s="87" t="s">
        <v>372</v>
      </c>
    </row>
    <row r="537" ht="15.75" customHeight="1">
      <c r="A537" s="87" t="s">
        <v>1911</v>
      </c>
      <c r="B537" s="88">
        <v>1.22E18</v>
      </c>
      <c r="C537" s="87" t="s">
        <v>1912</v>
      </c>
      <c r="D537" s="87" t="s">
        <v>87</v>
      </c>
      <c r="E537" s="87" t="s">
        <v>102</v>
      </c>
      <c r="F537" s="87" t="s">
        <v>1912</v>
      </c>
      <c r="H537" s="87" t="s">
        <v>1136</v>
      </c>
      <c r="I537" s="87" t="s">
        <v>327</v>
      </c>
      <c r="J537" s="87" t="s">
        <v>1162</v>
      </c>
      <c r="K537" s="90">
        <v>400000.0</v>
      </c>
      <c r="L537" s="92"/>
      <c r="M537" s="87" t="s">
        <v>575</v>
      </c>
      <c r="O537" s="87" t="s">
        <v>377</v>
      </c>
      <c r="P537" s="87" t="s">
        <v>372</v>
      </c>
    </row>
    <row r="538" ht="15.75" customHeight="1">
      <c r="A538" s="87" t="s">
        <v>1913</v>
      </c>
      <c r="B538" s="88">
        <v>1.22E18</v>
      </c>
      <c r="C538" s="87" t="s">
        <v>1914</v>
      </c>
      <c r="D538" s="87" t="s">
        <v>87</v>
      </c>
      <c r="E538" s="87" t="s">
        <v>102</v>
      </c>
      <c r="F538" s="87" t="s">
        <v>1914</v>
      </c>
      <c r="H538" s="87" t="s">
        <v>1136</v>
      </c>
      <c r="I538" s="87" t="s">
        <v>327</v>
      </c>
      <c r="J538" s="87" t="s">
        <v>1120</v>
      </c>
      <c r="K538" s="90">
        <v>300000.0</v>
      </c>
      <c r="L538" s="92"/>
      <c r="M538" s="87" t="s">
        <v>575</v>
      </c>
      <c r="O538" s="87" t="s">
        <v>377</v>
      </c>
      <c r="P538" s="87" t="s">
        <v>372</v>
      </c>
    </row>
    <row r="539" ht="15.75" customHeight="1">
      <c r="A539" s="87" t="s">
        <v>1915</v>
      </c>
      <c r="B539" s="88">
        <v>1.22E18</v>
      </c>
      <c r="C539" s="87" t="s">
        <v>1916</v>
      </c>
      <c r="D539" s="87" t="s">
        <v>87</v>
      </c>
      <c r="E539" s="87" t="s">
        <v>102</v>
      </c>
      <c r="F539" s="87" t="s">
        <v>1916</v>
      </c>
      <c r="H539" s="87" t="s">
        <v>1136</v>
      </c>
      <c r="I539" s="87" t="s">
        <v>327</v>
      </c>
      <c r="J539" s="87" t="s">
        <v>934</v>
      </c>
      <c r="K539" s="90">
        <v>250000.0</v>
      </c>
      <c r="L539" s="92"/>
      <c r="M539" s="87" t="s">
        <v>575</v>
      </c>
      <c r="O539" s="87" t="s">
        <v>377</v>
      </c>
      <c r="P539" s="87" t="s">
        <v>372</v>
      </c>
    </row>
    <row r="540" ht="15.75" customHeight="1">
      <c r="A540" s="87" t="s">
        <v>1917</v>
      </c>
      <c r="B540" s="88">
        <v>1.22E18</v>
      </c>
      <c r="C540" s="87" t="s">
        <v>1918</v>
      </c>
      <c r="D540" s="87" t="s">
        <v>87</v>
      </c>
      <c r="E540" s="87" t="s">
        <v>102</v>
      </c>
      <c r="F540" s="87" t="s">
        <v>1918</v>
      </c>
      <c r="H540" s="87" t="s">
        <v>1136</v>
      </c>
      <c r="I540" s="87" t="s">
        <v>327</v>
      </c>
      <c r="J540" s="87" t="s">
        <v>934</v>
      </c>
      <c r="K540" s="90">
        <v>199500.0</v>
      </c>
      <c r="L540" s="92"/>
      <c r="M540" s="87" t="s">
        <v>575</v>
      </c>
      <c r="O540" s="87" t="s">
        <v>377</v>
      </c>
      <c r="P540" s="87" t="s">
        <v>372</v>
      </c>
    </row>
    <row r="541" ht="15.75" customHeight="1">
      <c r="A541" s="87" t="s">
        <v>1919</v>
      </c>
      <c r="B541" s="88">
        <v>1.22E18</v>
      </c>
      <c r="C541" s="87" t="s">
        <v>1920</v>
      </c>
      <c r="D541" s="87" t="s">
        <v>87</v>
      </c>
      <c r="E541" s="87" t="s">
        <v>88</v>
      </c>
      <c r="F541" s="87" t="s">
        <v>1920</v>
      </c>
      <c r="H541" s="87" t="s">
        <v>1152</v>
      </c>
      <c r="I541" s="87" t="s">
        <v>327</v>
      </c>
      <c r="J541" s="87" t="s">
        <v>1162</v>
      </c>
      <c r="K541" s="90">
        <v>0.0</v>
      </c>
      <c r="L541" s="92"/>
      <c r="M541" s="87" t="s">
        <v>575</v>
      </c>
      <c r="O541" s="87" t="s">
        <v>377</v>
      </c>
      <c r="P541" s="87" t="s">
        <v>372</v>
      </c>
    </row>
    <row r="542" ht="15.75" customHeight="1">
      <c r="A542" s="87" t="s">
        <v>1921</v>
      </c>
      <c r="B542" s="88">
        <v>1.22E18</v>
      </c>
      <c r="C542" s="87" t="s">
        <v>1922</v>
      </c>
      <c r="D542" s="87" t="s">
        <v>87</v>
      </c>
      <c r="E542" s="87" t="s">
        <v>88</v>
      </c>
      <c r="F542" s="87" t="s">
        <v>1922</v>
      </c>
      <c r="H542" s="87" t="s">
        <v>471</v>
      </c>
      <c r="I542" s="87" t="s">
        <v>1923</v>
      </c>
      <c r="J542" s="87" t="s">
        <v>1924</v>
      </c>
      <c r="K542" s="90">
        <v>0.0</v>
      </c>
      <c r="L542" s="92"/>
      <c r="M542" s="87" t="s">
        <v>575</v>
      </c>
      <c r="O542" s="87" t="s">
        <v>377</v>
      </c>
      <c r="P542" s="87" t="s">
        <v>372</v>
      </c>
    </row>
    <row r="543" ht="15.75" customHeight="1">
      <c r="A543" s="87" t="s">
        <v>1925</v>
      </c>
      <c r="B543" s="88">
        <v>1.22E18</v>
      </c>
      <c r="C543" s="87" t="s">
        <v>1926</v>
      </c>
      <c r="D543" s="87" t="s">
        <v>87</v>
      </c>
      <c r="E543" s="87" t="s">
        <v>88</v>
      </c>
      <c r="F543" s="87" t="s">
        <v>1926</v>
      </c>
      <c r="H543" s="87" t="s">
        <v>471</v>
      </c>
      <c r="I543" s="87" t="s">
        <v>1923</v>
      </c>
      <c r="J543" s="87" t="s">
        <v>1927</v>
      </c>
      <c r="K543" s="90">
        <v>600.0</v>
      </c>
      <c r="L543" s="92"/>
      <c r="M543" s="87" t="s">
        <v>575</v>
      </c>
      <c r="O543" s="87" t="s">
        <v>377</v>
      </c>
      <c r="P543" s="87" t="s">
        <v>372</v>
      </c>
    </row>
    <row r="544" ht="15.75" customHeight="1">
      <c r="A544" s="87" t="s">
        <v>1928</v>
      </c>
      <c r="B544" s="88">
        <v>1.22E18</v>
      </c>
      <c r="C544" s="87" t="s">
        <v>1929</v>
      </c>
      <c r="D544" s="87" t="s">
        <v>87</v>
      </c>
      <c r="E544" s="87" t="s">
        <v>102</v>
      </c>
      <c r="F544" s="87" t="s">
        <v>1929</v>
      </c>
      <c r="H544" s="87" t="s">
        <v>1136</v>
      </c>
      <c r="I544" s="87" t="s">
        <v>327</v>
      </c>
      <c r="J544" s="87" t="s">
        <v>405</v>
      </c>
      <c r="K544" s="90">
        <v>300000.0</v>
      </c>
      <c r="L544" s="92"/>
      <c r="M544" s="87" t="s">
        <v>575</v>
      </c>
      <c r="O544" s="87" t="s">
        <v>377</v>
      </c>
      <c r="P544" s="87" t="s">
        <v>372</v>
      </c>
    </row>
    <row r="545" ht="15.75" customHeight="1">
      <c r="A545" s="87" t="s">
        <v>1930</v>
      </c>
      <c r="B545" s="88">
        <v>1.22E18</v>
      </c>
      <c r="C545" s="87" t="s">
        <v>1931</v>
      </c>
      <c r="D545" s="87" t="s">
        <v>87</v>
      </c>
      <c r="E545" s="87" t="s">
        <v>241</v>
      </c>
      <c r="F545" s="87" t="s">
        <v>1931</v>
      </c>
      <c r="H545" s="87" t="s">
        <v>716</v>
      </c>
      <c r="I545" s="87" t="s">
        <v>327</v>
      </c>
      <c r="J545" s="87" t="s">
        <v>405</v>
      </c>
      <c r="K545" s="90">
        <v>300000.0</v>
      </c>
      <c r="L545" s="92"/>
      <c r="M545" s="87" t="s">
        <v>575</v>
      </c>
      <c r="O545" s="87" t="s">
        <v>377</v>
      </c>
      <c r="P545" s="87" t="s">
        <v>372</v>
      </c>
    </row>
    <row r="546" ht="15.75" customHeight="1">
      <c r="A546" s="87" t="s">
        <v>1932</v>
      </c>
      <c r="B546" s="88">
        <v>1.22E18</v>
      </c>
      <c r="C546" s="87" t="s">
        <v>1933</v>
      </c>
      <c r="D546" s="87" t="s">
        <v>87</v>
      </c>
      <c r="E546" s="87" t="s">
        <v>88</v>
      </c>
      <c r="F546" s="87" t="s">
        <v>1933</v>
      </c>
      <c r="H546" s="87" t="s">
        <v>1152</v>
      </c>
      <c r="I546" s="87" t="s">
        <v>327</v>
      </c>
      <c r="J546" s="87" t="s">
        <v>405</v>
      </c>
      <c r="K546" s="90">
        <v>200000.0</v>
      </c>
      <c r="L546" s="92"/>
      <c r="M546" s="87" t="s">
        <v>575</v>
      </c>
      <c r="O546" s="87" t="s">
        <v>377</v>
      </c>
      <c r="P546" s="87" t="s">
        <v>372</v>
      </c>
    </row>
    <row r="547" ht="15.75" customHeight="1">
      <c r="A547" s="87" t="s">
        <v>1934</v>
      </c>
      <c r="B547" s="88">
        <v>1.22E18</v>
      </c>
      <c r="C547" s="87" t="s">
        <v>1935</v>
      </c>
      <c r="D547" s="87" t="s">
        <v>87</v>
      </c>
      <c r="E547" s="87" t="s">
        <v>102</v>
      </c>
      <c r="F547" s="87" t="s">
        <v>1935</v>
      </c>
      <c r="H547" s="87" t="s">
        <v>1136</v>
      </c>
      <c r="I547" s="87" t="s">
        <v>327</v>
      </c>
      <c r="J547" s="87" t="s">
        <v>405</v>
      </c>
      <c r="K547" s="90">
        <v>0.0</v>
      </c>
      <c r="L547" s="92"/>
      <c r="M547" s="87" t="s">
        <v>575</v>
      </c>
      <c r="O547" s="87" t="s">
        <v>377</v>
      </c>
      <c r="P547" s="87" t="s">
        <v>372</v>
      </c>
    </row>
    <row r="548" ht="15.75" customHeight="1">
      <c r="A548" s="87" t="s">
        <v>1936</v>
      </c>
      <c r="B548" s="88">
        <v>1.22E18</v>
      </c>
      <c r="C548" s="87" t="s">
        <v>1937</v>
      </c>
      <c r="D548" s="87" t="s">
        <v>87</v>
      </c>
      <c r="E548" s="87" t="s">
        <v>88</v>
      </c>
      <c r="F548" s="87" t="s">
        <v>1937</v>
      </c>
      <c r="H548" s="87" t="s">
        <v>369</v>
      </c>
      <c r="I548" s="87" t="s">
        <v>327</v>
      </c>
      <c r="J548" s="87" t="s">
        <v>1938</v>
      </c>
      <c r="K548" s="90">
        <v>0.0</v>
      </c>
      <c r="L548" s="92"/>
      <c r="M548" s="87" t="s">
        <v>200</v>
      </c>
      <c r="N548" s="87" t="s">
        <v>390</v>
      </c>
      <c r="O548" s="87" t="s">
        <v>377</v>
      </c>
      <c r="P548" s="87" t="s">
        <v>372</v>
      </c>
    </row>
    <row r="549" ht="15.75" customHeight="1">
      <c r="A549" s="87" t="s">
        <v>1939</v>
      </c>
      <c r="B549" s="88">
        <v>1.22E18</v>
      </c>
      <c r="C549" s="87" t="s">
        <v>1940</v>
      </c>
      <c r="D549" s="87" t="s">
        <v>87</v>
      </c>
      <c r="E549" s="87" t="s">
        <v>88</v>
      </c>
      <c r="F549" s="87" t="s">
        <v>1940</v>
      </c>
      <c r="H549" s="87" t="s">
        <v>369</v>
      </c>
      <c r="I549" s="87" t="s">
        <v>327</v>
      </c>
      <c r="J549" s="87" t="s">
        <v>1941</v>
      </c>
      <c r="K549" s="90">
        <v>0.0</v>
      </c>
      <c r="L549" s="92"/>
      <c r="M549" s="87" t="s">
        <v>200</v>
      </c>
      <c r="N549" s="87" t="s">
        <v>390</v>
      </c>
      <c r="O549" s="87" t="s">
        <v>377</v>
      </c>
      <c r="P549" s="87" t="s">
        <v>372</v>
      </c>
    </row>
    <row r="550" ht="15.75" customHeight="1">
      <c r="A550" s="87" t="s">
        <v>1942</v>
      </c>
      <c r="B550" s="88">
        <v>1.22E18</v>
      </c>
      <c r="C550" s="87" t="s">
        <v>1943</v>
      </c>
      <c r="D550" s="87" t="s">
        <v>87</v>
      </c>
      <c r="E550" s="87" t="s">
        <v>88</v>
      </c>
      <c r="F550" s="87" t="s">
        <v>1943</v>
      </c>
      <c r="H550" s="87" t="s">
        <v>369</v>
      </c>
      <c r="I550" s="87" t="s">
        <v>340</v>
      </c>
      <c r="J550" s="87" t="s">
        <v>1159</v>
      </c>
      <c r="K550" s="90">
        <v>0.0</v>
      </c>
      <c r="L550" s="92"/>
      <c r="M550" s="87" t="s">
        <v>200</v>
      </c>
      <c r="N550" s="87" t="s">
        <v>390</v>
      </c>
      <c r="O550" s="87" t="s">
        <v>377</v>
      </c>
      <c r="P550" s="87" t="s">
        <v>372</v>
      </c>
    </row>
    <row r="551" ht="15.75" customHeight="1">
      <c r="A551" s="87" t="s">
        <v>1944</v>
      </c>
      <c r="B551" s="88">
        <v>1.22E18</v>
      </c>
      <c r="C551" s="87" t="s">
        <v>1945</v>
      </c>
      <c r="D551" s="87" t="s">
        <v>87</v>
      </c>
      <c r="E551" s="87" t="s">
        <v>88</v>
      </c>
      <c r="F551" s="87" t="s">
        <v>1945</v>
      </c>
      <c r="H551" s="87" t="s">
        <v>369</v>
      </c>
      <c r="I551" s="87" t="s">
        <v>315</v>
      </c>
      <c r="J551" s="87" t="s">
        <v>1140</v>
      </c>
      <c r="K551" s="90">
        <v>0.0</v>
      </c>
      <c r="L551" s="92"/>
      <c r="M551" s="87" t="s">
        <v>200</v>
      </c>
      <c r="N551" s="87" t="s">
        <v>390</v>
      </c>
      <c r="O551" s="87" t="s">
        <v>377</v>
      </c>
      <c r="P551" s="87" t="s">
        <v>372</v>
      </c>
    </row>
    <row r="552" ht="15.75" customHeight="1">
      <c r="A552" s="87" t="s">
        <v>1946</v>
      </c>
      <c r="B552" s="88">
        <v>1.22E18</v>
      </c>
      <c r="C552" s="87" t="s">
        <v>1947</v>
      </c>
      <c r="D552" s="87" t="s">
        <v>87</v>
      </c>
      <c r="E552" s="87" t="s">
        <v>233</v>
      </c>
      <c r="F552" s="87" t="s">
        <v>1947</v>
      </c>
      <c r="H552" s="87" t="s">
        <v>369</v>
      </c>
      <c r="I552" s="87" t="s">
        <v>340</v>
      </c>
      <c r="J552" s="87" t="s">
        <v>631</v>
      </c>
      <c r="K552" s="90">
        <v>0.0</v>
      </c>
      <c r="L552" s="92"/>
      <c r="M552" s="87" t="s">
        <v>200</v>
      </c>
      <c r="N552" s="87" t="s">
        <v>390</v>
      </c>
      <c r="O552" s="87" t="s">
        <v>377</v>
      </c>
      <c r="P552" s="87" t="s">
        <v>372</v>
      </c>
    </row>
    <row r="553" ht="15.75" customHeight="1">
      <c r="A553" s="87" t="s">
        <v>1948</v>
      </c>
      <c r="B553" s="88">
        <v>1.22E18</v>
      </c>
      <c r="C553" s="87" t="s">
        <v>1949</v>
      </c>
      <c r="D553" s="87" t="s">
        <v>56</v>
      </c>
      <c r="E553" s="87" t="s">
        <v>102</v>
      </c>
      <c r="F553" s="87" t="s">
        <v>1763</v>
      </c>
      <c r="I553" s="93"/>
      <c r="J553" s="87" t="s">
        <v>816</v>
      </c>
      <c r="K553" s="90">
        <v>12.0</v>
      </c>
      <c r="L553" s="92"/>
      <c r="M553" s="87" t="s">
        <v>1883</v>
      </c>
      <c r="O553" s="87" t="s">
        <v>377</v>
      </c>
      <c r="P553" s="87" t="s">
        <v>372</v>
      </c>
    </row>
    <row r="554" ht="15.75" customHeight="1">
      <c r="A554" s="87" t="s">
        <v>1950</v>
      </c>
      <c r="B554" s="88">
        <v>1.22E18</v>
      </c>
      <c r="C554" s="87" t="s">
        <v>1951</v>
      </c>
      <c r="D554" s="87" t="s">
        <v>56</v>
      </c>
      <c r="E554" s="87" t="s">
        <v>102</v>
      </c>
      <c r="F554" s="87" t="s">
        <v>1763</v>
      </c>
      <c r="I554" s="93"/>
      <c r="J554" s="87" t="s">
        <v>1952</v>
      </c>
      <c r="K554" s="90">
        <v>6.0</v>
      </c>
      <c r="L554" s="92"/>
      <c r="M554" s="87" t="s">
        <v>1883</v>
      </c>
      <c r="O554" s="87" t="s">
        <v>377</v>
      </c>
      <c r="P554" s="87" t="s">
        <v>372</v>
      </c>
    </row>
    <row r="555" ht="15.75" customHeight="1">
      <c r="A555" s="87" t="s">
        <v>1953</v>
      </c>
      <c r="B555" s="88">
        <v>1.22E18</v>
      </c>
      <c r="C555" s="87" t="s">
        <v>1954</v>
      </c>
      <c r="D555" s="87" t="s">
        <v>56</v>
      </c>
      <c r="E555" s="87" t="s">
        <v>102</v>
      </c>
      <c r="F555" s="87" t="s">
        <v>1954</v>
      </c>
      <c r="I555" s="87" t="s">
        <v>1742</v>
      </c>
      <c r="J555" s="87" t="s">
        <v>1955</v>
      </c>
      <c r="K555" s="90">
        <v>0.0</v>
      </c>
      <c r="L555" s="92"/>
      <c r="M555" s="87" t="s">
        <v>1883</v>
      </c>
      <c r="O555" s="87" t="s">
        <v>377</v>
      </c>
      <c r="P555" s="87" t="s">
        <v>372</v>
      </c>
    </row>
    <row r="556" ht="15.75" customHeight="1">
      <c r="A556" s="87" t="s">
        <v>1956</v>
      </c>
      <c r="B556" s="88">
        <v>1.22E18</v>
      </c>
      <c r="C556" s="87" t="s">
        <v>1957</v>
      </c>
      <c r="D556" s="87" t="s">
        <v>87</v>
      </c>
      <c r="E556" s="87" t="s">
        <v>102</v>
      </c>
      <c r="F556" s="87" t="s">
        <v>1957</v>
      </c>
      <c r="H556" s="87" t="s">
        <v>1878</v>
      </c>
      <c r="I556" s="87" t="s">
        <v>1742</v>
      </c>
      <c r="J556" s="87" t="s">
        <v>1958</v>
      </c>
      <c r="K556" s="90">
        <v>0.0</v>
      </c>
      <c r="L556" s="92"/>
      <c r="M556" s="87" t="s">
        <v>1883</v>
      </c>
      <c r="N556" s="87" t="s">
        <v>474</v>
      </c>
      <c r="O556" s="87" t="s">
        <v>377</v>
      </c>
      <c r="P556" s="87" t="s">
        <v>372</v>
      </c>
    </row>
    <row r="557" ht="15.75" customHeight="1">
      <c r="A557" s="87" t="s">
        <v>1959</v>
      </c>
      <c r="B557" s="88">
        <v>1.22E18</v>
      </c>
      <c r="C557" s="87" t="s">
        <v>1960</v>
      </c>
      <c r="D557" s="87" t="s">
        <v>56</v>
      </c>
      <c r="E557" s="87" t="s">
        <v>102</v>
      </c>
      <c r="F557" s="87" t="s">
        <v>1763</v>
      </c>
      <c r="I557" s="93"/>
      <c r="J557" s="87" t="s">
        <v>1961</v>
      </c>
      <c r="K557" s="90">
        <v>0.0</v>
      </c>
      <c r="L557" s="92"/>
      <c r="M557" s="87" t="s">
        <v>1883</v>
      </c>
      <c r="N557" s="87" t="s">
        <v>474</v>
      </c>
      <c r="O557" s="87" t="s">
        <v>377</v>
      </c>
      <c r="P557" s="87" t="s">
        <v>372</v>
      </c>
    </row>
    <row r="558" ht="15.75" customHeight="1">
      <c r="A558" s="87" t="s">
        <v>1962</v>
      </c>
      <c r="B558" s="88">
        <v>1.22E18</v>
      </c>
      <c r="C558" s="87" t="s">
        <v>1963</v>
      </c>
      <c r="D558" s="87" t="s">
        <v>87</v>
      </c>
      <c r="E558" s="87" t="s">
        <v>102</v>
      </c>
      <c r="F558" s="87" t="s">
        <v>1763</v>
      </c>
      <c r="H558" s="87" t="s">
        <v>1878</v>
      </c>
      <c r="I558" s="93"/>
      <c r="J558" s="87" t="s">
        <v>1964</v>
      </c>
      <c r="K558" s="90">
        <v>0.0</v>
      </c>
      <c r="L558" s="92"/>
      <c r="M558" s="87" t="s">
        <v>1883</v>
      </c>
      <c r="N558" s="87" t="s">
        <v>474</v>
      </c>
      <c r="O558" s="87" t="s">
        <v>377</v>
      </c>
      <c r="P558" s="87" t="s">
        <v>372</v>
      </c>
    </row>
    <row r="559" ht="15.75" customHeight="1">
      <c r="A559" s="87" t="s">
        <v>1965</v>
      </c>
      <c r="B559" s="88">
        <v>1.22E18</v>
      </c>
      <c r="C559" s="87" t="s">
        <v>1966</v>
      </c>
      <c r="D559" s="87" t="s">
        <v>87</v>
      </c>
      <c r="E559" s="87" t="s">
        <v>102</v>
      </c>
      <c r="F559" s="87" t="s">
        <v>1763</v>
      </c>
      <c r="H559" s="87" t="s">
        <v>1878</v>
      </c>
      <c r="I559" s="93"/>
      <c r="J559" s="87" t="s">
        <v>1967</v>
      </c>
      <c r="K559" s="90">
        <v>4.0</v>
      </c>
      <c r="L559" s="92"/>
      <c r="M559" s="87" t="s">
        <v>1883</v>
      </c>
      <c r="N559" s="87" t="s">
        <v>474</v>
      </c>
      <c r="O559" s="87" t="s">
        <v>377</v>
      </c>
      <c r="P559" s="87" t="s">
        <v>372</v>
      </c>
    </row>
    <row r="560" ht="15.75" customHeight="1">
      <c r="A560" s="87" t="s">
        <v>1968</v>
      </c>
      <c r="B560" s="88">
        <v>1.22E18</v>
      </c>
      <c r="C560" s="87" t="s">
        <v>1969</v>
      </c>
      <c r="D560" s="87" t="s">
        <v>87</v>
      </c>
      <c r="E560" s="87" t="s">
        <v>102</v>
      </c>
      <c r="F560" s="87" t="s">
        <v>1763</v>
      </c>
      <c r="H560" s="87" t="s">
        <v>1970</v>
      </c>
      <c r="I560" s="93"/>
      <c r="J560" s="87" t="s">
        <v>1971</v>
      </c>
      <c r="K560" s="90">
        <v>14.0</v>
      </c>
      <c r="L560" s="92"/>
      <c r="M560" s="87" t="s">
        <v>1883</v>
      </c>
      <c r="O560" s="87" t="s">
        <v>377</v>
      </c>
      <c r="P560" s="87" t="s">
        <v>372</v>
      </c>
    </row>
    <row r="561" ht="15.75" customHeight="1">
      <c r="A561" s="87" t="s">
        <v>1972</v>
      </c>
      <c r="B561" s="88">
        <v>1.22E18</v>
      </c>
      <c r="C561" s="87" t="s">
        <v>1973</v>
      </c>
      <c r="D561" s="87" t="s">
        <v>87</v>
      </c>
      <c r="E561" s="87" t="s">
        <v>102</v>
      </c>
      <c r="F561" s="118" t="s">
        <v>1973</v>
      </c>
      <c r="G561" s="119"/>
      <c r="H561" s="87" t="s">
        <v>1878</v>
      </c>
      <c r="I561" s="87" t="s">
        <v>1742</v>
      </c>
      <c r="J561" s="87" t="s">
        <v>1974</v>
      </c>
      <c r="K561" s="90">
        <v>0.0</v>
      </c>
      <c r="L561" s="92"/>
      <c r="M561" s="87" t="s">
        <v>1883</v>
      </c>
      <c r="N561" s="87" t="s">
        <v>474</v>
      </c>
      <c r="O561" s="87" t="s">
        <v>377</v>
      </c>
      <c r="P561" s="87" t="s">
        <v>372</v>
      </c>
    </row>
    <row r="562" ht="15.75" customHeight="1">
      <c r="A562" s="87" t="s">
        <v>1975</v>
      </c>
      <c r="B562" s="88">
        <v>1.22E18</v>
      </c>
      <c r="C562" s="87" t="s">
        <v>1976</v>
      </c>
      <c r="D562" s="87" t="s">
        <v>87</v>
      </c>
      <c r="E562" s="87" t="s">
        <v>102</v>
      </c>
      <c r="F562" s="87" t="s">
        <v>1763</v>
      </c>
      <c r="H562" s="87" t="s">
        <v>1977</v>
      </c>
      <c r="I562" s="93"/>
      <c r="J562" s="87" t="s">
        <v>1978</v>
      </c>
      <c r="K562" s="90">
        <v>220.0</v>
      </c>
      <c r="L562" s="92"/>
      <c r="M562" s="87" t="s">
        <v>1883</v>
      </c>
      <c r="O562" s="87" t="s">
        <v>377</v>
      </c>
      <c r="P562" s="87" t="s">
        <v>372</v>
      </c>
    </row>
    <row r="563" ht="15.75" customHeight="1">
      <c r="A563" s="87" t="s">
        <v>1979</v>
      </c>
      <c r="B563" s="88">
        <v>1.22E18</v>
      </c>
      <c r="C563" s="87" t="s">
        <v>1980</v>
      </c>
      <c r="D563" s="87" t="s">
        <v>87</v>
      </c>
      <c r="E563" s="87" t="s">
        <v>102</v>
      </c>
      <c r="F563" s="87" t="s">
        <v>1980</v>
      </c>
      <c r="H563" s="87" t="s">
        <v>1977</v>
      </c>
      <c r="I563" s="87" t="s">
        <v>1742</v>
      </c>
      <c r="J563" s="87" t="s">
        <v>1978</v>
      </c>
      <c r="K563" s="90">
        <v>0.0</v>
      </c>
      <c r="L563" s="92"/>
      <c r="M563" s="87" t="s">
        <v>1883</v>
      </c>
      <c r="O563" s="87" t="s">
        <v>377</v>
      </c>
      <c r="P563" s="87" t="s">
        <v>372</v>
      </c>
    </row>
    <row r="564" ht="15.75" customHeight="1">
      <c r="A564" s="87" t="s">
        <v>1981</v>
      </c>
      <c r="B564" s="88">
        <v>1.22E18</v>
      </c>
      <c r="C564" s="87" t="s">
        <v>1982</v>
      </c>
      <c r="D564" s="87" t="s">
        <v>56</v>
      </c>
      <c r="E564" s="87" t="s">
        <v>102</v>
      </c>
      <c r="F564" s="87" t="s">
        <v>1763</v>
      </c>
      <c r="H564" s="87" t="s">
        <v>1902</v>
      </c>
      <c r="I564" s="93"/>
      <c r="J564" s="87" t="s">
        <v>1983</v>
      </c>
      <c r="K564" s="90">
        <v>0.0</v>
      </c>
      <c r="L564" s="92"/>
      <c r="M564" s="87" t="s">
        <v>1883</v>
      </c>
      <c r="N564" s="87" t="s">
        <v>474</v>
      </c>
      <c r="O564" s="87" t="s">
        <v>377</v>
      </c>
      <c r="P564" s="87" t="s">
        <v>372</v>
      </c>
    </row>
    <row r="565" ht="15.75" customHeight="1">
      <c r="A565" s="87" t="s">
        <v>1984</v>
      </c>
      <c r="B565" s="88">
        <v>1.22E18</v>
      </c>
      <c r="C565" s="87" t="s">
        <v>1985</v>
      </c>
      <c r="D565" s="87" t="s">
        <v>56</v>
      </c>
      <c r="E565" s="87" t="s">
        <v>102</v>
      </c>
      <c r="F565" s="87" t="s">
        <v>1763</v>
      </c>
      <c r="H565" s="87" t="s">
        <v>1902</v>
      </c>
      <c r="I565" s="93"/>
      <c r="J565" s="87" t="s">
        <v>1903</v>
      </c>
      <c r="K565" s="90">
        <v>0.0</v>
      </c>
      <c r="L565" s="92"/>
      <c r="M565" s="87" t="s">
        <v>1883</v>
      </c>
      <c r="N565" s="87" t="s">
        <v>474</v>
      </c>
      <c r="O565" s="87" t="s">
        <v>377</v>
      </c>
      <c r="P565" s="87" t="s">
        <v>372</v>
      </c>
    </row>
    <row r="566" ht="15.75" customHeight="1">
      <c r="A566" s="87" t="s">
        <v>1986</v>
      </c>
      <c r="B566" s="88">
        <v>1.22E18</v>
      </c>
      <c r="C566" s="87" t="s">
        <v>1987</v>
      </c>
      <c r="D566" s="87" t="s">
        <v>56</v>
      </c>
      <c r="E566" s="87" t="s">
        <v>102</v>
      </c>
      <c r="F566" s="87" t="s">
        <v>1987</v>
      </c>
      <c r="H566" s="87" t="s">
        <v>1902</v>
      </c>
      <c r="I566" s="87" t="s">
        <v>103</v>
      </c>
      <c r="J566" s="87" t="s">
        <v>1988</v>
      </c>
      <c r="K566" s="90">
        <v>0.0</v>
      </c>
      <c r="L566" s="92"/>
      <c r="M566" s="87" t="s">
        <v>1883</v>
      </c>
      <c r="O566" s="87" t="s">
        <v>377</v>
      </c>
      <c r="P566" s="87" t="s">
        <v>372</v>
      </c>
    </row>
    <row r="567" ht="15.75" customHeight="1">
      <c r="A567" s="87" t="s">
        <v>1989</v>
      </c>
      <c r="B567" s="88">
        <v>1.22E18</v>
      </c>
      <c r="C567" s="87" t="s">
        <v>1990</v>
      </c>
      <c r="D567" s="87" t="s">
        <v>56</v>
      </c>
      <c r="E567" s="87" t="s">
        <v>102</v>
      </c>
      <c r="F567" s="87" t="s">
        <v>1763</v>
      </c>
      <c r="H567" s="87" t="s">
        <v>1902</v>
      </c>
      <c r="I567" s="93"/>
      <c r="J567" s="87" t="s">
        <v>1991</v>
      </c>
      <c r="K567" s="90">
        <v>0.0</v>
      </c>
      <c r="L567" s="92"/>
      <c r="M567" s="87" t="s">
        <v>1883</v>
      </c>
      <c r="N567" s="87" t="s">
        <v>474</v>
      </c>
      <c r="O567" s="87" t="s">
        <v>377</v>
      </c>
      <c r="P567" s="87" t="s">
        <v>372</v>
      </c>
    </row>
    <row r="568" ht="15.75" customHeight="1">
      <c r="A568" s="87" t="s">
        <v>1992</v>
      </c>
      <c r="B568" s="88">
        <v>1.22E18</v>
      </c>
      <c r="C568" s="87" t="s">
        <v>1993</v>
      </c>
      <c r="D568" s="87" t="s">
        <v>56</v>
      </c>
      <c r="E568" s="87" t="s">
        <v>102</v>
      </c>
      <c r="F568" s="87" t="s">
        <v>1763</v>
      </c>
      <c r="H568" s="87" t="s">
        <v>1902</v>
      </c>
      <c r="I568" s="93"/>
      <c r="J568" s="87" t="s">
        <v>1994</v>
      </c>
      <c r="K568" s="90">
        <v>0.0</v>
      </c>
      <c r="L568" s="92"/>
      <c r="M568" s="87" t="s">
        <v>1883</v>
      </c>
      <c r="O568" s="87" t="s">
        <v>377</v>
      </c>
      <c r="P568" s="87" t="s">
        <v>372</v>
      </c>
    </row>
    <row r="569" ht="15.75" customHeight="1">
      <c r="A569" s="87" t="s">
        <v>1995</v>
      </c>
      <c r="B569" s="88">
        <v>1.22E18</v>
      </c>
      <c r="C569" s="87" t="s">
        <v>1996</v>
      </c>
      <c r="D569" s="87" t="s">
        <v>56</v>
      </c>
      <c r="E569" s="87" t="s">
        <v>102</v>
      </c>
      <c r="F569" s="87" t="s">
        <v>1996</v>
      </c>
      <c r="I569" s="87" t="s">
        <v>103</v>
      </c>
      <c r="J569" s="87" t="s">
        <v>1983</v>
      </c>
      <c r="K569" s="90">
        <v>0.0</v>
      </c>
      <c r="L569" s="92"/>
      <c r="M569" s="87" t="s">
        <v>1883</v>
      </c>
      <c r="O569" s="87" t="s">
        <v>377</v>
      </c>
      <c r="P569" s="87" t="s">
        <v>372</v>
      </c>
    </row>
    <row r="570" ht="15.75" customHeight="1">
      <c r="A570" s="87" t="s">
        <v>1997</v>
      </c>
      <c r="B570" s="88">
        <v>1.22E18</v>
      </c>
      <c r="C570" s="87" t="s">
        <v>1998</v>
      </c>
      <c r="D570" s="87" t="s">
        <v>87</v>
      </c>
      <c r="E570" s="87" t="s">
        <v>102</v>
      </c>
      <c r="F570" s="87" t="s">
        <v>1998</v>
      </c>
      <c r="H570" s="87" t="s">
        <v>1878</v>
      </c>
      <c r="I570" s="87" t="s">
        <v>1742</v>
      </c>
      <c r="J570" s="87" t="s">
        <v>1967</v>
      </c>
      <c r="K570" s="90">
        <v>0.0</v>
      </c>
      <c r="L570" s="92"/>
      <c r="M570" s="87" t="s">
        <v>1883</v>
      </c>
      <c r="N570" s="87" t="s">
        <v>474</v>
      </c>
      <c r="O570" s="87" t="s">
        <v>377</v>
      </c>
      <c r="P570" s="87" t="s">
        <v>372</v>
      </c>
    </row>
    <row r="571" ht="15.75" customHeight="1">
      <c r="A571" s="87" t="s">
        <v>1999</v>
      </c>
      <c r="B571" s="88">
        <v>1.22E18</v>
      </c>
      <c r="C571" s="87" t="s">
        <v>2000</v>
      </c>
      <c r="D571" s="87" t="s">
        <v>87</v>
      </c>
      <c r="E571" s="87" t="s">
        <v>102</v>
      </c>
      <c r="F571" s="87" t="s">
        <v>1763</v>
      </c>
      <c r="H571" s="87" t="s">
        <v>1878</v>
      </c>
      <c r="I571" s="93"/>
      <c r="J571" s="87" t="s">
        <v>2001</v>
      </c>
      <c r="K571" s="90">
        <v>0.0</v>
      </c>
      <c r="L571" s="92"/>
      <c r="M571" s="87" t="s">
        <v>1883</v>
      </c>
      <c r="O571" s="87" t="s">
        <v>377</v>
      </c>
      <c r="P571" s="87" t="s">
        <v>372</v>
      </c>
    </row>
    <row r="572" ht="15.75" customHeight="1">
      <c r="A572" s="87" t="s">
        <v>2002</v>
      </c>
      <c r="B572" s="88">
        <v>1.22E18</v>
      </c>
      <c r="C572" s="87" t="s">
        <v>2003</v>
      </c>
      <c r="D572" s="87" t="s">
        <v>87</v>
      </c>
      <c r="E572" s="87" t="s">
        <v>102</v>
      </c>
      <c r="F572" s="87" t="s">
        <v>1763</v>
      </c>
      <c r="H572" s="87" t="s">
        <v>1878</v>
      </c>
      <c r="I572" s="93"/>
      <c r="J572" s="87" t="s">
        <v>2004</v>
      </c>
      <c r="K572" s="90">
        <v>0.0</v>
      </c>
      <c r="L572" s="92"/>
      <c r="M572" s="87" t="s">
        <v>1883</v>
      </c>
      <c r="O572" s="87" t="s">
        <v>377</v>
      </c>
      <c r="P572" s="87" t="s">
        <v>372</v>
      </c>
    </row>
    <row r="573" ht="15.75" customHeight="1">
      <c r="A573" s="87" t="s">
        <v>2005</v>
      </c>
      <c r="B573" s="88">
        <v>1.22E18</v>
      </c>
      <c r="C573" s="87" t="s">
        <v>2006</v>
      </c>
      <c r="D573" s="87" t="s">
        <v>56</v>
      </c>
      <c r="E573" s="87" t="s">
        <v>102</v>
      </c>
      <c r="F573" s="87" t="s">
        <v>2006</v>
      </c>
      <c r="H573" s="87" t="s">
        <v>570</v>
      </c>
      <c r="I573" s="87" t="s">
        <v>1742</v>
      </c>
      <c r="J573" s="87" t="s">
        <v>2007</v>
      </c>
      <c r="K573" s="90">
        <v>0.0</v>
      </c>
      <c r="L573" s="92"/>
      <c r="M573" s="87" t="s">
        <v>1883</v>
      </c>
      <c r="O573" s="87" t="s">
        <v>377</v>
      </c>
      <c r="P573" s="87" t="s">
        <v>372</v>
      </c>
    </row>
    <row r="574" ht="15.75" customHeight="1">
      <c r="A574" s="87" t="s">
        <v>2008</v>
      </c>
      <c r="B574" s="88">
        <v>1.22E18</v>
      </c>
      <c r="C574" s="87" t="s">
        <v>2009</v>
      </c>
      <c r="D574" s="87" t="s">
        <v>56</v>
      </c>
      <c r="E574" s="87" t="s">
        <v>102</v>
      </c>
      <c r="F574" s="118" t="s">
        <v>2009</v>
      </c>
      <c r="G574" s="130"/>
      <c r="H574" s="119"/>
      <c r="I574" s="87" t="s">
        <v>2010</v>
      </c>
      <c r="J574" s="87" t="s">
        <v>2011</v>
      </c>
      <c r="K574" s="90">
        <v>0.0</v>
      </c>
      <c r="L574" s="92"/>
      <c r="M574" s="87" t="s">
        <v>1883</v>
      </c>
      <c r="O574" s="87" t="s">
        <v>377</v>
      </c>
      <c r="P574" s="87" t="s">
        <v>372</v>
      </c>
    </row>
    <row r="575" ht="15.75" customHeight="1">
      <c r="A575" s="87" t="s">
        <v>2012</v>
      </c>
      <c r="B575" s="88">
        <v>1.22E18</v>
      </c>
      <c r="C575" s="87" t="s">
        <v>2013</v>
      </c>
      <c r="D575" s="87" t="s">
        <v>87</v>
      </c>
      <c r="E575" s="87" t="s">
        <v>102</v>
      </c>
      <c r="F575" s="87" t="s">
        <v>1763</v>
      </c>
      <c r="H575" s="87" t="s">
        <v>1878</v>
      </c>
      <c r="I575" s="93"/>
      <c r="J575" s="87" t="s">
        <v>2014</v>
      </c>
      <c r="K575" s="90">
        <v>0.0</v>
      </c>
      <c r="L575" s="92"/>
      <c r="M575" s="87" t="s">
        <v>1883</v>
      </c>
      <c r="N575" s="87" t="s">
        <v>474</v>
      </c>
      <c r="O575" s="87" t="s">
        <v>377</v>
      </c>
      <c r="P575" s="87" t="s">
        <v>372</v>
      </c>
    </row>
    <row r="576" ht="15.75" customHeight="1">
      <c r="A576" s="87" t="s">
        <v>2015</v>
      </c>
      <c r="B576" s="88">
        <v>1.22E18</v>
      </c>
      <c r="C576" s="87" t="s">
        <v>2016</v>
      </c>
      <c r="D576" s="87" t="s">
        <v>56</v>
      </c>
      <c r="E576" s="87" t="s">
        <v>102</v>
      </c>
      <c r="F576" s="87" t="s">
        <v>1763</v>
      </c>
      <c r="H576" s="87" t="s">
        <v>1902</v>
      </c>
      <c r="I576" s="93"/>
      <c r="J576" s="87" t="s">
        <v>2017</v>
      </c>
      <c r="K576" s="90">
        <v>0.0</v>
      </c>
      <c r="L576" s="92"/>
      <c r="M576" s="87" t="s">
        <v>1883</v>
      </c>
      <c r="O576" s="87" t="s">
        <v>377</v>
      </c>
      <c r="P576" s="87" t="s">
        <v>372</v>
      </c>
    </row>
    <row r="577" ht="15.75" customHeight="1">
      <c r="A577" s="87" t="s">
        <v>2018</v>
      </c>
      <c r="B577" s="88">
        <v>1.22E18</v>
      </c>
      <c r="C577" s="87" t="s">
        <v>2019</v>
      </c>
      <c r="D577" s="87" t="s">
        <v>56</v>
      </c>
      <c r="E577" s="87" t="s">
        <v>102</v>
      </c>
      <c r="F577" s="87" t="s">
        <v>2019</v>
      </c>
      <c r="H577" s="87" t="s">
        <v>2020</v>
      </c>
      <c r="I577" s="87" t="s">
        <v>1742</v>
      </c>
      <c r="J577" s="87" t="s">
        <v>449</v>
      </c>
      <c r="K577" s="90">
        <v>0.0</v>
      </c>
      <c r="L577" s="92"/>
      <c r="M577" s="87" t="s">
        <v>1883</v>
      </c>
      <c r="O577" s="87" t="s">
        <v>377</v>
      </c>
      <c r="P577" s="87" t="s">
        <v>372</v>
      </c>
    </row>
    <row r="578" ht="15.75" customHeight="1">
      <c r="A578" s="87" t="s">
        <v>2021</v>
      </c>
      <c r="B578" s="88">
        <v>1.22E18</v>
      </c>
      <c r="C578" s="87" t="s">
        <v>2022</v>
      </c>
      <c r="D578" s="87" t="s">
        <v>87</v>
      </c>
      <c r="E578" s="87" t="s">
        <v>102</v>
      </c>
      <c r="F578" s="87" t="s">
        <v>1763</v>
      </c>
      <c r="H578" s="87" t="s">
        <v>2023</v>
      </c>
      <c r="I578" s="93"/>
      <c r="J578" s="87" t="s">
        <v>2024</v>
      </c>
      <c r="K578" s="90">
        <v>0.0</v>
      </c>
      <c r="L578" s="92"/>
      <c r="M578" s="87" t="s">
        <v>1883</v>
      </c>
      <c r="O578" s="87" t="s">
        <v>377</v>
      </c>
      <c r="P578" s="87" t="s">
        <v>372</v>
      </c>
    </row>
    <row r="579" ht="15.75" customHeight="1">
      <c r="A579" s="87" t="s">
        <v>2025</v>
      </c>
      <c r="B579" s="88">
        <v>1.22E18</v>
      </c>
      <c r="C579" s="87" t="s">
        <v>2026</v>
      </c>
      <c r="D579" s="87" t="s">
        <v>56</v>
      </c>
      <c r="E579" s="87" t="s">
        <v>102</v>
      </c>
      <c r="F579" s="87" t="s">
        <v>1763</v>
      </c>
      <c r="H579" s="87" t="s">
        <v>2027</v>
      </c>
      <c r="I579" s="93"/>
      <c r="J579" s="87" t="s">
        <v>1961</v>
      </c>
      <c r="K579" s="90">
        <v>0.0</v>
      </c>
      <c r="L579" s="92"/>
      <c r="M579" s="87" t="s">
        <v>1883</v>
      </c>
      <c r="N579" s="87" t="s">
        <v>474</v>
      </c>
      <c r="O579" s="87" t="s">
        <v>377</v>
      </c>
      <c r="P579" s="87" t="s">
        <v>372</v>
      </c>
    </row>
    <row r="580" ht="15.75" customHeight="1">
      <c r="A580" s="87" t="s">
        <v>2028</v>
      </c>
      <c r="B580" s="88">
        <v>1.22E18</v>
      </c>
      <c r="C580" s="87" t="s">
        <v>2029</v>
      </c>
      <c r="D580" s="87" t="s">
        <v>56</v>
      </c>
      <c r="E580" s="87" t="s">
        <v>102</v>
      </c>
      <c r="F580" s="118" t="s">
        <v>2029</v>
      </c>
      <c r="G580" s="119"/>
      <c r="H580" s="87" t="s">
        <v>2027</v>
      </c>
      <c r="I580" s="87" t="s">
        <v>1742</v>
      </c>
      <c r="J580" s="87" t="s">
        <v>2030</v>
      </c>
      <c r="K580" s="90">
        <v>0.0</v>
      </c>
      <c r="L580" s="92"/>
      <c r="M580" s="87" t="s">
        <v>1883</v>
      </c>
      <c r="O580" s="87" t="s">
        <v>377</v>
      </c>
      <c r="P580" s="87" t="s">
        <v>372</v>
      </c>
    </row>
    <row r="581" ht="15.75" customHeight="1">
      <c r="A581" s="87" t="s">
        <v>2031</v>
      </c>
      <c r="B581" s="88">
        <v>1.22E18</v>
      </c>
      <c r="C581" s="87" t="s">
        <v>2032</v>
      </c>
      <c r="D581" s="87" t="s">
        <v>56</v>
      </c>
      <c r="E581" s="87" t="s">
        <v>102</v>
      </c>
      <c r="F581" s="118" t="s">
        <v>2032</v>
      </c>
      <c r="G581" s="119"/>
      <c r="H581" s="87" t="s">
        <v>2027</v>
      </c>
      <c r="I581" s="87" t="s">
        <v>1742</v>
      </c>
      <c r="J581" s="87" t="s">
        <v>2030</v>
      </c>
      <c r="K581" s="90">
        <v>0.0</v>
      </c>
      <c r="L581" s="92"/>
      <c r="M581" s="87" t="s">
        <v>1883</v>
      </c>
      <c r="O581" s="87" t="s">
        <v>377</v>
      </c>
      <c r="P581" s="87" t="s">
        <v>372</v>
      </c>
    </row>
    <row r="582" ht="15.75" customHeight="1">
      <c r="A582" s="87" t="s">
        <v>2033</v>
      </c>
      <c r="B582" s="88">
        <v>1.22E18</v>
      </c>
      <c r="C582" s="87" t="s">
        <v>2034</v>
      </c>
      <c r="D582" s="87" t="s">
        <v>56</v>
      </c>
      <c r="E582" s="87" t="s">
        <v>102</v>
      </c>
      <c r="F582" s="87" t="s">
        <v>1763</v>
      </c>
      <c r="H582" s="87" t="s">
        <v>2027</v>
      </c>
      <c r="I582" s="93"/>
      <c r="J582" s="87" t="s">
        <v>2030</v>
      </c>
      <c r="K582" s="90">
        <v>0.0</v>
      </c>
      <c r="L582" s="92"/>
      <c r="M582" s="87" t="s">
        <v>1883</v>
      </c>
      <c r="O582" s="87" t="s">
        <v>377</v>
      </c>
      <c r="P582" s="87" t="s">
        <v>372</v>
      </c>
    </row>
    <row r="583" ht="15.75" customHeight="1">
      <c r="A583" s="87" t="s">
        <v>2035</v>
      </c>
      <c r="B583" s="88">
        <v>1.22E18</v>
      </c>
      <c r="C583" s="87" t="s">
        <v>2036</v>
      </c>
      <c r="D583" s="87" t="s">
        <v>56</v>
      </c>
      <c r="E583" s="87" t="s">
        <v>102</v>
      </c>
      <c r="F583" s="87" t="s">
        <v>2036</v>
      </c>
      <c r="H583" s="87" t="s">
        <v>2037</v>
      </c>
      <c r="I583" s="87" t="s">
        <v>1742</v>
      </c>
      <c r="J583" s="87" t="s">
        <v>2038</v>
      </c>
      <c r="K583" s="90">
        <v>0.0</v>
      </c>
      <c r="L583" s="92"/>
      <c r="M583" s="87" t="s">
        <v>1883</v>
      </c>
      <c r="O583" s="87" t="s">
        <v>377</v>
      </c>
      <c r="P583" s="87" t="s">
        <v>372</v>
      </c>
    </row>
    <row r="584" ht="15.75" customHeight="1">
      <c r="A584" s="87" t="s">
        <v>2039</v>
      </c>
      <c r="B584" s="88">
        <v>1.22E18</v>
      </c>
      <c r="C584" s="87" t="s">
        <v>2040</v>
      </c>
      <c r="D584" s="87" t="s">
        <v>87</v>
      </c>
      <c r="E584" s="87" t="s">
        <v>102</v>
      </c>
      <c r="F584" s="87" t="s">
        <v>2040</v>
      </c>
      <c r="H584" s="87" t="s">
        <v>1878</v>
      </c>
      <c r="I584" s="87" t="s">
        <v>1742</v>
      </c>
      <c r="J584" s="87" t="s">
        <v>2041</v>
      </c>
      <c r="K584" s="90">
        <v>0.0</v>
      </c>
      <c r="L584" s="92"/>
      <c r="M584" s="87" t="s">
        <v>1883</v>
      </c>
      <c r="O584" s="87" t="s">
        <v>377</v>
      </c>
      <c r="P584" s="87" t="s">
        <v>372</v>
      </c>
    </row>
    <row r="585" ht="15.75" customHeight="1">
      <c r="A585" s="87" t="s">
        <v>2042</v>
      </c>
      <c r="B585" s="88">
        <v>1.22E18</v>
      </c>
      <c r="C585" s="87" t="s">
        <v>2043</v>
      </c>
      <c r="D585" s="87" t="s">
        <v>56</v>
      </c>
      <c r="E585" s="87" t="s">
        <v>102</v>
      </c>
      <c r="F585" s="118" t="s">
        <v>2043</v>
      </c>
      <c r="G585" s="119"/>
      <c r="H585" s="87" t="s">
        <v>570</v>
      </c>
      <c r="I585" s="87" t="s">
        <v>1742</v>
      </c>
      <c r="J585" s="87" t="s">
        <v>2044</v>
      </c>
      <c r="K585" s="90">
        <v>0.0</v>
      </c>
      <c r="L585" s="92"/>
      <c r="M585" s="87" t="s">
        <v>1883</v>
      </c>
      <c r="O585" s="87" t="s">
        <v>377</v>
      </c>
      <c r="P585" s="87" t="s">
        <v>372</v>
      </c>
    </row>
    <row r="586" ht="15.75" customHeight="1">
      <c r="A586" s="87" t="s">
        <v>2045</v>
      </c>
      <c r="B586" s="88">
        <v>1.22E18</v>
      </c>
      <c r="C586" s="87" t="s">
        <v>2046</v>
      </c>
      <c r="D586" s="87" t="s">
        <v>56</v>
      </c>
      <c r="E586" s="87" t="s">
        <v>102</v>
      </c>
      <c r="F586" s="87" t="s">
        <v>2046</v>
      </c>
      <c r="I586" s="87" t="s">
        <v>1742</v>
      </c>
      <c r="J586" s="87" t="s">
        <v>2047</v>
      </c>
      <c r="K586" s="90">
        <v>0.0</v>
      </c>
      <c r="L586" s="92"/>
      <c r="M586" s="87" t="s">
        <v>1883</v>
      </c>
      <c r="O586" s="87" t="s">
        <v>377</v>
      </c>
      <c r="P586" s="87" t="s">
        <v>372</v>
      </c>
    </row>
    <row r="587" ht="15.75" customHeight="1">
      <c r="A587" s="87" t="s">
        <v>2048</v>
      </c>
      <c r="B587" s="88">
        <v>1.22E18</v>
      </c>
      <c r="C587" s="87" t="s">
        <v>2049</v>
      </c>
      <c r="D587" s="87" t="s">
        <v>56</v>
      </c>
      <c r="E587" s="87" t="s">
        <v>102</v>
      </c>
      <c r="F587" s="118" t="s">
        <v>2049</v>
      </c>
      <c r="G587" s="130"/>
      <c r="H587" s="119"/>
      <c r="I587" s="87" t="s">
        <v>1742</v>
      </c>
      <c r="J587" s="87" t="s">
        <v>2050</v>
      </c>
      <c r="K587" s="90">
        <v>0.0</v>
      </c>
      <c r="L587" s="92"/>
      <c r="M587" s="87" t="s">
        <v>1883</v>
      </c>
      <c r="O587" s="87" t="s">
        <v>377</v>
      </c>
      <c r="P587" s="87" t="s">
        <v>372</v>
      </c>
    </row>
    <row r="588" ht="15.75" customHeight="1">
      <c r="A588" s="87" t="s">
        <v>2051</v>
      </c>
      <c r="B588" s="88">
        <v>1.22E18</v>
      </c>
      <c r="C588" s="87" t="s">
        <v>2052</v>
      </c>
      <c r="D588" s="87" t="s">
        <v>87</v>
      </c>
      <c r="E588" s="87" t="s">
        <v>102</v>
      </c>
      <c r="F588" s="87" t="s">
        <v>1763</v>
      </c>
      <c r="H588" s="87" t="s">
        <v>2053</v>
      </c>
      <c r="I588" s="93"/>
      <c r="J588" s="87" t="s">
        <v>2050</v>
      </c>
      <c r="K588" s="90">
        <v>0.0</v>
      </c>
      <c r="L588" s="92"/>
      <c r="M588" s="87" t="s">
        <v>1883</v>
      </c>
      <c r="O588" s="87" t="s">
        <v>377</v>
      </c>
      <c r="P588" s="87" t="s">
        <v>372</v>
      </c>
    </row>
    <row r="589" ht="15.75" customHeight="1">
      <c r="A589" s="87" t="s">
        <v>2054</v>
      </c>
      <c r="B589" s="88">
        <v>1.22E18</v>
      </c>
      <c r="C589" s="87" t="s">
        <v>2055</v>
      </c>
      <c r="D589" s="87" t="s">
        <v>87</v>
      </c>
      <c r="E589" s="87" t="s">
        <v>102</v>
      </c>
      <c r="F589" s="87" t="s">
        <v>1763</v>
      </c>
      <c r="H589" s="87" t="s">
        <v>1878</v>
      </c>
      <c r="I589" s="93"/>
      <c r="J589" s="87" t="s">
        <v>2056</v>
      </c>
      <c r="K589" s="90">
        <v>7.15</v>
      </c>
      <c r="L589" s="92"/>
      <c r="M589" s="87" t="s">
        <v>1883</v>
      </c>
      <c r="O589" s="87" t="s">
        <v>377</v>
      </c>
      <c r="P589" s="87" t="s">
        <v>372</v>
      </c>
    </row>
    <row r="590" ht="15.75" customHeight="1">
      <c r="A590" s="87" t="s">
        <v>2057</v>
      </c>
      <c r="B590" s="88">
        <v>1.22E18</v>
      </c>
      <c r="C590" s="87" t="s">
        <v>2058</v>
      </c>
      <c r="D590" s="87" t="s">
        <v>56</v>
      </c>
      <c r="E590" s="87" t="s">
        <v>102</v>
      </c>
      <c r="F590" s="87" t="s">
        <v>1763</v>
      </c>
      <c r="H590" s="87" t="s">
        <v>570</v>
      </c>
      <c r="I590" s="93"/>
      <c r="J590" s="87" t="s">
        <v>2059</v>
      </c>
      <c r="K590" s="90">
        <v>0.0</v>
      </c>
      <c r="L590" s="92"/>
      <c r="M590" s="87" t="s">
        <v>1883</v>
      </c>
      <c r="N590" s="87" t="s">
        <v>474</v>
      </c>
      <c r="O590" s="87" t="s">
        <v>377</v>
      </c>
      <c r="P590" s="87" t="s">
        <v>372</v>
      </c>
    </row>
    <row r="591" ht="15.75" customHeight="1">
      <c r="A591" s="87" t="s">
        <v>2060</v>
      </c>
      <c r="B591" s="88">
        <v>1.22E18</v>
      </c>
      <c r="C591" s="87" t="s">
        <v>2061</v>
      </c>
      <c r="D591" s="87" t="s">
        <v>87</v>
      </c>
      <c r="E591" s="87" t="s">
        <v>102</v>
      </c>
      <c r="F591" s="87" t="s">
        <v>2061</v>
      </c>
      <c r="H591" s="87" t="s">
        <v>1878</v>
      </c>
      <c r="I591" s="87" t="s">
        <v>58</v>
      </c>
      <c r="J591" s="87" t="s">
        <v>2062</v>
      </c>
      <c r="K591" s="90">
        <v>0.0</v>
      </c>
      <c r="L591" s="92"/>
      <c r="M591" s="87" t="s">
        <v>1883</v>
      </c>
      <c r="O591" s="87" t="s">
        <v>377</v>
      </c>
      <c r="P591" s="87" t="s">
        <v>372</v>
      </c>
    </row>
    <row r="592" ht="15.75" customHeight="1">
      <c r="A592" s="87" t="s">
        <v>2063</v>
      </c>
      <c r="B592" s="88">
        <v>1.22E18</v>
      </c>
      <c r="C592" s="87" t="s">
        <v>2064</v>
      </c>
      <c r="D592" s="87" t="s">
        <v>262</v>
      </c>
      <c r="E592" s="87" t="s">
        <v>263</v>
      </c>
      <c r="F592" s="87" t="s">
        <v>2064</v>
      </c>
      <c r="H592" s="87" t="s">
        <v>2065</v>
      </c>
      <c r="I592" s="87" t="s">
        <v>103</v>
      </c>
      <c r="J592" s="87" t="s">
        <v>2066</v>
      </c>
      <c r="K592" s="90">
        <v>0.0</v>
      </c>
      <c r="L592" s="92"/>
      <c r="M592" s="87" t="s">
        <v>1883</v>
      </c>
      <c r="O592" s="87" t="s">
        <v>377</v>
      </c>
      <c r="P592" s="87" t="s">
        <v>372</v>
      </c>
    </row>
    <row r="593" ht="15.75" customHeight="1">
      <c r="A593" s="87" t="s">
        <v>2067</v>
      </c>
      <c r="B593" s="88">
        <v>1.22E18</v>
      </c>
      <c r="C593" s="87" t="s">
        <v>2068</v>
      </c>
      <c r="D593" s="87" t="s">
        <v>87</v>
      </c>
      <c r="E593" s="87" t="s">
        <v>102</v>
      </c>
      <c r="F593" s="87" t="s">
        <v>2068</v>
      </c>
      <c r="H593" s="87" t="s">
        <v>2069</v>
      </c>
      <c r="I593" s="87" t="s">
        <v>1742</v>
      </c>
      <c r="J593" s="87" t="s">
        <v>2070</v>
      </c>
      <c r="K593" s="90">
        <v>0.0</v>
      </c>
      <c r="L593" s="92"/>
      <c r="M593" s="87" t="s">
        <v>1883</v>
      </c>
      <c r="O593" s="87" t="s">
        <v>377</v>
      </c>
      <c r="P593" s="87" t="s">
        <v>372</v>
      </c>
    </row>
    <row r="594" ht="15.75" customHeight="1">
      <c r="A594" s="87" t="s">
        <v>2071</v>
      </c>
      <c r="B594" s="88">
        <v>1.22E18</v>
      </c>
      <c r="C594" s="87" t="s">
        <v>2072</v>
      </c>
      <c r="D594" s="87" t="s">
        <v>56</v>
      </c>
      <c r="E594" s="87" t="s">
        <v>102</v>
      </c>
      <c r="F594" s="87" t="s">
        <v>2072</v>
      </c>
      <c r="I594" s="87" t="s">
        <v>1742</v>
      </c>
      <c r="J594" s="87" t="s">
        <v>2073</v>
      </c>
      <c r="K594" s="90">
        <v>0.0</v>
      </c>
      <c r="L594" s="92"/>
      <c r="M594" s="87" t="s">
        <v>1883</v>
      </c>
      <c r="O594" s="87" t="s">
        <v>377</v>
      </c>
      <c r="P594" s="87" t="s">
        <v>372</v>
      </c>
    </row>
    <row r="595" ht="15.75" customHeight="1">
      <c r="A595" s="87" t="s">
        <v>2074</v>
      </c>
      <c r="B595" s="88">
        <v>1.22E18</v>
      </c>
      <c r="C595" s="87" t="s">
        <v>2075</v>
      </c>
      <c r="D595" s="87" t="s">
        <v>56</v>
      </c>
      <c r="E595" s="87" t="s">
        <v>102</v>
      </c>
      <c r="F595" s="87" t="s">
        <v>2075</v>
      </c>
      <c r="I595" s="87" t="s">
        <v>103</v>
      </c>
      <c r="J595" s="87" t="s">
        <v>2076</v>
      </c>
      <c r="K595" s="90">
        <v>0.0</v>
      </c>
      <c r="L595" s="92"/>
      <c r="M595" s="87" t="s">
        <v>1883</v>
      </c>
      <c r="O595" s="87" t="s">
        <v>377</v>
      </c>
      <c r="P595" s="87" t="s">
        <v>372</v>
      </c>
    </row>
    <row r="596" ht="15.75" customHeight="1">
      <c r="A596" s="87" t="s">
        <v>2077</v>
      </c>
      <c r="B596" s="88">
        <v>1.22E18</v>
      </c>
      <c r="C596" s="87" t="s">
        <v>2078</v>
      </c>
      <c r="D596" s="87" t="s">
        <v>87</v>
      </c>
      <c r="E596" s="87" t="s">
        <v>102</v>
      </c>
      <c r="F596" s="87" t="s">
        <v>2078</v>
      </c>
      <c r="H596" s="87" t="s">
        <v>2079</v>
      </c>
      <c r="I596" s="87" t="s">
        <v>1742</v>
      </c>
      <c r="J596" s="87" t="s">
        <v>2080</v>
      </c>
      <c r="K596" s="90">
        <v>0.0</v>
      </c>
      <c r="L596" s="92"/>
      <c r="M596" s="87" t="s">
        <v>1883</v>
      </c>
      <c r="O596" s="87" t="s">
        <v>377</v>
      </c>
      <c r="P596" s="87" t="s">
        <v>372</v>
      </c>
    </row>
    <row r="597" ht="15.75" customHeight="1">
      <c r="A597" s="87" t="s">
        <v>2081</v>
      </c>
      <c r="B597" s="88">
        <v>1.22E18</v>
      </c>
      <c r="C597" s="87" t="s">
        <v>2082</v>
      </c>
      <c r="D597" s="87" t="s">
        <v>87</v>
      </c>
      <c r="E597" s="87" t="s">
        <v>102</v>
      </c>
      <c r="F597" s="87" t="s">
        <v>2082</v>
      </c>
      <c r="H597" s="87" t="s">
        <v>1136</v>
      </c>
      <c r="I597" s="87" t="s">
        <v>1742</v>
      </c>
      <c r="J597" s="87" t="s">
        <v>1836</v>
      </c>
      <c r="K597" s="90">
        <v>0.0</v>
      </c>
      <c r="L597" s="92"/>
      <c r="M597" s="87" t="s">
        <v>1883</v>
      </c>
      <c r="O597" s="87" t="s">
        <v>377</v>
      </c>
      <c r="P597" s="87" t="s">
        <v>372</v>
      </c>
    </row>
    <row r="598" ht="15.75" customHeight="1">
      <c r="A598" s="87" t="s">
        <v>2083</v>
      </c>
      <c r="B598" s="88">
        <v>1.22E18</v>
      </c>
      <c r="C598" s="87" t="s">
        <v>2084</v>
      </c>
      <c r="D598" s="87" t="s">
        <v>87</v>
      </c>
      <c r="E598" s="87" t="s">
        <v>102</v>
      </c>
      <c r="F598" s="87" t="s">
        <v>2084</v>
      </c>
      <c r="H598" s="87" t="s">
        <v>1878</v>
      </c>
      <c r="I598" s="87" t="s">
        <v>58</v>
      </c>
      <c r="J598" s="87" t="s">
        <v>2085</v>
      </c>
      <c r="K598" s="90">
        <v>0.0</v>
      </c>
      <c r="L598" s="92"/>
      <c r="M598" s="87" t="s">
        <v>1883</v>
      </c>
      <c r="O598" s="87" t="s">
        <v>377</v>
      </c>
      <c r="P598" s="87" t="s">
        <v>372</v>
      </c>
    </row>
    <row r="599" ht="15.75" customHeight="1">
      <c r="A599" s="87" t="s">
        <v>2086</v>
      </c>
      <c r="B599" s="88">
        <v>1.22E18</v>
      </c>
      <c r="C599" s="87" t="s">
        <v>2087</v>
      </c>
      <c r="D599" s="87" t="s">
        <v>87</v>
      </c>
      <c r="E599" s="87" t="s">
        <v>102</v>
      </c>
      <c r="F599" s="87" t="s">
        <v>1763</v>
      </c>
      <c r="H599" s="87" t="s">
        <v>2088</v>
      </c>
      <c r="I599" s="93"/>
      <c r="J599" s="87" t="s">
        <v>2089</v>
      </c>
      <c r="K599" s="90">
        <v>0.0</v>
      </c>
      <c r="L599" s="92"/>
      <c r="M599" s="87" t="s">
        <v>1883</v>
      </c>
      <c r="N599" s="87" t="s">
        <v>474</v>
      </c>
      <c r="O599" s="87" t="s">
        <v>377</v>
      </c>
      <c r="P599" s="87" t="s">
        <v>372</v>
      </c>
    </row>
    <row r="600" ht="15.75" customHeight="1">
      <c r="A600" s="87" t="s">
        <v>2090</v>
      </c>
      <c r="B600" s="88">
        <v>1.22E18</v>
      </c>
      <c r="C600" s="87" t="s">
        <v>2091</v>
      </c>
      <c r="D600" s="87" t="s">
        <v>87</v>
      </c>
      <c r="E600" s="87" t="s">
        <v>88</v>
      </c>
      <c r="F600" s="118" t="s">
        <v>2091</v>
      </c>
      <c r="G600" s="119"/>
      <c r="H600" s="87" t="s">
        <v>369</v>
      </c>
      <c r="I600" s="87" t="s">
        <v>1742</v>
      </c>
      <c r="J600" s="87" t="s">
        <v>2092</v>
      </c>
      <c r="K600" s="90">
        <v>0.0</v>
      </c>
      <c r="L600" s="92"/>
      <c r="M600" s="87" t="s">
        <v>1883</v>
      </c>
      <c r="N600" s="87" t="s">
        <v>390</v>
      </c>
      <c r="O600" s="87" t="s">
        <v>377</v>
      </c>
      <c r="P600" s="87" t="s">
        <v>372</v>
      </c>
    </row>
    <row r="601" ht="15.75" customHeight="1">
      <c r="A601" s="87" t="s">
        <v>2093</v>
      </c>
      <c r="B601" s="88">
        <v>1.22E18</v>
      </c>
      <c r="C601" s="87" t="s">
        <v>2094</v>
      </c>
      <c r="D601" s="87" t="s">
        <v>56</v>
      </c>
      <c r="E601" s="87" t="s">
        <v>102</v>
      </c>
      <c r="F601" s="87" t="s">
        <v>2094</v>
      </c>
      <c r="H601" s="87" t="s">
        <v>570</v>
      </c>
      <c r="I601" s="87" t="s">
        <v>2010</v>
      </c>
      <c r="J601" s="87" t="s">
        <v>2095</v>
      </c>
      <c r="K601" s="90">
        <v>0.0</v>
      </c>
      <c r="L601" s="92"/>
      <c r="M601" s="87" t="s">
        <v>1883</v>
      </c>
      <c r="O601" s="87" t="s">
        <v>377</v>
      </c>
      <c r="P601" s="87" t="s">
        <v>372</v>
      </c>
    </row>
    <row r="602" ht="15.75" customHeight="1">
      <c r="A602" s="87" t="s">
        <v>2096</v>
      </c>
      <c r="B602" s="88">
        <v>1.22E18</v>
      </c>
      <c r="C602" s="87" t="s">
        <v>2097</v>
      </c>
      <c r="D602" s="87" t="s">
        <v>56</v>
      </c>
      <c r="E602" s="87" t="s">
        <v>102</v>
      </c>
      <c r="F602" s="87" t="s">
        <v>2097</v>
      </c>
      <c r="H602" s="87" t="s">
        <v>2098</v>
      </c>
      <c r="I602" s="87" t="s">
        <v>1742</v>
      </c>
      <c r="J602" s="87" t="s">
        <v>2041</v>
      </c>
      <c r="K602" s="90">
        <v>0.0</v>
      </c>
      <c r="L602" s="92"/>
      <c r="M602" s="87" t="s">
        <v>1883</v>
      </c>
      <c r="O602" s="87" t="s">
        <v>377</v>
      </c>
      <c r="P602" s="87" t="s">
        <v>372</v>
      </c>
    </row>
    <row r="603" ht="15.75" customHeight="1">
      <c r="A603" s="87" t="s">
        <v>2099</v>
      </c>
      <c r="B603" s="88">
        <v>1.22E18</v>
      </c>
      <c r="C603" s="87" t="s">
        <v>2100</v>
      </c>
      <c r="D603" s="87" t="s">
        <v>87</v>
      </c>
      <c r="E603" s="87" t="s">
        <v>102</v>
      </c>
      <c r="F603" s="118" t="s">
        <v>2100</v>
      </c>
      <c r="G603" s="119"/>
      <c r="H603" s="87" t="s">
        <v>1546</v>
      </c>
      <c r="I603" s="87" t="s">
        <v>1742</v>
      </c>
      <c r="J603" s="87" t="s">
        <v>2101</v>
      </c>
      <c r="K603" s="90">
        <v>0.0</v>
      </c>
      <c r="L603" s="92"/>
      <c r="M603" s="87" t="s">
        <v>1883</v>
      </c>
      <c r="O603" s="87" t="s">
        <v>377</v>
      </c>
      <c r="P603" s="87" t="s">
        <v>372</v>
      </c>
    </row>
    <row r="604" ht="15.75" customHeight="1">
      <c r="A604" s="87" t="s">
        <v>2102</v>
      </c>
      <c r="B604" s="88">
        <v>1.22E18</v>
      </c>
      <c r="C604" s="87" t="s">
        <v>2103</v>
      </c>
      <c r="D604" s="87" t="s">
        <v>87</v>
      </c>
      <c r="E604" s="87" t="s">
        <v>102</v>
      </c>
      <c r="F604" s="118" t="s">
        <v>2103</v>
      </c>
      <c r="G604" s="119"/>
      <c r="H604" s="87" t="s">
        <v>2104</v>
      </c>
      <c r="I604" s="87" t="s">
        <v>1742</v>
      </c>
      <c r="J604" s="87" t="s">
        <v>2105</v>
      </c>
      <c r="K604" s="90">
        <v>0.0</v>
      </c>
      <c r="L604" s="92"/>
      <c r="M604" s="87" t="s">
        <v>1883</v>
      </c>
      <c r="O604" s="87" t="s">
        <v>377</v>
      </c>
      <c r="P604" s="87" t="s">
        <v>372</v>
      </c>
    </row>
    <row r="605" ht="15.75" customHeight="1">
      <c r="A605" s="87" t="s">
        <v>2106</v>
      </c>
      <c r="B605" s="88">
        <v>1.22E18</v>
      </c>
      <c r="C605" s="87" t="s">
        <v>2107</v>
      </c>
      <c r="D605" s="87" t="s">
        <v>262</v>
      </c>
      <c r="E605" s="87" t="s">
        <v>270</v>
      </c>
      <c r="F605" s="87" t="s">
        <v>2107</v>
      </c>
      <c r="H605" s="87" t="s">
        <v>2108</v>
      </c>
      <c r="I605" s="87" t="s">
        <v>1742</v>
      </c>
      <c r="J605" s="87" t="s">
        <v>449</v>
      </c>
      <c r="K605" s="90">
        <v>0.0</v>
      </c>
      <c r="L605" s="92"/>
      <c r="M605" s="87" t="s">
        <v>1883</v>
      </c>
      <c r="O605" s="87" t="s">
        <v>377</v>
      </c>
      <c r="P605" s="87" t="s">
        <v>372</v>
      </c>
    </row>
    <row r="606" ht="15.75" customHeight="1">
      <c r="A606" s="87" t="s">
        <v>2109</v>
      </c>
      <c r="B606" s="88">
        <v>1.22E18</v>
      </c>
      <c r="C606" s="87" t="s">
        <v>2110</v>
      </c>
      <c r="D606" s="87" t="s">
        <v>56</v>
      </c>
      <c r="E606" s="87" t="s">
        <v>102</v>
      </c>
      <c r="F606" s="87" t="s">
        <v>2110</v>
      </c>
      <c r="H606" s="87" t="s">
        <v>2111</v>
      </c>
      <c r="I606" s="87" t="s">
        <v>1742</v>
      </c>
      <c r="J606" s="87" t="s">
        <v>2112</v>
      </c>
      <c r="K606" s="90">
        <v>0.0</v>
      </c>
      <c r="L606" s="92"/>
      <c r="M606" s="87" t="s">
        <v>1883</v>
      </c>
      <c r="O606" s="87" t="s">
        <v>377</v>
      </c>
      <c r="P606" s="87" t="s">
        <v>372</v>
      </c>
    </row>
    <row r="607" ht="15.75" customHeight="1">
      <c r="A607" s="87" t="s">
        <v>2113</v>
      </c>
      <c r="B607" s="88">
        <v>1.22E18</v>
      </c>
      <c r="C607" s="87" t="s">
        <v>2114</v>
      </c>
      <c r="D607" s="87" t="s">
        <v>87</v>
      </c>
      <c r="E607" s="87" t="s">
        <v>102</v>
      </c>
      <c r="F607" s="87" t="s">
        <v>2114</v>
      </c>
      <c r="H607" s="87" t="s">
        <v>2115</v>
      </c>
      <c r="I607" s="87" t="s">
        <v>103</v>
      </c>
      <c r="J607" s="87" t="s">
        <v>449</v>
      </c>
      <c r="K607" s="90">
        <v>0.0</v>
      </c>
      <c r="L607" s="92"/>
      <c r="M607" s="87" t="s">
        <v>1883</v>
      </c>
      <c r="O607" s="87" t="s">
        <v>377</v>
      </c>
      <c r="P607" s="87" t="s">
        <v>372</v>
      </c>
    </row>
    <row r="608" ht="15.75" customHeight="1">
      <c r="A608" s="87" t="s">
        <v>2116</v>
      </c>
      <c r="B608" s="88">
        <v>1.22E18</v>
      </c>
      <c r="C608" s="87" t="s">
        <v>2117</v>
      </c>
      <c r="D608" s="87" t="s">
        <v>56</v>
      </c>
      <c r="E608" s="87" t="s">
        <v>102</v>
      </c>
      <c r="F608" s="87" t="s">
        <v>2117</v>
      </c>
      <c r="I608" s="87" t="s">
        <v>1742</v>
      </c>
      <c r="J608" s="87" t="s">
        <v>449</v>
      </c>
      <c r="K608" s="90">
        <v>0.0</v>
      </c>
      <c r="L608" s="92"/>
      <c r="M608" s="87" t="s">
        <v>1883</v>
      </c>
      <c r="O608" s="87" t="s">
        <v>377</v>
      </c>
      <c r="P608" s="87" t="s">
        <v>372</v>
      </c>
    </row>
    <row r="609" ht="15.75" customHeight="1">
      <c r="A609" s="87" t="s">
        <v>2118</v>
      </c>
      <c r="B609" s="88">
        <v>1.22E18</v>
      </c>
      <c r="C609" s="87" t="s">
        <v>2119</v>
      </c>
      <c r="D609" s="87" t="s">
        <v>56</v>
      </c>
      <c r="E609" s="87" t="s">
        <v>102</v>
      </c>
      <c r="F609" s="87" t="s">
        <v>2119</v>
      </c>
      <c r="I609" s="87" t="s">
        <v>1742</v>
      </c>
      <c r="J609" s="87" t="s">
        <v>449</v>
      </c>
      <c r="K609" s="90">
        <v>0.0</v>
      </c>
      <c r="L609" s="92"/>
      <c r="M609" s="87" t="s">
        <v>1883</v>
      </c>
      <c r="O609" s="87" t="s">
        <v>377</v>
      </c>
      <c r="P609" s="87" t="s">
        <v>372</v>
      </c>
    </row>
    <row r="610" ht="15.75" customHeight="1">
      <c r="A610" s="87" t="s">
        <v>2120</v>
      </c>
      <c r="B610" s="88">
        <v>1.22E18</v>
      </c>
      <c r="C610" s="87" t="s">
        <v>2121</v>
      </c>
      <c r="D610" s="87" t="s">
        <v>56</v>
      </c>
      <c r="E610" s="87" t="s">
        <v>102</v>
      </c>
      <c r="F610" s="87" t="s">
        <v>2121</v>
      </c>
      <c r="I610" s="87" t="s">
        <v>1742</v>
      </c>
      <c r="J610" s="87" t="s">
        <v>449</v>
      </c>
      <c r="K610" s="90">
        <v>0.0</v>
      </c>
      <c r="L610" s="92"/>
      <c r="M610" s="87" t="s">
        <v>1883</v>
      </c>
      <c r="O610" s="87" t="s">
        <v>377</v>
      </c>
      <c r="P610" s="87" t="s">
        <v>372</v>
      </c>
    </row>
    <row r="611" ht="15.75" customHeight="1">
      <c r="A611" s="87" t="s">
        <v>2122</v>
      </c>
      <c r="B611" s="88">
        <v>1.22E18</v>
      </c>
      <c r="C611" s="87" t="s">
        <v>2123</v>
      </c>
      <c r="D611" s="87" t="s">
        <v>56</v>
      </c>
      <c r="E611" s="87" t="s">
        <v>102</v>
      </c>
      <c r="F611" s="87" t="s">
        <v>2123</v>
      </c>
      <c r="I611" s="87" t="s">
        <v>1742</v>
      </c>
      <c r="J611" s="87" t="s">
        <v>449</v>
      </c>
      <c r="K611" s="90">
        <v>0.0</v>
      </c>
      <c r="L611" s="92"/>
      <c r="M611" s="87" t="s">
        <v>1883</v>
      </c>
      <c r="O611" s="87" t="s">
        <v>377</v>
      </c>
      <c r="P611" s="87" t="s">
        <v>372</v>
      </c>
    </row>
    <row r="612" ht="15.75" customHeight="1">
      <c r="A612" s="87" t="s">
        <v>2124</v>
      </c>
      <c r="B612" s="88">
        <v>1.22E18</v>
      </c>
      <c r="C612" s="87" t="s">
        <v>2125</v>
      </c>
      <c r="D612" s="87" t="s">
        <v>87</v>
      </c>
      <c r="E612" s="87" t="s">
        <v>102</v>
      </c>
      <c r="F612" s="118" t="s">
        <v>2125</v>
      </c>
      <c r="G612" s="119"/>
      <c r="H612" s="87" t="s">
        <v>1346</v>
      </c>
      <c r="I612" s="87" t="s">
        <v>1742</v>
      </c>
      <c r="J612" s="87" t="s">
        <v>2126</v>
      </c>
      <c r="K612" s="90">
        <v>0.0</v>
      </c>
      <c r="L612" s="92"/>
      <c r="M612" s="87" t="s">
        <v>1883</v>
      </c>
      <c r="O612" s="87" t="s">
        <v>377</v>
      </c>
      <c r="P612" s="87" t="s">
        <v>372</v>
      </c>
    </row>
    <row r="613" ht="15.75" customHeight="1">
      <c r="A613" s="87" t="s">
        <v>2127</v>
      </c>
      <c r="B613" s="88">
        <v>1.22E18</v>
      </c>
      <c r="C613" s="87" t="s">
        <v>2128</v>
      </c>
      <c r="D613" s="87" t="s">
        <v>87</v>
      </c>
      <c r="E613" s="87" t="s">
        <v>102</v>
      </c>
      <c r="F613" s="87" t="s">
        <v>1763</v>
      </c>
      <c r="H613" s="87" t="s">
        <v>1878</v>
      </c>
      <c r="I613" s="93"/>
      <c r="J613" s="87" t="s">
        <v>2129</v>
      </c>
      <c r="K613" s="90">
        <v>8.0</v>
      </c>
      <c r="L613" s="92"/>
      <c r="M613" s="87" t="s">
        <v>1883</v>
      </c>
      <c r="N613" s="87" t="s">
        <v>474</v>
      </c>
      <c r="O613" s="87" t="s">
        <v>377</v>
      </c>
      <c r="P613" s="87" t="s">
        <v>372</v>
      </c>
    </row>
    <row r="614" ht="15.75" customHeight="1">
      <c r="A614" s="87" t="s">
        <v>2130</v>
      </c>
      <c r="B614" s="88">
        <v>1.22E18</v>
      </c>
      <c r="C614" s="87" t="s">
        <v>2131</v>
      </c>
      <c r="D614" s="87" t="s">
        <v>87</v>
      </c>
      <c r="E614" s="87" t="s">
        <v>102</v>
      </c>
      <c r="F614" s="87" t="s">
        <v>1763</v>
      </c>
      <c r="H614" s="87" t="s">
        <v>2132</v>
      </c>
      <c r="I614" s="93"/>
      <c r="J614" s="87" t="s">
        <v>2133</v>
      </c>
      <c r="K614" s="90">
        <v>50.0</v>
      </c>
      <c r="L614" s="92"/>
      <c r="M614" s="87" t="s">
        <v>1883</v>
      </c>
      <c r="O614" s="87" t="s">
        <v>377</v>
      </c>
      <c r="P614" s="87" t="s">
        <v>372</v>
      </c>
    </row>
    <row r="615" ht="15.75" customHeight="1">
      <c r="A615" s="87" t="s">
        <v>2134</v>
      </c>
      <c r="B615" s="88">
        <v>1.22E18</v>
      </c>
      <c r="C615" s="87" t="s">
        <v>2135</v>
      </c>
      <c r="D615" s="87" t="s">
        <v>56</v>
      </c>
      <c r="E615" s="87" t="s">
        <v>102</v>
      </c>
      <c r="F615" s="87" t="s">
        <v>2135</v>
      </c>
      <c r="I615" s="87" t="s">
        <v>103</v>
      </c>
      <c r="J615" s="87" t="s">
        <v>449</v>
      </c>
      <c r="K615" s="90">
        <v>0.0</v>
      </c>
      <c r="L615" s="92"/>
      <c r="M615" s="87" t="s">
        <v>1883</v>
      </c>
      <c r="O615" s="87" t="s">
        <v>377</v>
      </c>
      <c r="P615" s="87" t="s">
        <v>372</v>
      </c>
    </row>
    <row r="616" ht="15.75" customHeight="1">
      <c r="A616" s="87" t="s">
        <v>2136</v>
      </c>
      <c r="B616" s="88">
        <v>1.22E18</v>
      </c>
      <c r="C616" s="87" t="s">
        <v>2137</v>
      </c>
      <c r="D616" s="87" t="s">
        <v>87</v>
      </c>
      <c r="E616" s="87" t="s">
        <v>228</v>
      </c>
      <c r="F616" s="87" t="s">
        <v>2137</v>
      </c>
      <c r="I616" s="87" t="s">
        <v>327</v>
      </c>
      <c r="J616" s="87" t="s">
        <v>2138</v>
      </c>
      <c r="K616" s="90">
        <v>0.3</v>
      </c>
      <c r="L616" s="92"/>
      <c r="M616" s="93"/>
      <c r="N616" s="87" t="s">
        <v>2139</v>
      </c>
      <c r="O616" s="87" t="s">
        <v>377</v>
      </c>
      <c r="P616" s="87" t="s">
        <v>372</v>
      </c>
    </row>
    <row r="617" ht="15.75" customHeight="1">
      <c r="A617" s="87" t="s">
        <v>2140</v>
      </c>
      <c r="B617" s="88">
        <v>1.22E18</v>
      </c>
      <c r="C617" s="87" t="s">
        <v>2141</v>
      </c>
      <c r="D617" s="87" t="s">
        <v>87</v>
      </c>
      <c r="E617" s="87" t="s">
        <v>102</v>
      </c>
      <c r="F617" s="87" t="s">
        <v>2141</v>
      </c>
      <c r="H617" s="87" t="s">
        <v>2142</v>
      </c>
      <c r="I617" s="87" t="s">
        <v>103</v>
      </c>
      <c r="J617" s="87" t="s">
        <v>2143</v>
      </c>
      <c r="K617" s="90">
        <v>0.0</v>
      </c>
      <c r="L617" s="92"/>
      <c r="M617" s="87" t="s">
        <v>1883</v>
      </c>
      <c r="O617" s="87" t="s">
        <v>377</v>
      </c>
      <c r="P617" s="87" t="s">
        <v>372</v>
      </c>
    </row>
    <row r="618" ht="15.75" customHeight="1">
      <c r="A618" s="87" t="s">
        <v>2144</v>
      </c>
      <c r="B618" s="88">
        <v>1.22E18</v>
      </c>
      <c r="C618" s="87" t="s">
        <v>2145</v>
      </c>
      <c r="D618" s="87" t="s">
        <v>87</v>
      </c>
      <c r="E618" s="87" t="s">
        <v>102</v>
      </c>
      <c r="F618" s="87" t="s">
        <v>2145</v>
      </c>
      <c r="H618" s="87" t="s">
        <v>2142</v>
      </c>
      <c r="I618" s="87" t="s">
        <v>103</v>
      </c>
      <c r="J618" s="87" t="s">
        <v>2146</v>
      </c>
      <c r="K618" s="90">
        <v>0.0</v>
      </c>
      <c r="L618" s="92"/>
      <c r="M618" s="87" t="s">
        <v>1883</v>
      </c>
      <c r="O618" s="87" t="s">
        <v>377</v>
      </c>
      <c r="P618" s="87" t="s">
        <v>372</v>
      </c>
    </row>
    <row r="619" ht="15.75" customHeight="1">
      <c r="A619" s="87" t="s">
        <v>2147</v>
      </c>
      <c r="B619" s="88">
        <v>1.22E18</v>
      </c>
      <c r="C619" s="87" t="s">
        <v>2148</v>
      </c>
      <c r="D619" s="87" t="s">
        <v>87</v>
      </c>
      <c r="E619" s="87" t="s">
        <v>88</v>
      </c>
      <c r="F619" s="118" t="s">
        <v>2148</v>
      </c>
      <c r="G619" s="119"/>
      <c r="H619" s="87" t="s">
        <v>369</v>
      </c>
      <c r="I619" s="87" t="s">
        <v>103</v>
      </c>
      <c r="J619" s="87" t="s">
        <v>2149</v>
      </c>
      <c r="K619" s="90">
        <v>0.0</v>
      </c>
      <c r="L619" s="92"/>
      <c r="M619" s="87" t="s">
        <v>1883</v>
      </c>
      <c r="O619" s="87" t="s">
        <v>377</v>
      </c>
      <c r="P619" s="87" t="s">
        <v>372</v>
      </c>
    </row>
    <row r="620" ht="15.75" customHeight="1">
      <c r="A620" s="87" t="s">
        <v>2150</v>
      </c>
      <c r="B620" s="88">
        <v>1.22E18</v>
      </c>
      <c r="C620" s="87" t="s">
        <v>2151</v>
      </c>
      <c r="D620" s="87" t="s">
        <v>87</v>
      </c>
      <c r="E620" s="87" t="s">
        <v>102</v>
      </c>
      <c r="F620" s="87" t="s">
        <v>2151</v>
      </c>
      <c r="H620" s="87" t="s">
        <v>2142</v>
      </c>
      <c r="I620" s="87" t="s">
        <v>103</v>
      </c>
      <c r="J620" s="87" t="s">
        <v>2152</v>
      </c>
      <c r="K620" s="90">
        <v>0.0</v>
      </c>
      <c r="L620" s="92"/>
      <c r="M620" s="87" t="s">
        <v>1883</v>
      </c>
      <c r="O620" s="87" t="s">
        <v>377</v>
      </c>
      <c r="P620" s="87" t="s">
        <v>372</v>
      </c>
    </row>
    <row r="621" ht="15.75" customHeight="1">
      <c r="A621" s="87" t="s">
        <v>2153</v>
      </c>
      <c r="B621" s="88">
        <v>1.22E18</v>
      </c>
      <c r="C621" s="87" t="s">
        <v>2154</v>
      </c>
      <c r="D621" s="87" t="s">
        <v>87</v>
      </c>
      <c r="E621" s="87" t="s">
        <v>88</v>
      </c>
      <c r="F621" s="118" t="s">
        <v>2154</v>
      </c>
      <c r="G621" s="119"/>
      <c r="H621" s="87" t="s">
        <v>369</v>
      </c>
      <c r="I621" s="87" t="s">
        <v>103</v>
      </c>
      <c r="J621" s="87" t="s">
        <v>2155</v>
      </c>
      <c r="K621" s="90">
        <v>0.0</v>
      </c>
      <c r="L621" s="92"/>
      <c r="M621" s="87" t="s">
        <v>1883</v>
      </c>
      <c r="O621" s="87" t="s">
        <v>377</v>
      </c>
      <c r="P621" s="87" t="s">
        <v>372</v>
      </c>
    </row>
    <row r="622" ht="15.75" customHeight="1">
      <c r="A622" s="87" t="s">
        <v>2156</v>
      </c>
      <c r="B622" s="88">
        <v>1.22E18</v>
      </c>
      <c r="C622" s="87" t="s">
        <v>2157</v>
      </c>
      <c r="D622" s="87" t="s">
        <v>87</v>
      </c>
      <c r="E622" s="87" t="s">
        <v>102</v>
      </c>
      <c r="F622" s="87" t="s">
        <v>2157</v>
      </c>
      <c r="H622" s="87" t="s">
        <v>2142</v>
      </c>
      <c r="I622" s="87" t="s">
        <v>103</v>
      </c>
      <c r="J622" s="87" t="s">
        <v>2158</v>
      </c>
      <c r="K622" s="90">
        <v>0.0</v>
      </c>
      <c r="L622" s="92"/>
      <c r="M622" s="87" t="s">
        <v>1883</v>
      </c>
      <c r="O622" s="87" t="s">
        <v>377</v>
      </c>
      <c r="P622" s="87" t="s">
        <v>372</v>
      </c>
    </row>
    <row r="623" ht="15.75" customHeight="1">
      <c r="A623" s="87" t="s">
        <v>2159</v>
      </c>
      <c r="B623" s="88">
        <v>1.22E18</v>
      </c>
      <c r="C623" s="87" t="s">
        <v>2160</v>
      </c>
      <c r="D623" s="87" t="s">
        <v>87</v>
      </c>
      <c r="E623" s="87" t="s">
        <v>102</v>
      </c>
      <c r="F623" s="118" t="s">
        <v>2160</v>
      </c>
      <c r="G623" s="119"/>
      <c r="H623" s="87" t="s">
        <v>2142</v>
      </c>
      <c r="I623" s="87" t="s">
        <v>103</v>
      </c>
      <c r="J623" s="87" t="s">
        <v>2161</v>
      </c>
      <c r="K623" s="90">
        <v>0.0</v>
      </c>
      <c r="L623" s="92"/>
      <c r="M623" s="87" t="s">
        <v>1883</v>
      </c>
      <c r="O623" s="87" t="s">
        <v>377</v>
      </c>
      <c r="P623" s="87" t="s">
        <v>372</v>
      </c>
    </row>
    <row r="624" ht="15.75" customHeight="1">
      <c r="A624" s="87" t="s">
        <v>2162</v>
      </c>
      <c r="B624" s="88">
        <v>1.22E18</v>
      </c>
      <c r="C624" s="87" t="s">
        <v>2163</v>
      </c>
      <c r="D624" s="87" t="s">
        <v>87</v>
      </c>
      <c r="E624" s="87" t="s">
        <v>88</v>
      </c>
      <c r="F624" s="118" t="s">
        <v>2163</v>
      </c>
      <c r="G624" s="119"/>
      <c r="H624" s="87" t="s">
        <v>369</v>
      </c>
      <c r="I624" s="87" t="s">
        <v>103</v>
      </c>
      <c r="J624" s="87" t="s">
        <v>2146</v>
      </c>
      <c r="K624" s="90">
        <v>0.0</v>
      </c>
      <c r="L624" s="92"/>
      <c r="M624" s="87" t="s">
        <v>1883</v>
      </c>
      <c r="O624" s="87" t="s">
        <v>377</v>
      </c>
      <c r="P624" s="87" t="s">
        <v>372</v>
      </c>
    </row>
    <row r="625" ht="15.75" customHeight="1">
      <c r="A625" s="87" t="s">
        <v>2164</v>
      </c>
      <c r="B625" s="88">
        <v>1.22E18</v>
      </c>
      <c r="C625" s="87" t="s">
        <v>2165</v>
      </c>
      <c r="D625" s="87" t="s">
        <v>87</v>
      </c>
      <c r="E625" s="87" t="s">
        <v>88</v>
      </c>
      <c r="F625" s="87" t="s">
        <v>2165</v>
      </c>
      <c r="H625" s="87" t="s">
        <v>369</v>
      </c>
      <c r="I625" s="87" t="s">
        <v>103</v>
      </c>
      <c r="J625" s="87" t="s">
        <v>2166</v>
      </c>
      <c r="K625" s="90">
        <v>0.0</v>
      </c>
      <c r="L625" s="92"/>
      <c r="M625" s="87" t="s">
        <v>1883</v>
      </c>
      <c r="O625" s="87" t="s">
        <v>377</v>
      </c>
      <c r="P625" s="87" t="s">
        <v>372</v>
      </c>
    </row>
    <row r="626" ht="15.75" customHeight="1">
      <c r="A626" s="87" t="s">
        <v>2167</v>
      </c>
      <c r="B626" s="88">
        <v>1.22E18</v>
      </c>
      <c r="C626" s="87" t="s">
        <v>2168</v>
      </c>
      <c r="D626" s="87" t="s">
        <v>87</v>
      </c>
      <c r="E626" s="87" t="s">
        <v>102</v>
      </c>
      <c r="F626" s="118" t="s">
        <v>2168</v>
      </c>
      <c r="G626" s="119"/>
      <c r="H626" s="87" t="s">
        <v>2142</v>
      </c>
      <c r="I626" s="87" t="s">
        <v>103</v>
      </c>
      <c r="J626" s="87" t="s">
        <v>2169</v>
      </c>
      <c r="K626" s="90">
        <v>0.0</v>
      </c>
      <c r="L626" s="92"/>
      <c r="M626" s="87" t="s">
        <v>1883</v>
      </c>
      <c r="O626" s="87" t="s">
        <v>377</v>
      </c>
      <c r="P626" s="87" t="s">
        <v>372</v>
      </c>
    </row>
    <row r="627" ht="15.75" customHeight="1">
      <c r="A627" s="87" t="s">
        <v>2170</v>
      </c>
      <c r="B627" s="88">
        <v>1.22E18</v>
      </c>
      <c r="C627" s="87" t="s">
        <v>2171</v>
      </c>
      <c r="D627" s="87" t="s">
        <v>87</v>
      </c>
      <c r="E627" s="87" t="s">
        <v>102</v>
      </c>
      <c r="F627" s="87" t="s">
        <v>2171</v>
      </c>
      <c r="H627" s="87" t="s">
        <v>2142</v>
      </c>
      <c r="I627" s="87" t="s">
        <v>103</v>
      </c>
      <c r="J627" s="87" t="s">
        <v>2172</v>
      </c>
      <c r="K627" s="90">
        <v>0.0</v>
      </c>
      <c r="L627" s="92"/>
      <c r="M627" s="87" t="s">
        <v>1883</v>
      </c>
      <c r="O627" s="87" t="s">
        <v>377</v>
      </c>
      <c r="P627" s="87" t="s">
        <v>372</v>
      </c>
    </row>
    <row r="628" ht="15.75" customHeight="1">
      <c r="A628" s="87" t="s">
        <v>2173</v>
      </c>
      <c r="B628" s="88">
        <v>1.22E18</v>
      </c>
      <c r="C628" s="87" t="s">
        <v>2174</v>
      </c>
      <c r="D628" s="87" t="s">
        <v>87</v>
      </c>
      <c r="E628" s="87" t="s">
        <v>102</v>
      </c>
      <c r="F628" s="87" t="s">
        <v>2174</v>
      </c>
      <c r="H628" s="87" t="s">
        <v>2142</v>
      </c>
      <c r="I628" s="87" t="s">
        <v>103</v>
      </c>
      <c r="J628" s="87" t="s">
        <v>2175</v>
      </c>
      <c r="K628" s="90">
        <v>0.0</v>
      </c>
      <c r="L628" s="92"/>
      <c r="M628" s="87" t="s">
        <v>1883</v>
      </c>
      <c r="O628" s="87" t="s">
        <v>377</v>
      </c>
      <c r="P628" s="87" t="s">
        <v>372</v>
      </c>
    </row>
    <row r="629" ht="15.75" customHeight="1">
      <c r="A629" s="87" t="s">
        <v>2176</v>
      </c>
      <c r="B629" s="88">
        <v>1.22E18</v>
      </c>
      <c r="C629" s="87" t="s">
        <v>2177</v>
      </c>
      <c r="D629" s="87" t="s">
        <v>87</v>
      </c>
      <c r="E629" s="87" t="s">
        <v>102</v>
      </c>
      <c r="F629" s="87" t="s">
        <v>2177</v>
      </c>
      <c r="H629" s="87" t="s">
        <v>2142</v>
      </c>
      <c r="I629" s="87" t="s">
        <v>103</v>
      </c>
      <c r="J629" s="87" t="s">
        <v>2178</v>
      </c>
      <c r="K629" s="90">
        <v>0.0</v>
      </c>
      <c r="L629" s="92"/>
      <c r="M629" s="87" t="s">
        <v>1883</v>
      </c>
      <c r="O629" s="87" t="s">
        <v>377</v>
      </c>
      <c r="P629" s="87" t="s">
        <v>372</v>
      </c>
    </row>
    <row r="630" ht="15.75" customHeight="1">
      <c r="A630" s="87" t="s">
        <v>2179</v>
      </c>
      <c r="B630" s="88">
        <v>1.22E18</v>
      </c>
      <c r="C630" s="87" t="s">
        <v>2180</v>
      </c>
      <c r="D630" s="87" t="s">
        <v>87</v>
      </c>
      <c r="E630" s="87" t="s">
        <v>102</v>
      </c>
      <c r="F630" s="87" t="s">
        <v>2180</v>
      </c>
      <c r="H630" s="87" t="s">
        <v>2142</v>
      </c>
      <c r="I630" s="87" t="s">
        <v>103</v>
      </c>
      <c r="J630" s="87" t="s">
        <v>2178</v>
      </c>
      <c r="K630" s="90">
        <v>0.0</v>
      </c>
      <c r="L630" s="92"/>
      <c r="M630" s="87" t="s">
        <v>1883</v>
      </c>
      <c r="O630" s="87" t="s">
        <v>377</v>
      </c>
      <c r="P630" s="87" t="s">
        <v>372</v>
      </c>
    </row>
    <row r="631" ht="15.75" customHeight="1">
      <c r="A631" s="87" t="s">
        <v>2181</v>
      </c>
      <c r="B631" s="88">
        <v>1.22E18</v>
      </c>
      <c r="C631" s="87" t="s">
        <v>2182</v>
      </c>
      <c r="D631" s="87" t="s">
        <v>87</v>
      </c>
      <c r="E631" s="87" t="s">
        <v>102</v>
      </c>
      <c r="F631" s="118" t="s">
        <v>2182</v>
      </c>
      <c r="G631" s="119"/>
      <c r="H631" s="87" t="s">
        <v>369</v>
      </c>
      <c r="I631" s="87" t="s">
        <v>103</v>
      </c>
      <c r="J631" s="87" t="s">
        <v>2183</v>
      </c>
      <c r="K631" s="90">
        <v>0.0</v>
      </c>
      <c r="L631" s="92"/>
      <c r="M631" s="87" t="s">
        <v>1883</v>
      </c>
      <c r="O631" s="87" t="s">
        <v>377</v>
      </c>
      <c r="P631" s="87" t="s">
        <v>372</v>
      </c>
    </row>
    <row r="632" ht="15.75" customHeight="1">
      <c r="A632" s="87" t="s">
        <v>2184</v>
      </c>
      <c r="B632" s="88">
        <v>1.22E18</v>
      </c>
      <c r="C632" s="87" t="s">
        <v>2185</v>
      </c>
      <c r="D632" s="87" t="s">
        <v>87</v>
      </c>
      <c r="E632" s="87" t="s">
        <v>102</v>
      </c>
      <c r="F632" s="87" t="s">
        <v>2185</v>
      </c>
      <c r="H632" s="87" t="s">
        <v>2142</v>
      </c>
      <c r="I632" s="87" t="s">
        <v>103</v>
      </c>
      <c r="J632" s="87" t="s">
        <v>2186</v>
      </c>
      <c r="K632" s="90">
        <v>0.0</v>
      </c>
      <c r="L632" s="92"/>
      <c r="M632" s="87" t="s">
        <v>1883</v>
      </c>
      <c r="O632" s="87" t="s">
        <v>377</v>
      </c>
      <c r="P632" s="87" t="s">
        <v>372</v>
      </c>
    </row>
    <row r="633" ht="15.75" customHeight="1">
      <c r="A633" s="87" t="s">
        <v>2187</v>
      </c>
      <c r="B633" s="88">
        <v>1.22E18</v>
      </c>
      <c r="C633" s="87" t="s">
        <v>2188</v>
      </c>
      <c r="D633" s="87" t="s">
        <v>87</v>
      </c>
      <c r="E633" s="87" t="s">
        <v>102</v>
      </c>
      <c r="F633" s="87" t="s">
        <v>2188</v>
      </c>
      <c r="H633" s="87" t="s">
        <v>2142</v>
      </c>
      <c r="I633" s="87" t="s">
        <v>103</v>
      </c>
      <c r="J633" s="87" t="s">
        <v>2186</v>
      </c>
      <c r="K633" s="90">
        <v>0.0</v>
      </c>
      <c r="L633" s="92"/>
      <c r="M633" s="87" t="s">
        <v>1883</v>
      </c>
      <c r="O633" s="87" t="s">
        <v>377</v>
      </c>
      <c r="P633" s="87" t="s">
        <v>372</v>
      </c>
    </row>
    <row r="634" ht="15.75" customHeight="1">
      <c r="A634" s="87" t="s">
        <v>2189</v>
      </c>
      <c r="B634" s="88">
        <v>1.22E18</v>
      </c>
      <c r="C634" s="87" t="s">
        <v>2190</v>
      </c>
      <c r="D634" s="87" t="s">
        <v>262</v>
      </c>
      <c r="E634" s="87" t="s">
        <v>275</v>
      </c>
      <c r="F634" s="87" t="s">
        <v>2190</v>
      </c>
      <c r="H634" s="87" t="s">
        <v>2191</v>
      </c>
      <c r="I634" s="87" t="s">
        <v>103</v>
      </c>
      <c r="J634" s="87" t="s">
        <v>449</v>
      </c>
      <c r="K634" s="90">
        <v>0.0</v>
      </c>
      <c r="L634" s="92"/>
      <c r="M634" s="87" t="s">
        <v>1883</v>
      </c>
      <c r="O634" s="87" t="s">
        <v>377</v>
      </c>
      <c r="P634" s="87" t="s">
        <v>372</v>
      </c>
    </row>
    <row r="635" ht="15.75" customHeight="1">
      <c r="A635" s="87" t="s">
        <v>2192</v>
      </c>
      <c r="B635" s="88">
        <v>1.22E18</v>
      </c>
      <c r="C635" s="87" t="s">
        <v>2193</v>
      </c>
      <c r="D635" s="87" t="s">
        <v>87</v>
      </c>
      <c r="E635" s="87" t="s">
        <v>88</v>
      </c>
      <c r="F635" s="118" t="s">
        <v>2193</v>
      </c>
      <c r="G635" s="119"/>
      <c r="H635" s="87" t="s">
        <v>1251</v>
      </c>
      <c r="I635" s="87" t="s">
        <v>103</v>
      </c>
      <c r="J635" s="87" t="s">
        <v>2194</v>
      </c>
      <c r="K635" s="90">
        <v>0.0</v>
      </c>
      <c r="L635" s="92"/>
      <c r="M635" s="87" t="s">
        <v>1883</v>
      </c>
      <c r="O635" s="87" t="s">
        <v>377</v>
      </c>
      <c r="P635" s="87" t="s">
        <v>372</v>
      </c>
    </row>
    <row r="636" ht="15.75" customHeight="1">
      <c r="A636" s="87" t="s">
        <v>2195</v>
      </c>
      <c r="B636" s="88">
        <v>1.22E18</v>
      </c>
      <c r="C636" s="87" t="s">
        <v>2196</v>
      </c>
      <c r="D636" s="87" t="s">
        <v>87</v>
      </c>
      <c r="E636" s="87" t="s">
        <v>102</v>
      </c>
      <c r="F636" s="87" t="s">
        <v>2196</v>
      </c>
      <c r="H636" s="87" t="s">
        <v>2142</v>
      </c>
      <c r="I636" s="87" t="s">
        <v>103</v>
      </c>
      <c r="J636" s="87" t="s">
        <v>2197</v>
      </c>
      <c r="K636" s="90">
        <v>0.0</v>
      </c>
      <c r="L636" s="92"/>
      <c r="M636" s="87" t="s">
        <v>1883</v>
      </c>
      <c r="O636" s="87" t="s">
        <v>377</v>
      </c>
      <c r="P636" s="87" t="s">
        <v>372</v>
      </c>
    </row>
    <row r="637" ht="15.75" customHeight="1">
      <c r="A637" s="87" t="s">
        <v>2198</v>
      </c>
      <c r="B637" s="88">
        <v>1.22E18</v>
      </c>
      <c r="C637" s="87" t="s">
        <v>2199</v>
      </c>
      <c r="D637" s="87" t="s">
        <v>56</v>
      </c>
      <c r="E637" s="87" t="s">
        <v>102</v>
      </c>
      <c r="F637" s="87" t="s">
        <v>2199</v>
      </c>
      <c r="I637" s="87" t="s">
        <v>103</v>
      </c>
      <c r="J637" s="87" t="s">
        <v>449</v>
      </c>
      <c r="K637" s="90">
        <v>0.0</v>
      </c>
      <c r="L637" s="92"/>
      <c r="M637" s="87" t="s">
        <v>1883</v>
      </c>
      <c r="O637" s="87" t="s">
        <v>377</v>
      </c>
      <c r="P637" s="87" t="s">
        <v>372</v>
      </c>
    </row>
    <row r="638" ht="15.75" customHeight="1">
      <c r="A638" s="87" t="s">
        <v>2200</v>
      </c>
      <c r="B638" s="88">
        <v>1.22E18</v>
      </c>
      <c r="C638" s="87" t="s">
        <v>2201</v>
      </c>
      <c r="D638" s="87" t="s">
        <v>87</v>
      </c>
      <c r="E638" s="87" t="s">
        <v>88</v>
      </c>
      <c r="F638" s="118" t="s">
        <v>2201</v>
      </c>
      <c r="G638" s="119"/>
      <c r="H638" s="87" t="s">
        <v>1251</v>
      </c>
      <c r="I638" s="87" t="s">
        <v>103</v>
      </c>
      <c r="J638" s="87" t="s">
        <v>2202</v>
      </c>
      <c r="K638" s="90">
        <v>0.0</v>
      </c>
      <c r="L638" s="92"/>
      <c r="M638" s="87" t="s">
        <v>1883</v>
      </c>
      <c r="O638" s="87" t="s">
        <v>377</v>
      </c>
      <c r="P638" s="87" t="s">
        <v>372</v>
      </c>
    </row>
    <row r="639" ht="15.75" customHeight="1">
      <c r="A639" s="87" t="s">
        <v>2203</v>
      </c>
      <c r="B639" s="88">
        <v>1.22E18</v>
      </c>
      <c r="C639" s="87" t="s">
        <v>2204</v>
      </c>
      <c r="D639" s="87" t="s">
        <v>87</v>
      </c>
      <c r="E639" s="87" t="s">
        <v>102</v>
      </c>
      <c r="F639" s="118" t="s">
        <v>2204</v>
      </c>
      <c r="G639" s="119"/>
      <c r="H639" s="87" t="s">
        <v>2132</v>
      </c>
      <c r="I639" s="87" t="s">
        <v>1742</v>
      </c>
      <c r="J639" s="87" t="s">
        <v>2205</v>
      </c>
      <c r="K639" s="90">
        <v>0.0</v>
      </c>
      <c r="L639" s="92"/>
      <c r="M639" s="87" t="s">
        <v>1883</v>
      </c>
      <c r="O639" s="87" t="s">
        <v>377</v>
      </c>
      <c r="P639" s="87" t="s">
        <v>372</v>
      </c>
    </row>
    <row r="640" ht="15.75" customHeight="1">
      <c r="A640" s="87" t="s">
        <v>2206</v>
      </c>
      <c r="B640" s="88">
        <v>1.22E18</v>
      </c>
      <c r="C640" s="87" t="s">
        <v>2207</v>
      </c>
      <c r="D640" s="87" t="s">
        <v>87</v>
      </c>
      <c r="E640" s="87" t="s">
        <v>102</v>
      </c>
      <c r="F640" s="118" t="s">
        <v>2207</v>
      </c>
      <c r="G640" s="119"/>
      <c r="H640" s="87" t="s">
        <v>2208</v>
      </c>
      <c r="I640" s="87" t="s">
        <v>1742</v>
      </c>
      <c r="J640" s="87" t="s">
        <v>2209</v>
      </c>
      <c r="K640" s="90">
        <v>0.0</v>
      </c>
      <c r="L640" s="92"/>
      <c r="M640" s="87" t="s">
        <v>1883</v>
      </c>
      <c r="O640" s="87" t="s">
        <v>377</v>
      </c>
      <c r="P640" s="87" t="s">
        <v>372</v>
      </c>
    </row>
    <row r="641" ht="15.75" customHeight="1">
      <c r="A641" s="87" t="s">
        <v>2210</v>
      </c>
      <c r="B641" s="88">
        <v>1.22E18</v>
      </c>
      <c r="C641" s="87" t="s">
        <v>2211</v>
      </c>
      <c r="D641" s="87" t="s">
        <v>56</v>
      </c>
      <c r="E641" s="87" t="s">
        <v>102</v>
      </c>
      <c r="F641" s="87" t="s">
        <v>2211</v>
      </c>
      <c r="H641" s="87" t="s">
        <v>2037</v>
      </c>
      <c r="I641" s="87" t="s">
        <v>1742</v>
      </c>
      <c r="J641" s="87" t="s">
        <v>2212</v>
      </c>
      <c r="K641" s="90">
        <v>0.0</v>
      </c>
      <c r="L641" s="92"/>
      <c r="M641" s="87" t="s">
        <v>1883</v>
      </c>
      <c r="O641" s="87" t="s">
        <v>377</v>
      </c>
      <c r="P641" s="87" t="s">
        <v>372</v>
      </c>
    </row>
    <row r="642" ht="15.75" customHeight="1">
      <c r="A642" s="87" t="s">
        <v>2213</v>
      </c>
      <c r="B642" s="88">
        <v>1.22E18</v>
      </c>
      <c r="C642" s="87" t="s">
        <v>2214</v>
      </c>
      <c r="D642" s="87" t="s">
        <v>56</v>
      </c>
      <c r="E642" s="87" t="s">
        <v>259</v>
      </c>
      <c r="F642" s="118" t="s">
        <v>2214</v>
      </c>
      <c r="G642" s="130"/>
      <c r="H642" s="119"/>
      <c r="I642" s="87" t="s">
        <v>1742</v>
      </c>
      <c r="J642" s="87" t="s">
        <v>449</v>
      </c>
      <c r="K642" s="90">
        <v>0.0</v>
      </c>
      <c r="L642" s="92"/>
      <c r="M642" s="87" t="s">
        <v>1883</v>
      </c>
      <c r="O642" s="87" t="s">
        <v>377</v>
      </c>
      <c r="P642" s="87" t="s">
        <v>372</v>
      </c>
    </row>
    <row r="643" ht="15.75" customHeight="1">
      <c r="A643" s="87" t="s">
        <v>2215</v>
      </c>
      <c r="B643" s="88">
        <v>1.22E18</v>
      </c>
      <c r="C643" s="87" t="s">
        <v>2216</v>
      </c>
      <c r="D643" s="87" t="s">
        <v>56</v>
      </c>
      <c r="E643" s="87" t="s">
        <v>102</v>
      </c>
      <c r="F643" s="87" t="s">
        <v>1763</v>
      </c>
      <c r="H643" s="87" t="s">
        <v>2217</v>
      </c>
      <c r="I643" s="93"/>
      <c r="J643" s="87" t="s">
        <v>2038</v>
      </c>
      <c r="K643" s="90">
        <v>0.0</v>
      </c>
      <c r="L643" s="92"/>
      <c r="M643" s="87" t="s">
        <v>1883</v>
      </c>
      <c r="O643" s="87" t="s">
        <v>377</v>
      </c>
      <c r="P643" s="87" t="s">
        <v>372</v>
      </c>
    </row>
    <row r="644" ht="15.75" customHeight="1">
      <c r="A644" s="87" t="s">
        <v>2218</v>
      </c>
      <c r="B644" s="88">
        <v>1.22E18</v>
      </c>
      <c r="C644" s="87" t="s">
        <v>2219</v>
      </c>
      <c r="D644" s="87" t="s">
        <v>56</v>
      </c>
      <c r="E644" s="87" t="s">
        <v>102</v>
      </c>
      <c r="F644" s="87" t="s">
        <v>2219</v>
      </c>
      <c r="I644" s="87" t="s">
        <v>1742</v>
      </c>
      <c r="J644" s="87" t="s">
        <v>449</v>
      </c>
      <c r="K644" s="90">
        <v>0.0</v>
      </c>
      <c r="L644" s="92"/>
      <c r="M644" s="87" t="s">
        <v>1883</v>
      </c>
      <c r="O644" s="87" t="s">
        <v>377</v>
      </c>
      <c r="P644" s="87" t="s">
        <v>372</v>
      </c>
    </row>
    <row r="645" ht="15.75" customHeight="1">
      <c r="A645" s="87" t="s">
        <v>2220</v>
      </c>
      <c r="B645" s="88">
        <v>1.22E18</v>
      </c>
      <c r="C645" s="87" t="s">
        <v>2221</v>
      </c>
      <c r="D645" s="87" t="s">
        <v>56</v>
      </c>
      <c r="E645" s="87" t="s">
        <v>102</v>
      </c>
      <c r="F645" s="87" t="s">
        <v>2221</v>
      </c>
      <c r="I645" s="87" t="s">
        <v>1742</v>
      </c>
      <c r="J645" s="87" t="s">
        <v>449</v>
      </c>
      <c r="K645" s="90">
        <v>0.0</v>
      </c>
      <c r="L645" s="92"/>
      <c r="M645" s="87" t="s">
        <v>1883</v>
      </c>
      <c r="O645" s="87" t="s">
        <v>377</v>
      </c>
      <c r="P645" s="87" t="s">
        <v>372</v>
      </c>
    </row>
    <row r="646" ht="15.75" customHeight="1">
      <c r="A646" s="87" t="s">
        <v>2222</v>
      </c>
      <c r="B646" s="88">
        <v>1.22E18</v>
      </c>
      <c r="C646" s="87" t="s">
        <v>2223</v>
      </c>
      <c r="D646" s="87" t="s">
        <v>87</v>
      </c>
      <c r="E646" s="87" t="s">
        <v>102</v>
      </c>
      <c r="F646" s="87" t="s">
        <v>1763</v>
      </c>
      <c r="H646" s="87" t="s">
        <v>1878</v>
      </c>
      <c r="I646" s="93"/>
      <c r="J646" s="87" t="s">
        <v>2224</v>
      </c>
      <c r="K646" s="90">
        <v>1.15</v>
      </c>
      <c r="L646" s="92"/>
      <c r="M646" s="87" t="s">
        <v>1883</v>
      </c>
      <c r="O646" s="87" t="s">
        <v>377</v>
      </c>
      <c r="P646" s="87" t="s">
        <v>372</v>
      </c>
    </row>
    <row r="647" ht="15.75" customHeight="1">
      <c r="A647" s="87" t="s">
        <v>2225</v>
      </c>
      <c r="B647" s="88">
        <v>1.22E18</v>
      </c>
      <c r="C647" s="87" t="s">
        <v>2226</v>
      </c>
      <c r="D647" s="87" t="s">
        <v>87</v>
      </c>
      <c r="E647" s="87" t="s">
        <v>102</v>
      </c>
      <c r="F647" s="87" t="s">
        <v>1763</v>
      </c>
      <c r="H647" s="87" t="s">
        <v>2227</v>
      </c>
      <c r="J647" s="87" t="s">
        <v>2228</v>
      </c>
      <c r="K647" s="90">
        <v>3552.0</v>
      </c>
      <c r="L647" s="92"/>
      <c r="M647" s="87" t="s">
        <v>1883</v>
      </c>
      <c r="O647" s="87" t="s">
        <v>377</v>
      </c>
      <c r="P647" s="87" t="s">
        <v>372</v>
      </c>
    </row>
    <row r="648" ht="15.75" customHeight="1">
      <c r="A648" s="87" t="s">
        <v>2229</v>
      </c>
      <c r="B648" s="88">
        <v>1.22E18</v>
      </c>
      <c r="C648" s="87" t="s">
        <v>2230</v>
      </c>
      <c r="D648" s="87" t="s">
        <v>87</v>
      </c>
      <c r="E648" s="87" t="s">
        <v>102</v>
      </c>
      <c r="F648" s="87" t="s">
        <v>1763</v>
      </c>
      <c r="H648" s="87" t="s">
        <v>2227</v>
      </c>
      <c r="J648" s="87" t="s">
        <v>2231</v>
      </c>
      <c r="K648" s="90">
        <v>4320.0</v>
      </c>
      <c r="L648" s="92"/>
      <c r="M648" s="87" t="s">
        <v>1883</v>
      </c>
      <c r="O648" s="87" t="s">
        <v>377</v>
      </c>
      <c r="P648" s="87" t="s">
        <v>372</v>
      </c>
    </row>
    <row r="649" ht="15.75" customHeight="1">
      <c r="A649" s="87" t="s">
        <v>2232</v>
      </c>
      <c r="B649" s="88">
        <v>1.22E18</v>
      </c>
      <c r="C649" s="87" t="s">
        <v>2233</v>
      </c>
      <c r="D649" s="87" t="s">
        <v>56</v>
      </c>
      <c r="E649" s="87" t="s">
        <v>102</v>
      </c>
      <c r="F649" s="87" t="s">
        <v>2233</v>
      </c>
      <c r="I649" s="87" t="s">
        <v>103</v>
      </c>
      <c r="J649" s="87" t="s">
        <v>2234</v>
      </c>
      <c r="K649" s="90">
        <v>0.0</v>
      </c>
      <c r="L649" s="92"/>
      <c r="M649" s="87" t="s">
        <v>1883</v>
      </c>
      <c r="O649" s="87" t="s">
        <v>377</v>
      </c>
      <c r="P649" s="87" t="s">
        <v>372</v>
      </c>
    </row>
    <row r="650" ht="15.75" customHeight="1">
      <c r="A650" s="87" t="s">
        <v>2235</v>
      </c>
      <c r="B650" s="88">
        <v>1.22E18</v>
      </c>
      <c r="C650" s="87" t="s">
        <v>2236</v>
      </c>
      <c r="D650" s="87" t="s">
        <v>56</v>
      </c>
      <c r="E650" s="87" t="s">
        <v>102</v>
      </c>
      <c r="F650" s="87" t="s">
        <v>1763</v>
      </c>
      <c r="I650" s="93"/>
      <c r="J650" s="87" t="s">
        <v>2237</v>
      </c>
      <c r="K650" s="90">
        <v>0.0</v>
      </c>
      <c r="L650" s="92"/>
      <c r="M650" s="87" t="s">
        <v>1883</v>
      </c>
      <c r="O650" s="87" t="s">
        <v>377</v>
      </c>
      <c r="P650" s="87" t="s">
        <v>372</v>
      </c>
    </row>
    <row r="651" ht="15.75" customHeight="1">
      <c r="A651" s="87" t="s">
        <v>2238</v>
      </c>
      <c r="B651" s="88">
        <v>1.22E18</v>
      </c>
      <c r="C651" s="87" t="s">
        <v>2239</v>
      </c>
      <c r="D651" s="87" t="s">
        <v>87</v>
      </c>
      <c r="E651" s="87" t="s">
        <v>102</v>
      </c>
      <c r="F651" s="118" t="s">
        <v>2239</v>
      </c>
      <c r="G651" s="119"/>
      <c r="H651" s="87" t="s">
        <v>1878</v>
      </c>
      <c r="I651" s="87" t="s">
        <v>1742</v>
      </c>
      <c r="J651" s="87" t="s">
        <v>2240</v>
      </c>
      <c r="K651" s="90">
        <v>5.0</v>
      </c>
      <c r="L651" s="92"/>
      <c r="M651" s="87" t="s">
        <v>1883</v>
      </c>
      <c r="O651" s="87" t="s">
        <v>377</v>
      </c>
      <c r="P651" s="87" t="s">
        <v>372</v>
      </c>
    </row>
    <row r="652" ht="15.75" customHeight="1">
      <c r="A652" s="87" t="s">
        <v>2241</v>
      </c>
      <c r="B652" s="88">
        <v>1.22E18</v>
      </c>
      <c r="C652" s="87" t="s">
        <v>2242</v>
      </c>
      <c r="D652" s="87" t="s">
        <v>56</v>
      </c>
      <c r="E652" s="87" t="s">
        <v>102</v>
      </c>
      <c r="F652" s="118" t="s">
        <v>2242</v>
      </c>
      <c r="G652" s="130"/>
      <c r="H652" s="119"/>
      <c r="I652" s="87" t="s">
        <v>1742</v>
      </c>
      <c r="J652" s="87" t="s">
        <v>2243</v>
      </c>
      <c r="K652" s="90">
        <v>0.0</v>
      </c>
      <c r="L652" s="92"/>
      <c r="M652" s="87" t="s">
        <v>1883</v>
      </c>
      <c r="O652" s="87" t="s">
        <v>377</v>
      </c>
      <c r="P652" s="87" t="s">
        <v>372</v>
      </c>
    </row>
    <row r="653" ht="15.75" customHeight="1">
      <c r="A653" s="87" t="s">
        <v>2244</v>
      </c>
      <c r="B653" s="88">
        <v>1.22E18</v>
      </c>
      <c r="C653" s="87" t="s">
        <v>2245</v>
      </c>
      <c r="D653" s="87" t="s">
        <v>87</v>
      </c>
      <c r="E653" s="87" t="s">
        <v>102</v>
      </c>
      <c r="F653" s="118" t="s">
        <v>2245</v>
      </c>
      <c r="G653" s="119"/>
      <c r="H653" s="87" t="s">
        <v>1878</v>
      </c>
      <c r="I653" s="87" t="s">
        <v>1742</v>
      </c>
      <c r="J653" s="87" t="s">
        <v>2246</v>
      </c>
      <c r="K653" s="90">
        <v>0.0</v>
      </c>
      <c r="L653" s="92"/>
      <c r="M653" s="87" t="s">
        <v>1883</v>
      </c>
      <c r="O653" s="87" t="s">
        <v>377</v>
      </c>
      <c r="P653" s="87" t="s">
        <v>372</v>
      </c>
    </row>
    <row r="654" ht="15.75" customHeight="1">
      <c r="A654" s="87" t="s">
        <v>2247</v>
      </c>
      <c r="B654" s="88">
        <v>1.22E18</v>
      </c>
      <c r="C654" s="87" t="s">
        <v>2248</v>
      </c>
      <c r="D654" s="87" t="s">
        <v>87</v>
      </c>
      <c r="E654" s="87" t="s">
        <v>102</v>
      </c>
      <c r="F654" s="118" t="s">
        <v>2248</v>
      </c>
      <c r="G654" s="119"/>
      <c r="H654" s="87" t="s">
        <v>1878</v>
      </c>
      <c r="I654" s="87" t="s">
        <v>1742</v>
      </c>
      <c r="J654" s="87" t="s">
        <v>2249</v>
      </c>
      <c r="K654" s="90">
        <v>0.0</v>
      </c>
      <c r="L654" s="92"/>
      <c r="M654" s="87" t="s">
        <v>1883</v>
      </c>
      <c r="O654" s="87" t="s">
        <v>377</v>
      </c>
      <c r="P654" s="87" t="s">
        <v>372</v>
      </c>
    </row>
    <row r="655" ht="15.75" customHeight="1">
      <c r="A655" s="87" t="s">
        <v>2250</v>
      </c>
      <c r="B655" s="88">
        <v>1.22E18</v>
      </c>
      <c r="C655" s="87" t="s">
        <v>2251</v>
      </c>
      <c r="D655" s="87" t="s">
        <v>87</v>
      </c>
      <c r="E655" s="87" t="s">
        <v>102</v>
      </c>
      <c r="F655" s="118" t="s">
        <v>2251</v>
      </c>
      <c r="G655" s="119"/>
      <c r="H655" s="87" t="s">
        <v>1970</v>
      </c>
      <c r="I655" s="87" t="s">
        <v>1742</v>
      </c>
      <c r="J655" s="87" t="s">
        <v>2252</v>
      </c>
      <c r="K655" s="90">
        <v>0.0</v>
      </c>
      <c r="L655" s="92"/>
      <c r="M655" s="87" t="s">
        <v>1883</v>
      </c>
      <c r="O655" s="87" t="s">
        <v>377</v>
      </c>
      <c r="P655" s="87" t="s">
        <v>372</v>
      </c>
    </row>
    <row r="656" ht="15.75" customHeight="1">
      <c r="A656" s="87" t="s">
        <v>2253</v>
      </c>
      <c r="B656" s="88">
        <v>1.22E18</v>
      </c>
      <c r="C656" s="87" t="s">
        <v>2254</v>
      </c>
      <c r="D656" s="87" t="s">
        <v>56</v>
      </c>
      <c r="E656" s="87" t="s">
        <v>102</v>
      </c>
      <c r="F656" s="87" t="s">
        <v>2254</v>
      </c>
      <c r="I656" s="87" t="s">
        <v>1742</v>
      </c>
      <c r="J656" s="87" t="s">
        <v>2255</v>
      </c>
      <c r="K656" s="90">
        <v>0.0</v>
      </c>
      <c r="L656" s="92"/>
      <c r="M656" s="87" t="s">
        <v>1883</v>
      </c>
      <c r="O656" s="87" t="s">
        <v>377</v>
      </c>
      <c r="P656" s="87" t="s">
        <v>372</v>
      </c>
    </row>
    <row r="657" ht="15.75" customHeight="1">
      <c r="A657" s="87" t="s">
        <v>2256</v>
      </c>
      <c r="B657" s="88">
        <v>1.22E18</v>
      </c>
      <c r="C657" s="87" t="s">
        <v>2257</v>
      </c>
      <c r="D657" s="87" t="s">
        <v>56</v>
      </c>
      <c r="E657" s="87" t="s">
        <v>102</v>
      </c>
      <c r="F657" s="87" t="s">
        <v>2257</v>
      </c>
      <c r="I657" s="87" t="s">
        <v>1742</v>
      </c>
      <c r="J657" s="87" t="s">
        <v>2258</v>
      </c>
      <c r="K657" s="90">
        <v>0.0</v>
      </c>
      <c r="L657" s="92"/>
      <c r="M657" s="87" t="s">
        <v>1883</v>
      </c>
      <c r="O657" s="87" t="s">
        <v>377</v>
      </c>
      <c r="P657" s="87" t="s">
        <v>372</v>
      </c>
    </row>
    <row r="658" ht="15.75" customHeight="1">
      <c r="A658" s="87" t="s">
        <v>2259</v>
      </c>
      <c r="B658" s="88">
        <v>1.22E18</v>
      </c>
      <c r="C658" s="87" t="s">
        <v>2260</v>
      </c>
      <c r="D658" s="87" t="s">
        <v>87</v>
      </c>
      <c r="E658" s="87" t="s">
        <v>102</v>
      </c>
      <c r="F658" s="87" t="s">
        <v>2260</v>
      </c>
      <c r="H658" s="87" t="s">
        <v>1878</v>
      </c>
      <c r="I658" s="87" t="s">
        <v>1742</v>
      </c>
      <c r="J658" s="87" t="s">
        <v>2261</v>
      </c>
      <c r="K658" s="90">
        <v>0.0</v>
      </c>
      <c r="L658" s="92"/>
      <c r="M658" s="87" t="s">
        <v>1883</v>
      </c>
      <c r="O658" s="87" t="s">
        <v>377</v>
      </c>
      <c r="P658" s="87" t="s">
        <v>372</v>
      </c>
    </row>
    <row r="659" ht="15.75" customHeight="1">
      <c r="A659" s="87" t="s">
        <v>2262</v>
      </c>
      <c r="B659" s="88">
        <v>1.22E18</v>
      </c>
      <c r="C659" s="87" t="s">
        <v>2263</v>
      </c>
      <c r="D659" s="87" t="s">
        <v>56</v>
      </c>
      <c r="E659" s="87" t="s">
        <v>59</v>
      </c>
      <c r="F659" s="87" t="s">
        <v>2263</v>
      </c>
      <c r="I659" s="87" t="s">
        <v>1742</v>
      </c>
      <c r="J659" s="87" t="s">
        <v>449</v>
      </c>
      <c r="K659" s="90">
        <v>0.0</v>
      </c>
      <c r="L659" s="92"/>
      <c r="M659" s="87" t="s">
        <v>1883</v>
      </c>
      <c r="O659" s="87" t="s">
        <v>377</v>
      </c>
      <c r="P659" s="87" t="s">
        <v>372</v>
      </c>
    </row>
    <row r="660" ht="15.75" customHeight="1">
      <c r="A660" s="87" t="s">
        <v>2264</v>
      </c>
      <c r="B660" s="88">
        <v>1.22E18</v>
      </c>
      <c r="C660" s="87" t="s">
        <v>2265</v>
      </c>
      <c r="D660" s="87" t="s">
        <v>56</v>
      </c>
      <c r="E660" s="87" t="s">
        <v>59</v>
      </c>
      <c r="F660" s="87" t="s">
        <v>2265</v>
      </c>
      <c r="I660" s="87" t="s">
        <v>1742</v>
      </c>
      <c r="J660" s="87" t="s">
        <v>449</v>
      </c>
      <c r="K660" s="90">
        <v>0.0</v>
      </c>
      <c r="L660" s="92"/>
      <c r="M660" s="87" t="s">
        <v>1883</v>
      </c>
      <c r="O660" s="87" t="s">
        <v>377</v>
      </c>
      <c r="P660" s="87" t="s">
        <v>372</v>
      </c>
    </row>
    <row r="661" ht="15.75" customHeight="1">
      <c r="A661" s="87" t="s">
        <v>2266</v>
      </c>
      <c r="B661" s="88">
        <v>1.22E18</v>
      </c>
      <c r="C661" s="87" t="s">
        <v>2267</v>
      </c>
      <c r="D661" s="87" t="s">
        <v>56</v>
      </c>
      <c r="E661" s="87" t="s">
        <v>102</v>
      </c>
      <c r="F661" s="87" t="s">
        <v>2267</v>
      </c>
      <c r="H661" s="87" t="s">
        <v>2268</v>
      </c>
      <c r="I661" s="87" t="s">
        <v>103</v>
      </c>
      <c r="J661" s="87" t="s">
        <v>2269</v>
      </c>
      <c r="K661" s="90">
        <v>0.0</v>
      </c>
      <c r="L661" s="92"/>
      <c r="M661" s="87" t="s">
        <v>1883</v>
      </c>
      <c r="O661" s="87" t="s">
        <v>377</v>
      </c>
      <c r="P661" s="87" t="s">
        <v>372</v>
      </c>
    </row>
    <row r="662" ht="15.75" customHeight="1">
      <c r="A662" s="87" t="s">
        <v>2270</v>
      </c>
      <c r="B662" s="88">
        <v>1.22E18</v>
      </c>
      <c r="C662" s="87" t="s">
        <v>2271</v>
      </c>
      <c r="D662" s="87" t="s">
        <v>56</v>
      </c>
      <c r="E662" s="87" t="s">
        <v>102</v>
      </c>
      <c r="F662" s="87" t="s">
        <v>2271</v>
      </c>
      <c r="H662" s="87" t="s">
        <v>2272</v>
      </c>
      <c r="I662" s="87" t="s">
        <v>103</v>
      </c>
      <c r="J662" s="87" t="s">
        <v>449</v>
      </c>
      <c r="K662" s="90">
        <v>0.0</v>
      </c>
      <c r="L662" s="92"/>
      <c r="M662" s="87" t="s">
        <v>1883</v>
      </c>
      <c r="O662" s="87" t="s">
        <v>377</v>
      </c>
      <c r="P662" s="87" t="s">
        <v>372</v>
      </c>
    </row>
    <row r="663" ht="15.75" customHeight="1">
      <c r="A663" s="87" t="s">
        <v>2273</v>
      </c>
      <c r="B663" s="88">
        <v>1.22E18</v>
      </c>
      <c r="C663" s="87" t="s">
        <v>2274</v>
      </c>
      <c r="D663" s="87" t="s">
        <v>262</v>
      </c>
      <c r="E663" s="87" t="s">
        <v>267</v>
      </c>
      <c r="F663" s="87" t="s">
        <v>2274</v>
      </c>
      <c r="H663" s="87" t="s">
        <v>2275</v>
      </c>
      <c r="I663" s="87" t="s">
        <v>103</v>
      </c>
      <c r="J663" s="87" t="s">
        <v>2276</v>
      </c>
      <c r="K663" s="90">
        <v>0.0</v>
      </c>
      <c r="L663" s="92"/>
      <c r="M663" s="87" t="s">
        <v>1883</v>
      </c>
      <c r="O663" s="87" t="s">
        <v>377</v>
      </c>
      <c r="P663" s="87" t="s">
        <v>372</v>
      </c>
    </row>
    <row r="664" ht="15.75" customHeight="1">
      <c r="A664" s="87" t="s">
        <v>2277</v>
      </c>
      <c r="B664" s="88">
        <v>1.22E18</v>
      </c>
      <c r="C664" s="87" t="s">
        <v>2278</v>
      </c>
      <c r="D664" s="87" t="s">
        <v>262</v>
      </c>
      <c r="E664" s="87" t="s">
        <v>267</v>
      </c>
      <c r="F664" s="87" t="s">
        <v>2278</v>
      </c>
      <c r="H664" s="87" t="s">
        <v>2275</v>
      </c>
      <c r="I664" s="87" t="s">
        <v>103</v>
      </c>
      <c r="J664" s="87" t="s">
        <v>2279</v>
      </c>
      <c r="K664" s="90">
        <v>0.0</v>
      </c>
      <c r="L664" s="92"/>
      <c r="M664" s="87" t="s">
        <v>1883</v>
      </c>
      <c r="O664" s="87" t="s">
        <v>377</v>
      </c>
      <c r="P664" s="87" t="s">
        <v>372</v>
      </c>
    </row>
    <row r="665" ht="15.75" customHeight="1">
      <c r="A665" s="87" t="s">
        <v>2280</v>
      </c>
      <c r="B665" s="88">
        <v>1.22E18</v>
      </c>
      <c r="C665" s="87" t="s">
        <v>2281</v>
      </c>
      <c r="D665" s="87" t="s">
        <v>56</v>
      </c>
      <c r="E665" s="87" t="s">
        <v>102</v>
      </c>
      <c r="F665" s="87" t="s">
        <v>2281</v>
      </c>
      <c r="I665" s="87" t="s">
        <v>103</v>
      </c>
      <c r="J665" s="87" t="s">
        <v>2282</v>
      </c>
      <c r="K665" s="90">
        <v>0.0</v>
      </c>
      <c r="L665" s="92"/>
      <c r="M665" s="87" t="s">
        <v>1883</v>
      </c>
      <c r="O665" s="87" t="s">
        <v>377</v>
      </c>
      <c r="P665" s="87" t="s">
        <v>372</v>
      </c>
    </row>
    <row r="666" ht="15.75" customHeight="1">
      <c r="A666" s="87" t="s">
        <v>2283</v>
      </c>
      <c r="B666" s="88">
        <v>1.22E18</v>
      </c>
      <c r="C666" s="87" t="s">
        <v>2284</v>
      </c>
      <c r="D666" s="87" t="s">
        <v>262</v>
      </c>
      <c r="E666" s="87" t="s">
        <v>267</v>
      </c>
      <c r="F666" s="87" t="s">
        <v>2284</v>
      </c>
      <c r="H666" s="87" t="s">
        <v>2275</v>
      </c>
      <c r="I666" s="87" t="s">
        <v>103</v>
      </c>
      <c r="J666" s="87" t="s">
        <v>2285</v>
      </c>
      <c r="K666" s="90">
        <v>0.0</v>
      </c>
      <c r="L666" s="92"/>
      <c r="M666" s="87" t="s">
        <v>1883</v>
      </c>
      <c r="O666" s="87" t="s">
        <v>377</v>
      </c>
      <c r="P666" s="87" t="s">
        <v>372</v>
      </c>
    </row>
    <row r="667" ht="15.75" customHeight="1">
      <c r="A667" s="87" t="s">
        <v>2286</v>
      </c>
      <c r="B667" s="88">
        <v>1.22E18</v>
      </c>
      <c r="C667" s="87" t="s">
        <v>2287</v>
      </c>
      <c r="D667" s="87" t="s">
        <v>262</v>
      </c>
      <c r="E667" s="87" t="s">
        <v>267</v>
      </c>
      <c r="F667" s="87" t="s">
        <v>2287</v>
      </c>
      <c r="H667" s="87" t="s">
        <v>2288</v>
      </c>
      <c r="I667" s="87" t="s">
        <v>103</v>
      </c>
      <c r="J667" s="87" t="s">
        <v>2289</v>
      </c>
      <c r="K667" s="90">
        <v>0.0</v>
      </c>
      <c r="L667" s="92"/>
      <c r="M667" s="87" t="s">
        <v>1883</v>
      </c>
      <c r="O667" s="87" t="s">
        <v>377</v>
      </c>
      <c r="P667" s="87" t="s">
        <v>372</v>
      </c>
    </row>
    <row r="668" ht="15.75" customHeight="1">
      <c r="A668" s="87" t="s">
        <v>2290</v>
      </c>
      <c r="B668" s="88">
        <v>1.22E18</v>
      </c>
      <c r="C668" s="87" t="s">
        <v>2291</v>
      </c>
      <c r="D668" s="87" t="s">
        <v>262</v>
      </c>
      <c r="E668" s="87" t="s">
        <v>267</v>
      </c>
      <c r="F668" s="87" t="s">
        <v>2291</v>
      </c>
      <c r="H668" s="87" t="s">
        <v>2288</v>
      </c>
      <c r="I668" s="87" t="s">
        <v>103</v>
      </c>
      <c r="J668" s="87" t="s">
        <v>2292</v>
      </c>
      <c r="K668" s="90">
        <v>0.0</v>
      </c>
      <c r="L668" s="92"/>
      <c r="M668" s="87" t="s">
        <v>1883</v>
      </c>
      <c r="O668" s="87" t="s">
        <v>377</v>
      </c>
      <c r="P668" s="87" t="s">
        <v>372</v>
      </c>
    </row>
    <row r="669" ht="15.75" customHeight="1">
      <c r="A669" s="87" t="s">
        <v>2293</v>
      </c>
      <c r="B669" s="88">
        <v>1.22E18</v>
      </c>
      <c r="C669" s="87" t="s">
        <v>2294</v>
      </c>
      <c r="D669" s="87" t="s">
        <v>262</v>
      </c>
      <c r="E669" s="87" t="s">
        <v>267</v>
      </c>
      <c r="F669" s="87" t="s">
        <v>2294</v>
      </c>
      <c r="H669" s="87" t="s">
        <v>2275</v>
      </c>
      <c r="I669" s="87" t="s">
        <v>103</v>
      </c>
      <c r="J669" s="87" t="s">
        <v>2295</v>
      </c>
      <c r="K669" s="90">
        <v>0.0</v>
      </c>
      <c r="L669" s="92"/>
      <c r="M669" s="87" t="s">
        <v>1883</v>
      </c>
      <c r="O669" s="87" t="s">
        <v>377</v>
      </c>
      <c r="P669" s="87" t="s">
        <v>372</v>
      </c>
    </row>
    <row r="670" ht="15.75" customHeight="1">
      <c r="A670" s="87" t="s">
        <v>2296</v>
      </c>
      <c r="B670" s="88">
        <v>1.22E18</v>
      </c>
      <c r="C670" s="87" t="s">
        <v>2297</v>
      </c>
      <c r="D670" s="87" t="s">
        <v>262</v>
      </c>
      <c r="E670" s="87" t="s">
        <v>267</v>
      </c>
      <c r="F670" s="87" t="s">
        <v>2297</v>
      </c>
      <c r="H670" s="87" t="s">
        <v>2288</v>
      </c>
      <c r="I670" s="87" t="s">
        <v>103</v>
      </c>
      <c r="J670" s="87" t="s">
        <v>2298</v>
      </c>
      <c r="K670" s="90">
        <v>0.0</v>
      </c>
      <c r="L670" s="92"/>
      <c r="M670" s="87" t="s">
        <v>1883</v>
      </c>
      <c r="O670" s="87" t="s">
        <v>377</v>
      </c>
      <c r="P670" s="87" t="s">
        <v>372</v>
      </c>
    </row>
    <row r="671" ht="15.75" customHeight="1">
      <c r="A671" s="87" t="s">
        <v>2299</v>
      </c>
      <c r="B671" s="88">
        <v>1.22E18</v>
      </c>
      <c r="C671" s="87" t="s">
        <v>2300</v>
      </c>
      <c r="D671" s="87" t="s">
        <v>262</v>
      </c>
      <c r="E671" s="87" t="s">
        <v>267</v>
      </c>
      <c r="F671" s="87" t="s">
        <v>2300</v>
      </c>
      <c r="H671" s="87" t="s">
        <v>2288</v>
      </c>
      <c r="I671" s="87" t="s">
        <v>103</v>
      </c>
      <c r="J671" s="87" t="s">
        <v>2301</v>
      </c>
      <c r="K671" s="90">
        <v>0.0</v>
      </c>
      <c r="L671" s="92"/>
      <c r="M671" s="87" t="s">
        <v>1883</v>
      </c>
      <c r="O671" s="87" t="s">
        <v>377</v>
      </c>
      <c r="P671" s="87" t="s">
        <v>372</v>
      </c>
    </row>
    <row r="672" ht="15.75" customHeight="1">
      <c r="A672" s="87" t="s">
        <v>2302</v>
      </c>
      <c r="B672" s="88">
        <v>1.22E18</v>
      </c>
      <c r="C672" s="87" t="s">
        <v>2303</v>
      </c>
      <c r="D672" s="87" t="s">
        <v>262</v>
      </c>
      <c r="E672" s="87" t="s">
        <v>267</v>
      </c>
      <c r="F672" s="87" t="s">
        <v>2303</v>
      </c>
      <c r="H672" s="87" t="s">
        <v>2288</v>
      </c>
      <c r="I672" s="87" t="s">
        <v>103</v>
      </c>
      <c r="J672" s="87" t="s">
        <v>2304</v>
      </c>
      <c r="K672" s="90">
        <v>0.0</v>
      </c>
      <c r="L672" s="92"/>
      <c r="M672" s="87" t="s">
        <v>1883</v>
      </c>
      <c r="O672" s="87" t="s">
        <v>377</v>
      </c>
      <c r="P672" s="87" t="s">
        <v>372</v>
      </c>
    </row>
    <row r="673" ht="15.75" customHeight="1">
      <c r="A673" s="87" t="s">
        <v>2305</v>
      </c>
      <c r="B673" s="88">
        <v>1.22E18</v>
      </c>
      <c r="C673" s="87" t="s">
        <v>2306</v>
      </c>
      <c r="D673" s="87" t="s">
        <v>262</v>
      </c>
      <c r="E673" s="87" t="s">
        <v>267</v>
      </c>
      <c r="F673" s="87" t="s">
        <v>2306</v>
      </c>
      <c r="H673" s="87" t="s">
        <v>2288</v>
      </c>
      <c r="I673" s="87" t="s">
        <v>103</v>
      </c>
      <c r="J673" s="87" t="s">
        <v>2292</v>
      </c>
      <c r="K673" s="90">
        <v>0.0</v>
      </c>
      <c r="L673" s="92"/>
      <c r="M673" s="87" t="s">
        <v>1883</v>
      </c>
      <c r="O673" s="87" t="s">
        <v>377</v>
      </c>
      <c r="P673" s="87" t="s">
        <v>372</v>
      </c>
    </row>
    <row r="674" ht="15.75" customHeight="1">
      <c r="A674" s="87" t="s">
        <v>2307</v>
      </c>
      <c r="B674" s="88">
        <v>1.22E18</v>
      </c>
      <c r="C674" s="87" t="s">
        <v>2308</v>
      </c>
      <c r="D674" s="87" t="s">
        <v>262</v>
      </c>
      <c r="E674" s="87" t="s">
        <v>267</v>
      </c>
      <c r="F674" s="87" t="s">
        <v>2308</v>
      </c>
      <c r="H674" s="87" t="s">
        <v>2288</v>
      </c>
      <c r="I674" s="87" t="s">
        <v>103</v>
      </c>
      <c r="J674" s="87" t="s">
        <v>2309</v>
      </c>
      <c r="K674" s="90">
        <v>0.0</v>
      </c>
      <c r="L674" s="92"/>
      <c r="M674" s="87" t="s">
        <v>1883</v>
      </c>
      <c r="O674" s="87" t="s">
        <v>377</v>
      </c>
      <c r="P674" s="87" t="s">
        <v>372</v>
      </c>
    </row>
    <row r="675" ht="15.75" customHeight="1">
      <c r="A675" s="87" t="s">
        <v>2310</v>
      </c>
      <c r="B675" s="88">
        <v>1.22E18</v>
      </c>
      <c r="C675" s="87" t="s">
        <v>2311</v>
      </c>
      <c r="D675" s="87" t="s">
        <v>87</v>
      </c>
      <c r="E675" s="87" t="s">
        <v>102</v>
      </c>
      <c r="F675" s="87" t="s">
        <v>2311</v>
      </c>
      <c r="H675" s="87" t="s">
        <v>1729</v>
      </c>
      <c r="I675" s="87" t="s">
        <v>103</v>
      </c>
      <c r="J675" s="87" t="s">
        <v>2312</v>
      </c>
      <c r="K675" s="90">
        <v>0.0</v>
      </c>
      <c r="L675" s="92"/>
      <c r="M675" s="87" t="s">
        <v>1883</v>
      </c>
      <c r="O675" s="87" t="s">
        <v>377</v>
      </c>
      <c r="P675" s="87" t="s">
        <v>372</v>
      </c>
    </row>
    <row r="676" ht="15.75" customHeight="1">
      <c r="A676" s="87" t="s">
        <v>2313</v>
      </c>
      <c r="B676" s="88">
        <v>1.22E18</v>
      </c>
      <c r="C676" s="87" t="s">
        <v>2314</v>
      </c>
      <c r="D676" s="87" t="s">
        <v>262</v>
      </c>
      <c r="E676" s="87" t="s">
        <v>270</v>
      </c>
      <c r="F676" s="87" t="s">
        <v>2314</v>
      </c>
      <c r="H676" s="87" t="s">
        <v>2315</v>
      </c>
      <c r="I676" s="87" t="s">
        <v>103</v>
      </c>
      <c r="J676" s="87" t="s">
        <v>2316</v>
      </c>
      <c r="K676" s="90">
        <v>0.0</v>
      </c>
      <c r="L676" s="92"/>
      <c r="M676" s="87" t="s">
        <v>1883</v>
      </c>
      <c r="O676" s="87" t="s">
        <v>377</v>
      </c>
      <c r="P676" s="87" t="s">
        <v>372</v>
      </c>
    </row>
    <row r="677" ht="15.75" customHeight="1">
      <c r="A677" s="87" t="s">
        <v>2317</v>
      </c>
      <c r="B677" s="88">
        <v>1.22E18</v>
      </c>
      <c r="C677" s="87" t="s">
        <v>2318</v>
      </c>
      <c r="D677" s="87" t="s">
        <v>56</v>
      </c>
      <c r="E677" s="87" t="s">
        <v>102</v>
      </c>
      <c r="F677" s="87" t="s">
        <v>2318</v>
      </c>
      <c r="I677" s="87" t="s">
        <v>1123</v>
      </c>
      <c r="J677" s="87" t="s">
        <v>405</v>
      </c>
      <c r="K677" s="90">
        <v>0.0</v>
      </c>
      <c r="L677" s="92"/>
      <c r="M677" s="87" t="s">
        <v>1883</v>
      </c>
      <c r="O677" s="87" t="s">
        <v>377</v>
      </c>
      <c r="P677" s="87" t="s">
        <v>372</v>
      </c>
    </row>
    <row r="678" ht="15.75" customHeight="1">
      <c r="A678" s="87" t="s">
        <v>2319</v>
      </c>
      <c r="B678" s="88">
        <v>1.22E18</v>
      </c>
      <c r="C678" s="87" t="s">
        <v>2320</v>
      </c>
      <c r="D678" s="87" t="s">
        <v>56</v>
      </c>
      <c r="E678" s="87" t="s">
        <v>102</v>
      </c>
      <c r="F678" s="87" t="s">
        <v>2320</v>
      </c>
      <c r="I678" s="87" t="s">
        <v>1123</v>
      </c>
      <c r="J678" s="87" t="s">
        <v>1836</v>
      </c>
      <c r="K678" s="90">
        <v>0.0</v>
      </c>
      <c r="L678" s="92"/>
      <c r="M678" s="87" t="s">
        <v>1883</v>
      </c>
      <c r="O678" s="87" t="s">
        <v>377</v>
      </c>
      <c r="P678" s="87" t="s">
        <v>372</v>
      </c>
    </row>
    <row r="679" ht="15.75" customHeight="1">
      <c r="A679" s="87" t="s">
        <v>2321</v>
      </c>
      <c r="B679" s="88">
        <v>1.22E18</v>
      </c>
      <c r="C679" s="87" t="s">
        <v>2322</v>
      </c>
      <c r="D679" s="87" t="s">
        <v>56</v>
      </c>
      <c r="E679" s="87" t="s">
        <v>102</v>
      </c>
      <c r="F679" s="87" t="s">
        <v>2322</v>
      </c>
      <c r="H679" s="93"/>
      <c r="I679" s="87" t="s">
        <v>103</v>
      </c>
      <c r="J679" s="87" t="s">
        <v>1836</v>
      </c>
      <c r="K679" s="90">
        <v>0.0</v>
      </c>
      <c r="L679" s="92"/>
      <c r="M679" s="87" t="s">
        <v>1883</v>
      </c>
      <c r="O679" s="87" t="s">
        <v>377</v>
      </c>
      <c r="P679" s="87" t="s">
        <v>372</v>
      </c>
    </row>
    <row r="680" ht="15.75" customHeight="1">
      <c r="A680" s="87" t="s">
        <v>2323</v>
      </c>
      <c r="B680" s="88">
        <v>1.22E18</v>
      </c>
      <c r="C680" s="87" t="s">
        <v>2324</v>
      </c>
      <c r="D680" s="87" t="s">
        <v>56</v>
      </c>
      <c r="E680" s="87" t="s">
        <v>102</v>
      </c>
      <c r="F680" s="87" t="s">
        <v>2324</v>
      </c>
      <c r="H680" s="93"/>
      <c r="I680" s="87" t="s">
        <v>1123</v>
      </c>
      <c r="J680" s="87" t="s">
        <v>1836</v>
      </c>
      <c r="K680" s="90">
        <v>150000.0</v>
      </c>
      <c r="L680" s="92"/>
      <c r="M680" s="87" t="s">
        <v>1883</v>
      </c>
      <c r="O680" s="87" t="s">
        <v>377</v>
      </c>
      <c r="P680" s="87" t="s">
        <v>372</v>
      </c>
    </row>
    <row r="681" ht="15.75" customHeight="1">
      <c r="A681" s="87" t="s">
        <v>2325</v>
      </c>
      <c r="B681" s="88">
        <v>1.22E18</v>
      </c>
      <c r="C681" s="87" t="s">
        <v>2326</v>
      </c>
      <c r="D681" s="87" t="s">
        <v>56</v>
      </c>
      <c r="E681" s="87" t="s">
        <v>102</v>
      </c>
      <c r="F681" s="87" t="s">
        <v>2326</v>
      </c>
      <c r="H681" s="93"/>
      <c r="I681" s="87" t="s">
        <v>103</v>
      </c>
      <c r="J681" s="87" t="s">
        <v>1836</v>
      </c>
      <c r="K681" s="90">
        <v>0.0</v>
      </c>
      <c r="L681" s="92"/>
      <c r="M681" s="87" t="s">
        <v>1883</v>
      </c>
      <c r="O681" s="87" t="s">
        <v>377</v>
      </c>
      <c r="P681" s="87" t="s">
        <v>372</v>
      </c>
    </row>
    <row r="682" ht="15.75" customHeight="1">
      <c r="A682" s="87" t="s">
        <v>2327</v>
      </c>
      <c r="B682" s="88">
        <v>1.22E18</v>
      </c>
      <c r="C682" s="87" t="s">
        <v>2328</v>
      </c>
      <c r="D682" s="87" t="s">
        <v>56</v>
      </c>
      <c r="E682" s="87" t="s">
        <v>102</v>
      </c>
      <c r="F682" s="87" t="s">
        <v>2328</v>
      </c>
      <c r="H682" s="93"/>
      <c r="I682" s="87" t="s">
        <v>1123</v>
      </c>
      <c r="J682" s="87" t="s">
        <v>1836</v>
      </c>
      <c r="K682" s="90">
        <v>0.0</v>
      </c>
      <c r="L682" s="92"/>
      <c r="M682" s="87" t="s">
        <v>1883</v>
      </c>
      <c r="O682" s="87" t="s">
        <v>377</v>
      </c>
      <c r="P682" s="87" t="s">
        <v>372</v>
      </c>
    </row>
    <row r="683" ht="15.75" customHeight="1">
      <c r="A683" s="87" t="s">
        <v>2329</v>
      </c>
      <c r="B683" s="88">
        <v>1.22E18</v>
      </c>
      <c r="C683" s="87" t="s">
        <v>2330</v>
      </c>
      <c r="D683" s="87" t="s">
        <v>56</v>
      </c>
      <c r="E683" s="87" t="s">
        <v>102</v>
      </c>
      <c r="F683" s="87" t="s">
        <v>2330</v>
      </c>
      <c r="H683" s="93"/>
      <c r="I683" s="87" t="s">
        <v>1123</v>
      </c>
      <c r="J683" s="87" t="s">
        <v>449</v>
      </c>
      <c r="K683" s="90">
        <v>0.0</v>
      </c>
      <c r="L683" s="92"/>
      <c r="M683" s="87" t="s">
        <v>1883</v>
      </c>
      <c r="O683" s="87" t="s">
        <v>377</v>
      </c>
      <c r="P683" s="87" t="s">
        <v>372</v>
      </c>
    </row>
    <row r="684" ht="15.75" customHeight="1">
      <c r="A684" s="87" t="s">
        <v>2331</v>
      </c>
      <c r="B684" s="88">
        <v>1.22E18</v>
      </c>
      <c r="C684" s="87" t="s">
        <v>2332</v>
      </c>
      <c r="D684" s="87" t="s">
        <v>56</v>
      </c>
      <c r="E684" s="87" t="s">
        <v>102</v>
      </c>
      <c r="F684" s="87" t="s">
        <v>2332</v>
      </c>
      <c r="H684" s="93"/>
      <c r="I684" s="87" t="s">
        <v>2333</v>
      </c>
      <c r="J684" s="87" t="s">
        <v>1836</v>
      </c>
      <c r="K684" s="90">
        <v>0.0</v>
      </c>
      <c r="L684" s="92"/>
      <c r="M684" s="87" t="s">
        <v>1883</v>
      </c>
      <c r="O684" s="87" t="s">
        <v>377</v>
      </c>
      <c r="P684" s="87" t="s">
        <v>372</v>
      </c>
    </row>
    <row r="685" ht="15.75" customHeight="1">
      <c r="A685" s="87" t="s">
        <v>2334</v>
      </c>
      <c r="B685" s="88">
        <v>1.22E18</v>
      </c>
      <c r="C685" s="87" t="s">
        <v>2335</v>
      </c>
      <c r="D685" s="87" t="s">
        <v>56</v>
      </c>
      <c r="E685" s="87" t="s">
        <v>102</v>
      </c>
      <c r="F685" s="87" t="s">
        <v>2335</v>
      </c>
      <c r="H685" s="93"/>
      <c r="I685" s="87" t="s">
        <v>103</v>
      </c>
      <c r="J685" s="87" t="s">
        <v>2336</v>
      </c>
      <c r="K685" s="90">
        <v>0.0</v>
      </c>
      <c r="L685" s="92"/>
      <c r="M685" s="87" t="s">
        <v>1883</v>
      </c>
      <c r="O685" s="87" t="s">
        <v>377</v>
      </c>
      <c r="P685" s="87" t="s">
        <v>372</v>
      </c>
    </row>
    <row r="686" ht="15.75" customHeight="1">
      <c r="A686" s="87" t="s">
        <v>2337</v>
      </c>
      <c r="B686" s="88">
        <v>1.22E18</v>
      </c>
      <c r="C686" s="87" t="s">
        <v>2338</v>
      </c>
      <c r="D686" s="87" t="s">
        <v>56</v>
      </c>
      <c r="E686" s="87" t="s">
        <v>102</v>
      </c>
      <c r="F686" s="87" t="s">
        <v>2338</v>
      </c>
      <c r="H686" s="93"/>
      <c r="I686" s="87" t="s">
        <v>1123</v>
      </c>
      <c r="J686" s="87" t="s">
        <v>1836</v>
      </c>
      <c r="K686" s="90">
        <v>0.0</v>
      </c>
      <c r="L686" s="92"/>
      <c r="M686" s="87" t="s">
        <v>1883</v>
      </c>
      <c r="O686" s="87" t="s">
        <v>377</v>
      </c>
      <c r="P686" s="87" t="s">
        <v>372</v>
      </c>
    </row>
    <row r="687" ht="15.75" customHeight="1">
      <c r="A687" s="87" t="s">
        <v>2339</v>
      </c>
      <c r="B687" s="88">
        <v>1.22E18</v>
      </c>
      <c r="C687" s="87" t="s">
        <v>2340</v>
      </c>
      <c r="D687" s="87" t="s">
        <v>56</v>
      </c>
      <c r="E687" s="87" t="s">
        <v>102</v>
      </c>
      <c r="F687" s="87" t="s">
        <v>2340</v>
      </c>
      <c r="H687" s="93"/>
      <c r="I687" s="87" t="s">
        <v>457</v>
      </c>
      <c r="J687" s="87" t="s">
        <v>2341</v>
      </c>
      <c r="K687" s="90">
        <v>0.0</v>
      </c>
      <c r="L687" s="92"/>
      <c r="M687" s="87" t="s">
        <v>1883</v>
      </c>
      <c r="O687" s="87" t="s">
        <v>377</v>
      </c>
      <c r="P687" s="87" t="s">
        <v>372</v>
      </c>
    </row>
    <row r="688" ht="15.75" customHeight="1">
      <c r="A688" s="87" t="s">
        <v>2342</v>
      </c>
      <c r="B688" s="88">
        <v>1.22E18</v>
      </c>
      <c r="C688" s="87" t="s">
        <v>2343</v>
      </c>
      <c r="D688" s="87" t="s">
        <v>262</v>
      </c>
      <c r="E688" s="87" t="s">
        <v>275</v>
      </c>
      <c r="F688" s="118" t="s">
        <v>2343</v>
      </c>
      <c r="G688" s="119"/>
      <c r="H688" s="87" t="s">
        <v>2191</v>
      </c>
      <c r="I688" s="87" t="s">
        <v>103</v>
      </c>
      <c r="J688" s="87" t="s">
        <v>2344</v>
      </c>
      <c r="K688" s="90">
        <v>0.0</v>
      </c>
      <c r="L688" s="92"/>
      <c r="M688" s="93"/>
      <c r="N688" s="87" t="s">
        <v>2345</v>
      </c>
      <c r="O688" s="87" t="s">
        <v>377</v>
      </c>
      <c r="P688" s="87" t="s">
        <v>372</v>
      </c>
    </row>
    <row r="689" ht="15.75" customHeight="1">
      <c r="A689" s="87" t="s">
        <v>2346</v>
      </c>
      <c r="B689" s="88">
        <v>1.22E18</v>
      </c>
      <c r="C689" s="87" t="s">
        <v>2347</v>
      </c>
      <c r="D689" s="87" t="s">
        <v>87</v>
      </c>
      <c r="E689" s="87" t="s">
        <v>102</v>
      </c>
      <c r="F689" s="118" t="s">
        <v>2347</v>
      </c>
      <c r="G689" s="119"/>
      <c r="H689" s="87" t="s">
        <v>1729</v>
      </c>
      <c r="I689" s="87" t="s">
        <v>1742</v>
      </c>
      <c r="J689" s="87" t="s">
        <v>2348</v>
      </c>
      <c r="K689" s="90">
        <v>0.0</v>
      </c>
      <c r="L689" s="92"/>
      <c r="M689" s="93"/>
      <c r="N689" s="87" t="s">
        <v>1729</v>
      </c>
      <c r="O689" s="87" t="s">
        <v>377</v>
      </c>
      <c r="P689" s="87" t="s">
        <v>372</v>
      </c>
    </row>
    <row r="690" ht="15.75" customHeight="1">
      <c r="A690" s="87" t="s">
        <v>2349</v>
      </c>
      <c r="B690" s="88">
        <v>1.22E18</v>
      </c>
      <c r="C690" s="87" t="s">
        <v>2350</v>
      </c>
      <c r="D690" s="87" t="s">
        <v>87</v>
      </c>
      <c r="E690" s="87" t="s">
        <v>102</v>
      </c>
      <c r="F690" s="118" t="s">
        <v>2350</v>
      </c>
      <c r="G690" s="119"/>
      <c r="H690" s="87" t="s">
        <v>1729</v>
      </c>
      <c r="I690" s="87" t="s">
        <v>1742</v>
      </c>
      <c r="J690" s="87" t="s">
        <v>2351</v>
      </c>
      <c r="K690" s="90">
        <v>0.0</v>
      </c>
      <c r="L690" s="92"/>
      <c r="M690" s="93"/>
      <c r="N690" s="87" t="s">
        <v>1729</v>
      </c>
      <c r="O690" s="87" t="s">
        <v>377</v>
      </c>
      <c r="P690" s="87" t="s">
        <v>372</v>
      </c>
    </row>
    <row r="691" ht="15.75" customHeight="1">
      <c r="A691" s="87" t="s">
        <v>2352</v>
      </c>
      <c r="B691" s="88">
        <v>1.22E18</v>
      </c>
      <c r="C691" s="87" t="s">
        <v>2353</v>
      </c>
      <c r="D691" s="87" t="s">
        <v>87</v>
      </c>
      <c r="E691" s="87" t="s">
        <v>102</v>
      </c>
      <c r="F691" s="118" t="s">
        <v>2353</v>
      </c>
      <c r="G691" s="119"/>
      <c r="H691" s="87" t="s">
        <v>1729</v>
      </c>
      <c r="I691" s="87" t="s">
        <v>1742</v>
      </c>
      <c r="J691" s="87" t="s">
        <v>2351</v>
      </c>
      <c r="K691" s="90">
        <v>0.0</v>
      </c>
      <c r="L691" s="92"/>
      <c r="M691" s="93"/>
      <c r="N691" s="87" t="s">
        <v>1729</v>
      </c>
      <c r="O691" s="87" t="s">
        <v>377</v>
      </c>
      <c r="P691" s="87" t="s">
        <v>372</v>
      </c>
    </row>
    <row r="692" ht="15.75" customHeight="1">
      <c r="A692" s="87" t="s">
        <v>2354</v>
      </c>
      <c r="B692" s="88">
        <v>1.22E18</v>
      </c>
      <c r="C692" s="87" t="s">
        <v>2355</v>
      </c>
      <c r="D692" s="87" t="s">
        <v>262</v>
      </c>
      <c r="E692" s="87" t="s">
        <v>275</v>
      </c>
      <c r="F692" s="118" t="s">
        <v>2355</v>
      </c>
      <c r="G692" s="119"/>
      <c r="H692" s="87" t="s">
        <v>2356</v>
      </c>
      <c r="I692" s="87" t="s">
        <v>58</v>
      </c>
      <c r="J692" s="87" t="s">
        <v>2357</v>
      </c>
      <c r="K692" s="90">
        <v>0.0</v>
      </c>
      <c r="L692" s="92"/>
      <c r="M692" s="93"/>
      <c r="N692" s="87" t="s">
        <v>2358</v>
      </c>
      <c r="O692" s="87" t="s">
        <v>377</v>
      </c>
      <c r="P692" s="87" t="s">
        <v>372</v>
      </c>
    </row>
    <row r="693" ht="15.75" customHeight="1">
      <c r="A693" s="87" t="s">
        <v>2359</v>
      </c>
      <c r="B693" s="88">
        <v>1.22E18</v>
      </c>
      <c r="C693" s="87" t="s">
        <v>2360</v>
      </c>
      <c r="D693" s="87" t="s">
        <v>87</v>
      </c>
      <c r="E693" s="87" t="s">
        <v>88</v>
      </c>
      <c r="F693" s="87" t="s">
        <v>2360</v>
      </c>
      <c r="I693" s="87" t="s">
        <v>58</v>
      </c>
      <c r="J693" s="87" t="s">
        <v>2361</v>
      </c>
      <c r="K693" s="90">
        <v>0.0</v>
      </c>
      <c r="L693" s="92"/>
      <c r="M693" s="93"/>
      <c r="N693" s="87" t="s">
        <v>1772</v>
      </c>
      <c r="O693" s="87" t="s">
        <v>377</v>
      </c>
      <c r="P693" s="87" t="s">
        <v>372</v>
      </c>
    </row>
    <row r="694" ht="15.75" customHeight="1">
      <c r="A694" s="87" t="s">
        <v>2362</v>
      </c>
      <c r="B694" s="88">
        <v>1.22E18</v>
      </c>
      <c r="C694" s="87" t="s">
        <v>2363</v>
      </c>
      <c r="D694" s="87" t="s">
        <v>262</v>
      </c>
      <c r="E694" s="87" t="s">
        <v>267</v>
      </c>
      <c r="F694" s="118" t="s">
        <v>2363</v>
      </c>
      <c r="G694" s="119"/>
      <c r="H694" s="87" t="s">
        <v>2364</v>
      </c>
      <c r="I694" s="87" t="s">
        <v>2365</v>
      </c>
      <c r="J694" s="87" t="s">
        <v>2366</v>
      </c>
      <c r="K694" s="90">
        <v>0.0</v>
      </c>
      <c r="L694" s="92"/>
      <c r="M694" s="93"/>
      <c r="N694" s="87" t="s">
        <v>2364</v>
      </c>
      <c r="O694" s="87" t="s">
        <v>377</v>
      </c>
      <c r="P694" s="87" t="s">
        <v>372</v>
      </c>
    </row>
    <row r="695" ht="15.75" customHeight="1">
      <c r="A695" s="87" t="s">
        <v>2367</v>
      </c>
      <c r="B695" s="88">
        <v>1.22E18</v>
      </c>
      <c r="C695" s="87" t="s">
        <v>2368</v>
      </c>
      <c r="D695" s="87" t="s">
        <v>87</v>
      </c>
      <c r="E695" s="87" t="s">
        <v>88</v>
      </c>
      <c r="F695" s="118" t="s">
        <v>2368</v>
      </c>
      <c r="G695" s="119"/>
      <c r="H695" s="87" t="s">
        <v>1152</v>
      </c>
      <c r="I695" s="87" t="s">
        <v>327</v>
      </c>
      <c r="J695" s="87" t="s">
        <v>2369</v>
      </c>
      <c r="K695" s="90">
        <v>0.0</v>
      </c>
      <c r="L695" s="92"/>
      <c r="M695" s="93"/>
      <c r="N695" s="87" t="s">
        <v>2370</v>
      </c>
      <c r="O695" s="87" t="s">
        <v>377</v>
      </c>
      <c r="P695" s="87" t="s">
        <v>372</v>
      </c>
    </row>
    <row r="696" ht="15.75" customHeight="1">
      <c r="A696" s="87" t="s">
        <v>2371</v>
      </c>
      <c r="B696" s="88">
        <v>1.22E18</v>
      </c>
      <c r="C696" s="87" t="s">
        <v>2372</v>
      </c>
      <c r="D696" s="87" t="s">
        <v>87</v>
      </c>
      <c r="E696" s="87" t="s">
        <v>88</v>
      </c>
      <c r="F696" s="118" t="s">
        <v>2372</v>
      </c>
      <c r="G696" s="119"/>
      <c r="H696" s="87" t="s">
        <v>1152</v>
      </c>
      <c r="I696" s="87" t="s">
        <v>340</v>
      </c>
      <c r="J696" s="87" t="s">
        <v>2373</v>
      </c>
      <c r="K696" s="90">
        <v>0.0</v>
      </c>
      <c r="L696" s="92"/>
      <c r="M696" s="93"/>
      <c r="N696" s="87" t="s">
        <v>2370</v>
      </c>
      <c r="O696" s="87" t="s">
        <v>377</v>
      </c>
      <c r="P696" s="87" t="s">
        <v>372</v>
      </c>
    </row>
    <row r="697" ht="15.75" customHeight="1">
      <c r="A697" s="87" t="s">
        <v>2374</v>
      </c>
      <c r="B697" s="88">
        <v>1.22E18</v>
      </c>
      <c r="C697" s="87" t="s">
        <v>2375</v>
      </c>
      <c r="D697" s="87" t="s">
        <v>87</v>
      </c>
      <c r="E697" s="87" t="s">
        <v>88</v>
      </c>
      <c r="F697" s="118" t="s">
        <v>2375</v>
      </c>
      <c r="G697" s="119"/>
      <c r="H697" s="87" t="s">
        <v>2376</v>
      </c>
      <c r="I697" s="87" t="s">
        <v>1742</v>
      </c>
      <c r="J697" s="87" t="s">
        <v>2044</v>
      </c>
      <c r="K697" s="90">
        <v>0.0</v>
      </c>
      <c r="L697" s="92"/>
      <c r="M697" s="93"/>
      <c r="N697" s="87" t="s">
        <v>1808</v>
      </c>
      <c r="O697" s="87" t="s">
        <v>377</v>
      </c>
      <c r="P697" s="87" t="s">
        <v>372</v>
      </c>
    </row>
    <row r="698" ht="15.75" customHeight="1">
      <c r="A698" s="87" t="s">
        <v>2377</v>
      </c>
      <c r="B698" s="88">
        <v>1.22E18</v>
      </c>
      <c r="C698" s="87" t="s">
        <v>2378</v>
      </c>
      <c r="D698" s="87" t="s">
        <v>57</v>
      </c>
      <c r="E698" s="87" t="s">
        <v>281</v>
      </c>
      <c r="F698" s="118" t="s">
        <v>2378</v>
      </c>
      <c r="G698" s="130"/>
      <c r="H698" s="119"/>
      <c r="I698" s="87" t="s">
        <v>1742</v>
      </c>
      <c r="J698" s="87" t="s">
        <v>2379</v>
      </c>
      <c r="K698" s="90">
        <v>0.0</v>
      </c>
      <c r="L698" s="92"/>
      <c r="M698" s="93"/>
      <c r="N698" s="87" t="s">
        <v>1772</v>
      </c>
      <c r="O698" s="87" t="s">
        <v>377</v>
      </c>
      <c r="P698" s="87" t="s">
        <v>372</v>
      </c>
    </row>
    <row r="699" ht="15.75" customHeight="1">
      <c r="A699" s="87" t="s">
        <v>2380</v>
      </c>
      <c r="B699" s="88">
        <v>1.22E18</v>
      </c>
      <c r="C699" s="87" t="s">
        <v>2381</v>
      </c>
      <c r="D699" s="87" t="s">
        <v>87</v>
      </c>
      <c r="E699" s="87" t="s">
        <v>88</v>
      </c>
      <c r="F699" s="87" t="s">
        <v>379</v>
      </c>
      <c r="G699" s="93"/>
      <c r="H699" s="93"/>
      <c r="I699" s="93"/>
      <c r="J699" s="87" t="s">
        <v>1978</v>
      </c>
      <c r="K699" s="90">
        <v>0.0</v>
      </c>
      <c r="L699" s="92"/>
      <c r="M699" s="93"/>
      <c r="N699" s="87" t="s">
        <v>1772</v>
      </c>
      <c r="O699" s="87" t="s">
        <v>377</v>
      </c>
      <c r="P699" s="87" t="s">
        <v>372</v>
      </c>
    </row>
    <row r="700" ht="15.75" customHeight="1">
      <c r="A700" s="87" t="s">
        <v>2382</v>
      </c>
      <c r="B700" s="88">
        <v>1.22E18</v>
      </c>
      <c r="C700" s="87" t="s">
        <v>2383</v>
      </c>
      <c r="D700" s="87" t="s">
        <v>56</v>
      </c>
      <c r="E700" s="87" t="s">
        <v>59</v>
      </c>
      <c r="F700" s="87" t="s">
        <v>1763</v>
      </c>
      <c r="I700" s="87" t="s">
        <v>1742</v>
      </c>
      <c r="J700" s="87" t="s">
        <v>2384</v>
      </c>
      <c r="K700" s="90">
        <v>0.0</v>
      </c>
      <c r="L700" s="92"/>
      <c r="M700" s="93"/>
      <c r="N700" s="93"/>
      <c r="O700" s="87" t="s">
        <v>377</v>
      </c>
      <c r="P700" s="87" t="s">
        <v>372</v>
      </c>
    </row>
    <row r="701" ht="15.75" customHeight="1">
      <c r="A701" s="87" t="s">
        <v>2385</v>
      </c>
      <c r="B701" s="88">
        <v>1.22E18</v>
      </c>
      <c r="C701" s="87" t="s">
        <v>2386</v>
      </c>
      <c r="D701" s="87" t="s">
        <v>87</v>
      </c>
      <c r="E701" s="87" t="s">
        <v>228</v>
      </c>
      <c r="F701" s="87" t="s">
        <v>2386</v>
      </c>
      <c r="H701" s="87" t="s">
        <v>2387</v>
      </c>
      <c r="I701" s="87" t="s">
        <v>340</v>
      </c>
      <c r="J701" s="87" t="s">
        <v>2388</v>
      </c>
      <c r="K701" s="90">
        <v>24780.0</v>
      </c>
      <c r="L701" s="92"/>
      <c r="M701" s="93"/>
      <c r="N701" s="87" t="s">
        <v>2389</v>
      </c>
      <c r="O701" s="87" t="s">
        <v>377</v>
      </c>
      <c r="P701" s="87" t="s">
        <v>372</v>
      </c>
    </row>
    <row r="702" ht="15.75" customHeight="1">
      <c r="A702" s="87" t="s">
        <v>2390</v>
      </c>
      <c r="B702" s="88">
        <v>1.22E18</v>
      </c>
      <c r="C702" s="87" t="s">
        <v>2391</v>
      </c>
      <c r="D702" s="87" t="s">
        <v>87</v>
      </c>
      <c r="E702" s="87" t="s">
        <v>228</v>
      </c>
      <c r="F702" s="87" t="s">
        <v>2391</v>
      </c>
      <c r="H702" s="87" t="s">
        <v>2387</v>
      </c>
      <c r="I702" s="87" t="s">
        <v>327</v>
      </c>
      <c r="J702" s="87" t="s">
        <v>2392</v>
      </c>
      <c r="K702" s="90">
        <v>1810.0</v>
      </c>
      <c r="L702" s="92"/>
      <c r="M702" s="93"/>
      <c r="N702" s="87" t="s">
        <v>2389</v>
      </c>
      <c r="O702" s="87" t="s">
        <v>377</v>
      </c>
      <c r="P702" s="87" t="s">
        <v>372</v>
      </c>
    </row>
    <row r="703" ht="15.75" customHeight="1">
      <c r="A703" s="87" t="s">
        <v>2393</v>
      </c>
      <c r="B703" s="88">
        <v>1.22E18</v>
      </c>
      <c r="C703" s="87" t="s">
        <v>2394</v>
      </c>
      <c r="D703" s="87" t="s">
        <v>87</v>
      </c>
      <c r="E703" s="87" t="s">
        <v>228</v>
      </c>
      <c r="F703" s="87" t="s">
        <v>2394</v>
      </c>
      <c r="H703" s="87" t="s">
        <v>2387</v>
      </c>
      <c r="I703" s="87" t="s">
        <v>340</v>
      </c>
      <c r="J703" s="87" t="s">
        <v>2395</v>
      </c>
      <c r="K703" s="90">
        <v>900.0</v>
      </c>
      <c r="L703" s="92"/>
      <c r="M703" s="93"/>
      <c r="N703" s="87" t="s">
        <v>2389</v>
      </c>
      <c r="O703" s="87" t="s">
        <v>377</v>
      </c>
      <c r="P703" s="87" t="s">
        <v>372</v>
      </c>
    </row>
    <row r="704" ht="15.75" customHeight="1">
      <c r="A704" s="87" t="s">
        <v>2396</v>
      </c>
      <c r="B704" s="88">
        <v>1.22E18</v>
      </c>
      <c r="C704" s="87" t="s">
        <v>2397</v>
      </c>
      <c r="D704" s="87" t="s">
        <v>87</v>
      </c>
      <c r="E704" s="87" t="s">
        <v>228</v>
      </c>
      <c r="F704" s="118" t="s">
        <v>2397</v>
      </c>
      <c r="G704" s="119"/>
      <c r="H704" s="87" t="s">
        <v>374</v>
      </c>
      <c r="I704" s="87" t="s">
        <v>340</v>
      </c>
      <c r="J704" s="87" t="s">
        <v>2398</v>
      </c>
      <c r="K704" s="90">
        <v>0.0</v>
      </c>
      <c r="L704" s="92"/>
      <c r="M704" s="93"/>
      <c r="N704" s="87" t="s">
        <v>617</v>
      </c>
      <c r="O704" s="87" t="s">
        <v>377</v>
      </c>
      <c r="P704" s="87" t="s">
        <v>372</v>
      </c>
    </row>
    <row r="705" ht="15.75" customHeight="1">
      <c r="A705" s="87" t="s">
        <v>2399</v>
      </c>
      <c r="B705" s="88">
        <v>1.22E18</v>
      </c>
      <c r="C705" s="87" t="s">
        <v>2400</v>
      </c>
      <c r="D705" s="87" t="s">
        <v>87</v>
      </c>
      <c r="E705" s="87" t="s">
        <v>88</v>
      </c>
      <c r="F705" s="87" t="s">
        <v>379</v>
      </c>
      <c r="G705" s="93"/>
      <c r="H705" s="87" t="s">
        <v>374</v>
      </c>
      <c r="I705" s="87" t="s">
        <v>340</v>
      </c>
      <c r="J705" s="87" t="s">
        <v>2401</v>
      </c>
      <c r="K705" s="90">
        <v>3600.0</v>
      </c>
      <c r="L705" s="92"/>
      <c r="M705" s="93"/>
      <c r="N705" s="87" t="s">
        <v>617</v>
      </c>
      <c r="O705" s="87" t="s">
        <v>377</v>
      </c>
      <c r="P705" s="87" t="s">
        <v>372</v>
      </c>
    </row>
    <row r="706" ht="15.75" customHeight="1">
      <c r="A706" s="87" t="s">
        <v>2402</v>
      </c>
      <c r="B706" s="88">
        <v>1.22E18</v>
      </c>
      <c r="C706" s="87" t="s">
        <v>2403</v>
      </c>
      <c r="D706" s="87" t="s">
        <v>87</v>
      </c>
      <c r="E706" s="87" t="s">
        <v>228</v>
      </c>
      <c r="F706" s="87" t="s">
        <v>373</v>
      </c>
      <c r="H706" s="87" t="s">
        <v>837</v>
      </c>
      <c r="I706" s="87" t="s">
        <v>340</v>
      </c>
      <c r="J706" s="87" t="s">
        <v>2404</v>
      </c>
      <c r="K706" s="90">
        <v>250.0</v>
      </c>
      <c r="L706" s="92"/>
      <c r="M706" s="93"/>
      <c r="N706" s="87" t="s">
        <v>2405</v>
      </c>
      <c r="O706" s="87" t="s">
        <v>377</v>
      </c>
      <c r="P706" s="87" t="s">
        <v>372</v>
      </c>
    </row>
    <row r="707" ht="15.75" customHeight="1">
      <c r="A707" s="87" t="s">
        <v>2406</v>
      </c>
      <c r="B707" s="88">
        <v>1.22E18</v>
      </c>
      <c r="C707" s="87" t="s">
        <v>2407</v>
      </c>
      <c r="D707" s="87" t="s">
        <v>87</v>
      </c>
      <c r="E707" s="87" t="s">
        <v>228</v>
      </c>
      <c r="F707" s="87" t="s">
        <v>373</v>
      </c>
      <c r="H707" s="87" t="s">
        <v>837</v>
      </c>
      <c r="I707" s="87" t="s">
        <v>340</v>
      </c>
      <c r="J707" s="87" t="s">
        <v>2404</v>
      </c>
      <c r="K707" s="90">
        <v>250.0</v>
      </c>
      <c r="L707" s="92"/>
      <c r="M707" s="93"/>
      <c r="N707" s="87" t="s">
        <v>2405</v>
      </c>
      <c r="O707" s="87" t="s">
        <v>377</v>
      </c>
      <c r="P707" s="87" t="s">
        <v>372</v>
      </c>
    </row>
    <row r="708" ht="15.75" customHeight="1">
      <c r="A708" s="87" t="s">
        <v>2408</v>
      </c>
      <c r="B708" s="88">
        <v>1.22E18</v>
      </c>
      <c r="C708" s="87" t="s">
        <v>2409</v>
      </c>
      <c r="D708" s="87" t="s">
        <v>262</v>
      </c>
      <c r="E708" s="87" t="s">
        <v>267</v>
      </c>
      <c r="F708" s="87" t="s">
        <v>1749</v>
      </c>
      <c r="H708" s="93"/>
      <c r="I708" s="87" t="s">
        <v>103</v>
      </c>
      <c r="J708" s="87" t="s">
        <v>2410</v>
      </c>
      <c r="K708" s="90">
        <v>1.0</v>
      </c>
      <c r="L708" s="92"/>
      <c r="M708" s="93"/>
      <c r="N708" s="87" t="s">
        <v>1772</v>
      </c>
      <c r="O708" s="87" t="s">
        <v>377</v>
      </c>
      <c r="P708" s="87" t="s">
        <v>372</v>
      </c>
    </row>
    <row r="709" ht="15.75" customHeight="1">
      <c r="A709" s="87" t="s">
        <v>2411</v>
      </c>
      <c r="B709" s="88">
        <v>1.22E18</v>
      </c>
      <c r="C709" s="87" t="s">
        <v>2412</v>
      </c>
      <c r="D709" s="87" t="s">
        <v>87</v>
      </c>
      <c r="E709" s="87" t="s">
        <v>88</v>
      </c>
      <c r="F709" s="118" t="s">
        <v>2412</v>
      </c>
      <c r="G709" s="130"/>
      <c r="H709" s="119"/>
      <c r="I709" s="87" t="s">
        <v>58</v>
      </c>
      <c r="J709" s="87" t="s">
        <v>2413</v>
      </c>
      <c r="K709" s="90">
        <v>0.0</v>
      </c>
      <c r="L709" s="92"/>
      <c r="M709" s="93"/>
      <c r="N709" s="93"/>
      <c r="O709" s="87" t="s">
        <v>377</v>
      </c>
      <c r="P709" s="87" t="s">
        <v>372</v>
      </c>
    </row>
    <row r="710" ht="15.75" customHeight="1">
      <c r="A710" s="87" t="s">
        <v>2414</v>
      </c>
      <c r="B710" s="88">
        <v>1.22E18</v>
      </c>
      <c r="C710" s="87" t="s">
        <v>2415</v>
      </c>
      <c r="D710" s="87" t="s">
        <v>262</v>
      </c>
      <c r="E710" s="87" t="s">
        <v>275</v>
      </c>
      <c r="F710" s="118" t="s">
        <v>2415</v>
      </c>
      <c r="G710" s="119"/>
      <c r="H710" s="87" t="s">
        <v>2416</v>
      </c>
      <c r="I710" s="87" t="s">
        <v>58</v>
      </c>
      <c r="J710" s="87" t="s">
        <v>2417</v>
      </c>
      <c r="K710" s="90">
        <v>0.0</v>
      </c>
      <c r="L710" s="92"/>
      <c r="M710" s="93"/>
      <c r="N710" s="87" t="s">
        <v>2416</v>
      </c>
      <c r="O710" s="87" t="s">
        <v>377</v>
      </c>
      <c r="P710" s="87" t="s">
        <v>372</v>
      </c>
    </row>
    <row r="711" ht="15.75" customHeight="1">
      <c r="A711" s="87" t="s">
        <v>2418</v>
      </c>
      <c r="B711" s="88">
        <v>1.22E18</v>
      </c>
      <c r="C711" s="87" t="s">
        <v>2419</v>
      </c>
      <c r="D711" s="87" t="s">
        <v>262</v>
      </c>
      <c r="E711" s="87" t="s">
        <v>275</v>
      </c>
      <c r="F711" s="118" t="s">
        <v>2419</v>
      </c>
      <c r="G711" s="119"/>
      <c r="H711" s="87" t="s">
        <v>2416</v>
      </c>
      <c r="I711" s="87" t="s">
        <v>58</v>
      </c>
      <c r="J711" s="87" t="s">
        <v>2417</v>
      </c>
      <c r="K711" s="90">
        <v>0.0</v>
      </c>
      <c r="L711" s="92"/>
      <c r="M711" s="93"/>
      <c r="N711" s="87" t="s">
        <v>2416</v>
      </c>
      <c r="O711" s="87" t="s">
        <v>377</v>
      </c>
      <c r="P711" s="87" t="s">
        <v>372</v>
      </c>
    </row>
    <row r="712" ht="15.75" customHeight="1">
      <c r="A712" s="87" t="s">
        <v>2420</v>
      </c>
      <c r="B712" s="88">
        <v>1.22E18</v>
      </c>
      <c r="C712" s="87" t="s">
        <v>2421</v>
      </c>
      <c r="D712" s="87" t="s">
        <v>87</v>
      </c>
      <c r="E712" s="87" t="s">
        <v>88</v>
      </c>
      <c r="F712" s="87" t="s">
        <v>2421</v>
      </c>
      <c r="H712" s="87" t="s">
        <v>2422</v>
      </c>
      <c r="I712" s="87" t="s">
        <v>58</v>
      </c>
      <c r="J712" s="87" t="s">
        <v>894</v>
      </c>
      <c r="K712" s="90">
        <v>0.0</v>
      </c>
      <c r="L712" s="92"/>
      <c r="M712" s="93"/>
      <c r="N712" s="87" t="s">
        <v>2422</v>
      </c>
      <c r="O712" s="87" t="s">
        <v>377</v>
      </c>
      <c r="P712" s="87" t="s">
        <v>372</v>
      </c>
    </row>
    <row r="713" ht="15.75" customHeight="1">
      <c r="A713" s="87" t="s">
        <v>2423</v>
      </c>
      <c r="B713" s="88">
        <v>1.22E18</v>
      </c>
      <c r="C713" s="87" t="s">
        <v>2424</v>
      </c>
      <c r="D713" s="87" t="s">
        <v>262</v>
      </c>
      <c r="E713" s="87" t="s">
        <v>270</v>
      </c>
      <c r="F713" s="87" t="s">
        <v>2424</v>
      </c>
      <c r="H713" s="87" t="s">
        <v>2422</v>
      </c>
      <c r="I713" s="87" t="s">
        <v>58</v>
      </c>
      <c r="J713" s="87" t="s">
        <v>2425</v>
      </c>
      <c r="K713" s="90">
        <v>0.0</v>
      </c>
      <c r="L713" s="92"/>
      <c r="M713" s="93"/>
      <c r="N713" s="87" t="s">
        <v>2422</v>
      </c>
      <c r="O713" s="87" t="s">
        <v>377</v>
      </c>
      <c r="P713" s="87" t="s">
        <v>372</v>
      </c>
    </row>
    <row r="714" ht="15.75" customHeight="1">
      <c r="A714" s="87" t="s">
        <v>2426</v>
      </c>
      <c r="B714" s="88">
        <v>1.22E18</v>
      </c>
      <c r="C714" s="87" t="s">
        <v>2427</v>
      </c>
      <c r="D714" s="87" t="s">
        <v>87</v>
      </c>
      <c r="E714" s="87" t="s">
        <v>88</v>
      </c>
      <c r="F714" s="118" t="s">
        <v>2427</v>
      </c>
      <c r="G714" s="119"/>
      <c r="H714" s="87" t="s">
        <v>2422</v>
      </c>
      <c r="I714" s="87" t="s">
        <v>58</v>
      </c>
      <c r="J714" s="87" t="s">
        <v>2428</v>
      </c>
      <c r="K714" s="90">
        <v>0.0</v>
      </c>
      <c r="L714" s="92"/>
      <c r="M714" s="93"/>
      <c r="N714" s="87" t="s">
        <v>2422</v>
      </c>
      <c r="O714" s="87" t="s">
        <v>377</v>
      </c>
      <c r="P714" s="87" t="s">
        <v>372</v>
      </c>
    </row>
    <row r="715" ht="15.75" customHeight="1">
      <c r="A715" s="87" t="s">
        <v>2429</v>
      </c>
      <c r="B715" s="88">
        <v>1.22E18</v>
      </c>
      <c r="C715" s="87" t="s">
        <v>2430</v>
      </c>
      <c r="D715" s="87" t="s">
        <v>262</v>
      </c>
      <c r="E715" s="87" t="s">
        <v>270</v>
      </c>
      <c r="F715" s="87" t="s">
        <v>2430</v>
      </c>
      <c r="H715" s="87" t="s">
        <v>2422</v>
      </c>
      <c r="I715" s="87" t="s">
        <v>58</v>
      </c>
      <c r="J715" s="87" t="s">
        <v>2431</v>
      </c>
      <c r="K715" s="90">
        <v>0.0</v>
      </c>
      <c r="L715" s="92"/>
      <c r="M715" s="93"/>
      <c r="N715" s="87" t="s">
        <v>2422</v>
      </c>
      <c r="O715" s="87" t="s">
        <v>377</v>
      </c>
      <c r="P715" s="87" t="s">
        <v>372</v>
      </c>
    </row>
    <row r="716" ht="15.75" customHeight="1">
      <c r="A716" s="87" t="s">
        <v>2432</v>
      </c>
      <c r="B716" s="88">
        <v>1.22E18</v>
      </c>
      <c r="C716" s="87" t="s">
        <v>2433</v>
      </c>
      <c r="D716" s="87" t="s">
        <v>87</v>
      </c>
      <c r="E716" s="87" t="s">
        <v>88</v>
      </c>
      <c r="F716" s="87" t="s">
        <v>2433</v>
      </c>
      <c r="H716" s="87" t="s">
        <v>2422</v>
      </c>
      <c r="I716" s="87" t="s">
        <v>58</v>
      </c>
      <c r="J716" s="87" t="s">
        <v>2434</v>
      </c>
      <c r="K716" s="90">
        <v>0.0</v>
      </c>
      <c r="L716" s="92"/>
      <c r="M716" s="93"/>
      <c r="N716" s="87" t="s">
        <v>2422</v>
      </c>
      <c r="O716" s="87" t="s">
        <v>377</v>
      </c>
      <c r="P716" s="87" t="s">
        <v>372</v>
      </c>
    </row>
    <row r="717" ht="15.75" customHeight="1">
      <c r="A717" s="87" t="s">
        <v>2435</v>
      </c>
      <c r="B717" s="88">
        <v>1.22E18</v>
      </c>
      <c r="C717" s="87" t="s">
        <v>2436</v>
      </c>
      <c r="D717" s="87" t="s">
        <v>87</v>
      </c>
      <c r="E717" s="87" t="s">
        <v>88</v>
      </c>
      <c r="F717" s="87" t="s">
        <v>2436</v>
      </c>
      <c r="H717" s="87" t="s">
        <v>2422</v>
      </c>
      <c r="I717" s="87" t="s">
        <v>58</v>
      </c>
      <c r="J717" s="87" t="s">
        <v>1961</v>
      </c>
      <c r="K717" s="90">
        <v>0.0</v>
      </c>
      <c r="L717" s="92"/>
      <c r="M717" s="93"/>
      <c r="N717" s="87" t="s">
        <v>2422</v>
      </c>
      <c r="O717" s="87" t="s">
        <v>377</v>
      </c>
      <c r="P717" s="87" t="s">
        <v>372</v>
      </c>
    </row>
    <row r="718" ht="15.75" customHeight="1">
      <c r="A718" s="87" t="s">
        <v>2437</v>
      </c>
      <c r="B718" s="88">
        <v>1.22E18</v>
      </c>
      <c r="C718" s="87" t="s">
        <v>2438</v>
      </c>
      <c r="D718" s="87" t="s">
        <v>262</v>
      </c>
      <c r="E718" s="87" t="s">
        <v>270</v>
      </c>
      <c r="F718" s="87" t="s">
        <v>2438</v>
      </c>
      <c r="G718" s="93"/>
      <c r="H718" s="87" t="s">
        <v>2422</v>
      </c>
      <c r="I718" s="87" t="s">
        <v>58</v>
      </c>
      <c r="J718" s="87" t="s">
        <v>2309</v>
      </c>
      <c r="K718" s="90">
        <v>0.0</v>
      </c>
      <c r="L718" s="92"/>
      <c r="M718" s="93"/>
      <c r="N718" s="87" t="s">
        <v>2422</v>
      </c>
      <c r="O718" s="87" t="s">
        <v>377</v>
      </c>
      <c r="P718" s="87" t="s">
        <v>372</v>
      </c>
    </row>
    <row r="719" ht="15.75" customHeight="1">
      <c r="A719" s="87" t="s">
        <v>2439</v>
      </c>
      <c r="B719" s="88">
        <v>1.22E18</v>
      </c>
      <c r="C719" s="87" t="s">
        <v>2440</v>
      </c>
      <c r="D719" s="87" t="s">
        <v>87</v>
      </c>
      <c r="E719" s="87" t="s">
        <v>88</v>
      </c>
      <c r="F719" s="87" t="s">
        <v>2440</v>
      </c>
      <c r="H719" s="87" t="s">
        <v>2422</v>
      </c>
      <c r="I719" s="87" t="s">
        <v>58</v>
      </c>
      <c r="J719" s="87" t="s">
        <v>2441</v>
      </c>
      <c r="K719" s="90">
        <v>0.0</v>
      </c>
      <c r="L719" s="92"/>
      <c r="M719" s="93"/>
      <c r="N719" s="87" t="s">
        <v>2422</v>
      </c>
      <c r="O719" s="87" t="s">
        <v>377</v>
      </c>
      <c r="P719" s="87" t="s">
        <v>372</v>
      </c>
    </row>
    <row r="720" ht="15.75" customHeight="1">
      <c r="A720" s="87" t="s">
        <v>2442</v>
      </c>
      <c r="B720" s="88">
        <v>1.22E18</v>
      </c>
      <c r="C720" s="87" t="s">
        <v>2443</v>
      </c>
      <c r="D720" s="87" t="s">
        <v>262</v>
      </c>
      <c r="E720" s="87" t="s">
        <v>270</v>
      </c>
      <c r="F720" s="87" t="s">
        <v>2443</v>
      </c>
      <c r="H720" s="87" t="s">
        <v>2422</v>
      </c>
      <c r="I720" s="87" t="s">
        <v>58</v>
      </c>
      <c r="J720" s="87" t="s">
        <v>2444</v>
      </c>
      <c r="K720" s="90">
        <v>0.0</v>
      </c>
      <c r="L720" s="92"/>
      <c r="M720" s="93"/>
      <c r="N720" s="87" t="s">
        <v>2422</v>
      </c>
      <c r="O720" s="87" t="s">
        <v>377</v>
      </c>
      <c r="P720" s="87" t="s">
        <v>372</v>
      </c>
    </row>
    <row r="721" ht="15.75" customHeight="1">
      <c r="A721" s="87" t="s">
        <v>2445</v>
      </c>
      <c r="B721" s="88">
        <v>1.22E18</v>
      </c>
      <c r="C721" s="87" t="s">
        <v>2446</v>
      </c>
      <c r="D721" s="87" t="s">
        <v>262</v>
      </c>
      <c r="E721" s="87" t="s">
        <v>267</v>
      </c>
      <c r="F721" s="87" t="s">
        <v>2446</v>
      </c>
      <c r="H721" s="87" t="s">
        <v>2422</v>
      </c>
      <c r="I721" s="87" t="s">
        <v>58</v>
      </c>
      <c r="J721" s="87" t="s">
        <v>2447</v>
      </c>
      <c r="K721" s="90">
        <v>0.0</v>
      </c>
      <c r="L721" s="92"/>
      <c r="M721" s="93"/>
      <c r="N721" s="87" t="s">
        <v>2422</v>
      </c>
      <c r="O721" s="87" t="s">
        <v>377</v>
      </c>
      <c r="P721" s="87" t="s">
        <v>372</v>
      </c>
    </row>
    <row r="722" ht="15.75" customHeight="1">
      <c r="A722" s="87" t="s">
        <v>2448</v>
      </c>
      <c r="B722" s="88">
        <v>1.22E18</v>
      </c>
      <c r="C722" s="87" t="s">
        <v>2449</v>
      </c>
      <c r="D722" s="87" t="s">
        <v>262</v>
      </c>
      <c r="E722" s="87" t="s">
        <v>270</v>
      </c>
      <c r="F722" s="87" t="s">
        <v>2449</v>
      </c>
      <c r="H722" s="87" t="s">
        <v>2422</v>
      </c>
      <c r="I722" s="87" t="s">
        <v>58</v>
      </c>
      <c r="J722" s="87" t="s">
        <v>2450</v>
      </c>
      <c r="K722" s="90">
        <v>0.0</v>
      </c>
      <c r="L722" s="92"/>
      <c r="M722" s="93"/>
      <c r="N722" s="87" t="s">
        <v>2422</v>
      </c>
      <c r="O722" s="87" t="s">
        <v>377</v>
      </c>
      <c r="P722" s="87" t="s">
        <v>372</v>
      </c>
    </row>
    <row r="723" ht="15.75" customHeight="1">
      <c r="A723" s="87" t="s">
        <v>2451</v>
      </c>
      <c r="B723" s="88">
        <v>1.22E18</v>
      </c>
      <c r="C723" s="87" t="s">
        <v>2452</v>
      </c>
      <c r="D723" s="87" t="s">
        <v>87</v>
      </c>
      <c r="E723" s="87" t="s">
        <v>88</v>
      </c>
      <c r="F723" s="87" t="s">
        <v>2452</v>
      </c>
      <c r="H723" s="87" t="s">
        <v>2422</v>
      </c>
      <c r="I723" s="87" t="s">
        <v>58</v>
      </c>
      <c r="J723" s="87" t="s">
        <v>2453</v>
      </c>
      <c r="K723" s="90">
        <v>0.0</v>
      </c>
      <c r="L723" s="92"/>
      <c r="M723" s="93"/>
      <c r="N723" s="87" t="s">
        <v>2422</v>
      </c>
      <c r="O723" s="87" t="s">
        <v>377</v>
      </c>
      <c r="P723" s="87" t="s">
        <v>372</v>
      </c>
    </row>
    <row r="724" ht="15.75" customHeight="1">
      <c r="A724" s="87" t="s">
        <v>2454</v>
      </c>
      <c r="B724" s="88">
        <v>1.22E18</v>
      </c>
      <c r="C724" s="87" t="s">
        <v>2455</v>
      </c>
      <c r="D724" s="87" t="s">
        <v>262</v>
      </c>
      <c r="E724" s="87" t="s">
        <v>270</v>
      </c>
      <c r="F724" s="118" t="s">
        <v>2455</v>
      </c>
      <c r="G724" s="119"/>
      <c r="H724" s="87" t="s">
        <v>1806</v>
      </c>
      <c r="I724" s="87" t="s">
        <v>58</v>
      </c>
      <c r="J724" s="87" t="s">
        <v>2456</v>
      </c>
      <c r="K724" s="90">
        <v>0.0</v>
      </c>
      <c r="L724" s="92"/>
      <c r="M724" s="93"/>
      <c r="N724" s="87" t="s">
        <v>1808</v>
      </c>
      <c r="O724" s="87" t="s">
        <v>377</v>
      </c>
      <c r="P724" s="87" t="s">
        <v>372</v>
      </c>
    </row>
    <row r="725" ht="15.75" customHeight="1">
      <c r="A725" s="87" t="s">
        <v>2457</v>
      </c>
      <c r="B725" s="88">
        <v>1.22E18</v>
      </c>
      <c r="C725" s="87" t="s">
        <v>2458</v>
      </c>
      <c r="D725" s="87" t="s">
        <v>262</v>
      </c>
      <c r="E725" s="87" t="s">
        <v>275</v>
      </c>
      <c r="F725" s="87" t="s">
        <v>2458</v>
      </c>
      <c r="H725" s="87" t="s">
        <v>1753</v>
      </c>
      <c r="I725" s="87" t="s">
        <v>58</v>
      </c>
      <c r="J725" s="87" t="s">
        <v>2459</v>
      </c>
      <c r="K725" s="90">
        <v>0.0</v>
      </c>
      <c r="L725" s="92"/>
      <c r="M725" s="93"/>
      <c r="N725" s="87" t="s">
        <v>1753</v>
      </c>
      <c r="O725" s="87" t="s">
        <v>377</v>
      </c>
      <c r="P725" s="87" t="s">
        <v>372</v>
      </c>
    </row>
    <row r="726" ht="15.75" customHeight="1">
      <c r="A726" s="87" t="s">
        <v>2460</v>
      </c>
      <c r="B726" s="88">
        <v>1.22E18</v>
      </c>
      <c r="C726" s="87" t="s">
        <v>2461</v>
      </c>
      <c r="D726" s="87" t="s">
        <v>262</v>
      </c>
      <c r="E726" s="87" t="s">
        <v>275</v>
      </c>
      <c r="F726" s="87" t="s">
        <v>2461</v>
      </c>
      <c r="H726" s="87" t="s">
        <v>1753</v>
      </c>
      <c r="I726" s="87" t="s">
        <v>58</v>
      </c>
      <c r="J726" s="87" t="s">
        <v>2462</v>
      </c>
      <c r="K726" s="90">
        <v>0.0</v>
      </c>
      <c r="L726" s="92"/>
      <c r="M726" s="93"/>
      <c r="N726" s="87" t="s">
        <v>1753</v>
      </c>
      <c r="O726" s="87" t="s">
        <v>377</v>
      </c>
      <c r="P726" s="87" t="s">
        <v>372</v>
      </c>
    </row>
    <row r="727" ht="15.75" customHeight="1">
      <c r="A727" s="87" t="s">
        <v>2463</v>
      </c>
      <c r="B727" s="88">
        <v>1.22E18</v>
      </c>
      <c r="C727" s="87" t="s">
        <v>2464</v>
      </c>
      <c r="D727" s="87" t="s">
        <v>262</v>
      </c>
      <c r="E727" s="87" t="s">
        <v>275</v>
      </c>
      <c r="F727" s="118" t="s">
        <v>2464</v>
      </c>
      <c r="G727" s="119"/>
      <c r="H727" s="87" t="s">
        <v>1753</v>
      </c>
      <c r="I727" s="87" t="s">
        <v>58</v>
      </c>
      <c r="J727" s="87" t="s">
        <v>2465</v>
      </c>
      <c r="K727" s="90">
        <v>0.0</v>
      </c>
      <c r="L727" s="92"/>
      <c r="M727" s="93"/>
      <c r="N727" s="87" t="s">
        <v>1753</v>
      </c>
      <c r="O727" s="87" t="s">
        <v>377</v>
      </c>
      <c r="P727" s="87" t="s">
        <v>372</v>
      </c>
    </row>
    <row r="728" ht="15.75" customHeight="1">
      <c r="A728" s="87" t="s">
        <v>2466</v>
      </c>
      <c r="B728" s="88">
        <v>1.22E18</v>
      </c>
      <c r="C728" s="87" t="s">
        <v>2467</v>
      </c>
      <c r="D728" s="87" t="s">
        <v>262</v>
      </c>
      <c r="E728" s="87" t="s">
        <v>270</v>
      </c>
      <c r="F728" s="87" t="s">
        <v>2467</v>
      </c>
      <c r="I728" s="87" t="s">
        <v>58</v>
      </c>
      <c r="J728" s="87" t="s">
        <v>2041</v>
      </c>
      <c r="K728" s="90">
        <v>0.0</v>
      </c>
      <c r="L728" s="92"/>
      <c r="M728" s="93"/>
      <c r="N728" s="87" t="s">
        <v>2468</v>
      </c>
      <c r="O728" s="87" t="s">
        <v>377</v>
      </c>
      <c r="P728" s="87" t="s">
        <v>372</v>
      </c>
    </row>
    <row r="729" ht="15.75" customHeight="1">
      <c r="A729" s="87" t="s">
        <v>2469</v>
      </c>
      <c r="B729" s="88">
        <v>1.22E18</v>
      </c>
      <c r="C729" s="87" t="s">
        <v>2470</v>
      </c>
      <c r="D729" s="87" t="s">
        <v>262</v>
      </c>
      <c r="E729" s="87" t="s">
        <v>270</v>
      </c>
      <c r="F729" s="87" t="s">
        <v>2470</v>
      </c>
      <c r="I729" s="87" t="s">
        <v>58</v>
      </c>
      <c r="J729" s="87" t="s">
        <v>2471</v>
      </c>
      <c r="K729" s="90">
        <v>0.0</v>
      </c>
      <c r="L729" s="92"/>
      <c r="M729" s="93"/>
      <c r="N729" s="87" t="s">
        <v>2468</v>
      </c>
      <c r="O729" s="87" t="s">
        <v>377</v>
      </c>
      <c r="P729" s="87" t="s">
        <v>372</v>
      </c>
    </row>
    <row r="730" ht="15.75" customHeight="1">
      <c r="A730" s="87" t="s">
        <v>2472</v>
      </c>
      <c r="B730" s="88">
        <v>1.22E18</v>
      </c>
      <c r="C730" s="87" t="s">
        <v>2473</v>
      </c>
      <c r="D730" s="87" t="s">
        <v>262</v>
      </c>
      <c r="E730" s="87" t="s">
        <v>270</v>
      </c>
      <c r="F730" s="87" t="s">
        <v>2473</v>
      </c>
      <c r="I730" s="87" t="s">
        <v>58</v>
      </c>
      <c r="J730" s="87" t="s">
        <v>2076</v>
      </c>
      <c r="K730" s="90">
        <v>0.0</v>
      </c>
      <c r="L730" s="92"/>
      <c r="M730" s="93"/>
      <c r="N730" s="93"/>
      <c r="O730" s="87" t="s">
        <v>377</v>
      </c>
      <c r="P730" s="87" t="s">
        <v>372</v>
      </c>
    </row>
    <row r="731" ht="15.75" customHeight="1">
      <c r="A731" s="87" t="s">
        <v>2474</v>
      </c>
      <c r="B731" s="88">
        <v>1.22E18</v>
      </c>
      <c r="C731" s="87" t="s">
        <v>2475</v>
      </c>
      <c r="D731" s="87" t="s">
        <v>87</v>
      </c>
      <c r="E731" s="87" t="s">
        <v>88</v>
      </c>
      <c r="F731" s="87" t="s">
        <v>373</v>
      </c>
      <c r="H731" s="87" t="s">
        <v>2476</v>
      </c>
      <c r="I731" s="87" t="s">
        <v>340</v>
      </c>
      <c r="J731" s="87" t="s">
        <v>2477</v>
      </c>
      <c r="K731" s="90">
        <v>850.0</v>
      </c>
      <c r="L731" s="92"/>
      <c r="M731" s="93"/>
      <c r="N731" s="87" t="s">
        <v>2478</v>
      </c>
      <c r="O731" s="87" t="s">
        <v>377</v>
      </c>
      <c r="P731" s="87" t="s">
        <v>372</v>
      </c>
    </row>
    <row r="732" ht="15.75" customHeight="1">
      <c r="A732" s="87" t="s">
        <v>2479</v>
      </c>
      <c r="B732" s="88">
        <v>1.22E18</v>
      </c>
      <c r="C732" s="87" t="s">
        <v>2480</v>
      </c>
      <c r="D732" s="87" t="s">
        <v>87</v>
      </c>
      <c r="E732" s="87" t="s">
        <v>228</v>
      </c>
      <c r="F732" s="87" t="s">
        <v>2480</v>
      </c>
      <c r="H732" s="87" t="s">
        <v>2481</v>
      </c>
      <c r="I732" s="87" t="s">
        <v>2010</v>
      </c>
      <c r="J732" s="87" t="s">
        <v>2482</v>
      </c>
      <c r="K732" s="90">
        <v>2.0</v>
      </c>
      <c r="L732" s="92"/>
      <c r="M732" s="93"/>
      <c r="N732" s="87" t="s">
        <v>2483</v>
      </c>
      <c r="O732" s="87" t="s">
        <v>377</v>
      </c>
      <c r="P732" s="87" t="s">
        <v>372</v>
      </c>
    </row>
    <row r="733" ht="15.75" customHeight="1">
      <c r="A733" s="87" t="s">
        <v>2484</v>
      </c>
      <c r="B733" s="88">
        <v>1.22E18</v>
      </c>
      <c r="C733" s="87" t="s">
        <v>2485</v>
      </c>
      <c r="D733" s="87" t="s">
        <v>87</v>
      </c>
      <c r="E733" s="87" t="s">
        <v>228</v>
      </c>
      <c r="F733" s="87" t="s">
        <v>2485</v>
      </c>
      <c r="H733" s="87" t="s">
        <v>2481</v>
      </c>
      <c r="I733" s="87" t="s">
        <v>2010</v>
      </c>
      <c r="J733" s="87" t="s">
        <v>2379</v>
      </c>
      <c r="K733" s="90">
        <v>0.0</v>
      </c>
      <c r="L733" s="92"/>
      <c r="M733" s="93"/>
      <c r="N733" s="87" t="s">
        <v>2483</v>
      </c>
      <c r="O733" s="87" t="s">
        <v>377</v>
      </c>
      <c r="P733" s="87" t="s">
        <v>372</v>
      </c>
    </row>
    <row r="734" ht="15.75" customHeight="1">
      <c r="A734" s="87" t="s">
        <v>2486</v>
      </c>
      <c r="B734" s="88">
        <v>1.22E18</v>
      </c>
      <c r="C734" s="87" t="s">
        <v>2487</v>
      </c>
      <c r="D734" s="87" t="s">
        <v>87</v>
      </c>
      <c r="E734" s="87" t="s">
        <v>228</v>
      </c>
      <c r="F734" s="87" t="s">
        <v>2487</v>
      </c>
      <c r="I734" s="87" t="s">
        <v>58</v>
      </c>
      <c r="J734" s="87" t="s">
        <v>2488</v>
      </c>
      <c r="K734" s="90">
        <v>0.0</v>
      </c>
      <c r="L734" s="92"/>
      <c r="M734" s="93"/>
      <c r="N734" s="93"/>
      <c r="O734" s="87" t="s">
        <v>377</v>
      </c>
      <c r="P734" s="87" t="s">
        <v>372</v>
      </c>
    </row>
    <row r="735" ht="15.75" customHeight="1">
      <c r="A735" s="87" t="s">
        <v>2489</v>
      </c>
      <c r="B735" s="88">
        <v>1.22E18</v>
      </c>
      <c r="C735" s="87" t="s">
        <v>2490</v>
      </c>
      <c r="D735" s="87" t="s">
        <v>87</v>
      </c>
      <c r="E735" s="87" t="s">
        <v>102</v>
      </c>
      <c r="F735" s="87" t="s">
        <v>2490</v>
      </c>
      <c r="H735" s="87" t="s">
        <v>2115</v>
      </c>
      <c r="I735" s="87" t="s">
        <v>103</v>
      </c>
      <c r="J735" s="87" t="s">
        <v>2491</v>
      </c>
      <c r="K735" s="90">
        <v>0.0</v>
      </c>
      <c r="L735" s="92"/>
      <c r="M735" s="93"/>
      <c r="N735" s="93"/>
      <c r="O735" s="87" t="s">
        <v>377</v>
      </c>
      <c r="P735" s="87" t="s">
        <v>372</v>
      </c>
    </row>
    <row r="736" ht="15.75" customHeight="1">
      <c r="A736" s="87" t="s">
        <v>2492</v>
      </c>
      <c r="B736" s="88">
        <v>1.22E18</v>
      </c>
      <c r="C736" s="87" t="s">
        <v>2493</v>
      </c>
      <c r="D736" s="87" t="s">
        <v>87</v>
      </c>
      <c r="E736" s="87" t="s">
        <v>102</v>
      </c>
      <c r="F736" s="87" t="s">
        <v>2493</v>
      </c>
      <c r="H736" s="87" t="s">
        <v>1729</v>
      </c>
      <c r="I736" s="87" t="s">
        <v>58</v>
      </c>
      <c r="J736" s="87" t="s">
        <v>2494</v>
      </c>
      <c r="K736" s="90">
        <v>0.0</v>
      </c>
      <c r="L736" s="92"/>
      <c r="M736" s="93"/>
      <c r="N736" s="87" t="s">
        <v>1729</v>
      </c>
      <c r="O736" s="87" t="s">
        <v>377</v>
      </c>
      <c r="P736" s="87" t="s">
        <v>372</v>
      </c>
    </row>
    <row r="737" ht="15.75" customHeight="1">
      <c r="A737" s="87" t="s">
        <v>2495</v>
      </c>
      <c r="B737" s="88">
        <v>1.22E18</v>
      </c>
      <c r="C737" s="87" t="s">
        <v>2496</v>
      </c>
      <c r="D737" s="87" t="s">
        <v>87</v>
      </c>
      <c r="E737" s="87" t="s">
        <v>102</v>
      </c>
      <c r="F737" s="87" t="s">
        <v>2496</v>
      </c>
      <c r="H737" s="87" t="s">
        <v>1729</v>
      </c>
      <c r="I737" s="87" t="s">
        <v>58</v>
      </c>
      <c r="J737" s="87" t="s">
        <v>2497</v>
      </c>
      <c r="K737" s="90">
        <v>0.0</v>
      </c>
      <c r="L737" s="92"/>
      <c r="M737" s="93"/>
      <c r="N737" s="87" t="s">
        <v>1729</v>
      </c>
      <c r="O737" s="87" t="s">
        <v>377</v>
      </c>
      <c r="P737" s="87" t="s">
        <v>372</v>
      </c>
    </row>
    <row r="738" ht="15.75" customHeight="1">
      <c r="A738" s="87" t="s">
        <v>2498</v>
      </c>
      <c r="B738" s="88">
        <v>1.22E18</v>
      </c>
      <c r="C738" s="87" t="s">
        <v>2499</v>
      </c>
      <c r="D738" s="87" t="s">
        <v>87</v>
      </c>
      <c r="E738" s="87" t="s">
        <v>241</v>
      </c>
      <c r="F738" s="87" t="s">
        <v>2499</v>
      </c>
      <c r="H738" s="87" t="s">
        <v>2500</v>
      </c>
      <c r="I738" s="87" t="s">
        <v>495</v>
      </c>
      <c r="J738" s="87" t="s">
        <v>1978</v>
      </c>
      <c r="K738" s="90">
        <v>50.0</v>
      </c>
      <c r="L738" s="92"/>
      <c r="M738" s="93"/>
      <c r="N738" s="87" t="s">
        <v>2500</v>
      </c>
      <c r="O738" s="87" t="s">
        <v>377</v>
      </c>
      <c r="P738" s="87" t="s">
        <v>372</v>
      </c>
    </row>
    <row r="739" ht="15.75" customHeight="1">
      <c r="A739" s="87" t="s">
        <v>2501</v>
      </c>
      <c r="B739" s="88">
        <v>1.22E18</v>
      </c>
      <c r="C739" s="87" t="s">
        <v>2502</v>
      </c>
      <c r="D739" s="87" t="s">
        <v>87</v>
      </c>
      <c r="E739" s="87" t="s">
        <v>233</v>
      </c>
      <c r="F739" s="87" t="s">
        <v>379</v>
      </c>
      <c r="G739" s="93"/>
      <c r="H739" s="87" t="s">
        <v>2503</v>
      </c>
      <c r="J739" s="87" t="s">
        <v>2504</v>
      </c>
      <c r="K739" s="90">
        <v>0.0</v>
      </c>
      <c r="L739" s="92"/>
      <c r="M739" s="93"/>
      <c r="N739" s="87" t="s">
        <v>588</v>
      </c>
      <c r="O739" s="87" t="s">
        <v>377</v>
      </c>
      <c r="P739" s="87" t="s">
        <v>372</v>
      </c>
    </row>
    <row r="740" ht="15.75" customHeight="1">
      <c r="A740" s="87" t="s">
        <v>2505</v>
      </c>
      <c r="B740" s="88">
        <v>1.22E18</v>
      </c>
      <c r="C740" s="87" t="s">
        <v>2506</v>
      </c>
      <c r="D740" s="87" t="s">
        <v>262</v>
      </c>
      <c r="E740" s="87" t="s">
        <v>270</v>
      </c>
      <c r="F740" s="87" t="s">
        <v>2506</v>
      </c>
      <c r="H740" s="87" t="s">
        <v>2507</v>
      </c>
      <c r="I740" s="87" t="s">
        <v>58</v>
      </c>
      <c r="J740" s="87" t="s">
        <v>2508</v>
      </c>
      <c r="K740" s="90">
        <v>0.0</v>
      </c>
      <c r="L740" s="92"/>
      <c r="M740" s="93"/>
      <c r="N740" s="87" t="s">
        <v>1772</v>
      </c>
      <c r="O740" s="87" t="s">
        <v>377</v>
      </c>
      <c r="P740" s="87" t="s">
        <v>372</v>
      </c>
    </row>
    <row r="741" ht="15.75" customHeight="1">
      <c r="A741" s="87" t="s">
        <v>2509</v>
      </c>
      <c r="B741" s="88">
        <v>1.22E18</v>
      </c>
      <c r="C741" s="87" t="s">
        <v>53</v>
      </c>
      <c r="D741" s="87" t="s">
        <v>262</v>
      </c>
      <c r="E741" s="87" t="s">
        <v>267</v>
      </c>
      <c r="F741" s="87" t="s">
        <v>1749</v>
      </c>
      <c r="H741" s="93"/>
      <c r="I741" s="87" t="s">
        <v>58</v>
      </c>
      <c r="J741" s="87" t="s">
        <v>2510</v>
      </c>
      <c r="K741" s="90">
        <v>0.0</v>
      </c>
      <c r="L741" s="92"/>
      <c r="M741" s="93"/>
      <c r="N741" s="87" t="s">
        <v>1772</v>
      </c>
      <c r="O741" s="87" t="s">
        <v>377</v>
      </c>
      <c r="P741" s="87" t="s">
        <v>372</v>
      </c>
    </row>
    <row r="742" ht="15.75" customHeight="1">
      <c r="A742" s="87" t="s">
        <v>2511</v>
      </c>
      <c r="B742" s="88">
        <v>1.22E18</v>
      </c>
      <c r="C742" s="87" t="s">
        <v>2512</v>
      </c>
      <c r="D742" s="87" t="s">
        <v>87</v>
      </c>
      <c r="E742" s="87" t="s">
        <v>102</v>
      </c>
      <c r="F742" s="87" t="s">
        <v>1763</v>
      </c>
      <c r="H742" s="87" t="s">
        <v>369</v>
      </c>
      <c r="I742" s="93"/>
      <c r="J742" s="87" t="s">
        <v>2513</v>
      </c>
      <c r="K742" s="90">
        <v>56.0</v>
      </c>
      <c r="L742" s="92"/>
      <c r="M742" s="93"/>
      <c r="N742" s="87" t="s">
        <v>390</v>
      </c>
      <c r="O742" s="87" t="s">
        <v>377</v>
      </c>
      <c r="P742" s="87" t="s">
        <v>372</v>
      </c>
    </row>
    <row r="743" ht="15.75" customHeight="1">
      <c r="A743" s="87" t="s">
        <v>2514</v>
      </c>
      <c r="B743" s="88">
        <v>1.22E18</v>
      </c>
      <c r="C743" s="87" t="s">
        <v>2515</v>
      </c>
      <c r="D743" s="87" t="s">
        <v>57</v>
      </c>
      <c r="E743" s="87" t="s">
        <v>281</v>
      </c>
      <c r="F743" s="87" t="s">
        <v>2515</v>
      </c>
      <c r="I743" s="87" t="s">
        <v>58</v>
      </c>
      <c r="J743" s="87" t="s">
        <v>2516</v>
      </c>
      <c r="K743" s="90">
        <v>0.0</v>
      </c>
      <c r="L743" s="92"/>
      <c r="M743" s="93"/>
      <c r="N743" s="87" t="s">
        <v>1772</v>
      </c>
      <c r="O743" s="87" t="s">
        <v>377</v>
      </c>
      <c r="P743" s="87" t="s">
        <v>372</v>
      </c>
    </row>
    <row r="744" ht="15.75" customHeight="1">
      <c r="A744" s="87" t="s">
        <v>2517</v>
      </c>
      <c r="B744" s="88">
        <v>1.22E18</v>
      </c>
      <c r="C744" s="87" t="s">
        <v>2518</v>
      </c>
      <c r="D744" s="87" t="s">
        <v>57</v>
      </c>
      <c r="E744" s="87" t="s">
        <v>281</v>
      </c>
      <c r="F744" s="87" t="s">
        <v>2518</v>
      </c>
      <c r="I744" s="87" t="s">
        <v>58</v>
      </c>
      <c r="J744" s="87" t="s">
        <v>2519</v>
      </c>
      <c r="K744" s="90">
        <v>0.0</v>
      </c>
      <c r="L744" s="92"/>
      <c r="M744" s="93"/>
      <c r="N744" s="87" t="s">
        <v>1772</v>
      </c>
      <c r="O744" s="87" t="s">
        <v>377</v>
      </c>
      <c r="P744" s="87" t="s">
        <v>372</v>
      </c>
    </row>
    <row r="745" ht="15.75" customHeight="1">
      <c r="A745" s="87" t="s">
        <v>2520</v>
      </c>
      <c r="B745" s="88">
        <v>1.22E18</v>
      </c>
      <c r="C745" s="87" t="s">
        <v>2521</v>
      </c>
      <c r="D745" s="87" t="s">
        <v>87</v>
      </c>
      <c r="E745" s="87" t="s">
        <v>88</v>
      </c>
      <c r="F745" s="118" t="s">
        <v>2521</v>
      </c>
      <c r="G745" s="119"/>
      <c r="H745" s="87" t="s">
        <v>2522</v>
      </c>
      <c r="I745" s="87" t="s">
        <v>58</v>
      </c>
      <c r="J745" s="87" t="s">
        <v>2523</v>
      </c>
      <c r="K745" s="90">
        <v>0.0</v>
      </c>
      <c r="L745" s="92"/>
      <c r="M745" s="93"/>
      <c r="N745" s="87" t="s">
        <v>1772</v>
      </c>
      <c r="O745" s="87" t="s">
        <v>377</v>
      </c>
      <c r="P745" s="87" t="s">
        <v>372</v>
      </c>
    </row>
    <row r="746" ht="15.75" customHeight="1">
      <c r="A746" s="87" t="s">
        <v>2524</v>
      </c>
      <c r="B746" s="88">
        <v>1.22E18</v>
      </c>
      <c r="C746" s="87" t="s">
        <v>2525</v>
      </c>
      <c r="D746" s="87" t="s">
        <v>57</v>
      </c>
      <c r="E746" s="87" t="s">
        <v>281</v>
      </c>
      <c r="F746" s="118" t="s">
        <v>2525</v>
      </c>
      <c r="G746" s="130"/>
      <c r="H746" s="119"/>
      <c r="I746" s="87" t="s">
        <v>58</v>
      </c>
      <c r="J746" s="87" t="s">
        <v>2526</v>
      </c>
      <c r="K746" s="90">
        <v>0.0</v>
      </c>
      <c r="L746" s="92"/>
      <c r="M746" s="93"/>
      <c r="N746" s="87" t="s">
        <v>1772</v>
      </c>
      <c r="O746" s="87" t="s">
        <v>377</v>
      </c>
      <c r="P746" s="87" t="s">
        <v>372</v>
      </c>
    </row>
    <row r="747" ht="15.75" customHeight="1">
      <c r="A747" s="87" t="s">
        <v>2527</v>
      </c>
      <c r="B747" s="88">
        <v>1.22E18</v>
      </c>
      <c r="C747" s="87" t="s">
        <v>2528</v>
      </c>
      <c r="D747" s="87" t="s">
        <v>87</v>
      </c>
      <c r="E747" s="87" t="s">
        <v>88</v>
      </c>
      <c r="F747" s="87" t="s">
        <v>373</v>
      </c>
      <c r="H747" s="87" t="s">
        <v>980</v>
      </c>
      <c r="I747" s="87" t="s">
        <v>340</v>
      </c>
      <c r="J747" s="87" t="s">
        <v>2529</v>
      </c>
      <c r="K747" s="90">
        <v>0.0</v>
      </c>
      <c r="L747" s="92"/>
      <c r="M747" s="93"/>
      <c r="N747" s="93"/>
      <c r="O747" s="87" t="s">
        <v>377</v>
      </c>
      <c r="P747" s="87" t="s">
        <v>372</v>
      </c>
    </row>
    <row r="748" ht="15.75" customHeight="1">
      <c r="A748" s="87" t="s">
        <v>2530</v>
      </c>
      <c r="B748" s="88">
        <v>1.22E18</v>
      </c>
      <c r="C748" s="87" t="s">
        <v>2531</v>
      </c>
      <c r="D748" s="87" t="s">
        <v>87</v>
      </c>
      <c r="E748" s="87" t="s">
        <v>88</v>
      </c>
      <c r="F748" s="87" t="s">
        <v>861</v>
      </c>
      <c r="G748" s="93"/>
      <c r="H748" s="87" t="s">
        <v>369</v>
      </c>
      <c r="I748" s="87" t="s">
        <v>1923</v>
      </c>
      <c r="J748" s="87" t="s">
        <v>2532</v>
      </c>
      <c r="K748" s="90">
        <v>300.0</v>
      </c>
      <c r="L748" s="92"/>
      <c r="M748" s="93"/>
      <c r="N748" s="87" t="s">
        <v>390</v>
      </c>
      <c r="O748" s="87" t="s">
        <v>377</v>
      </c>
      <c r="P748" s="87" t="s">
        <v>372</v>
      </c>
    </row>
    <row r="749" ht="15.75" customHeight="1">
      <c r="A749" s="87" t="s">
        <v>2533</v>
      </c>
      <c r="B749" s="88">
        <v>1.22E18</v>
      </c>
      <c r="C749" s="87" t="s">
        <v>2534</v>
      </c>
      <c r="D749" s="87" t="s">
        <v>87</v>
      </c>
      <c r="E749" s="87" t="s">
        <v>228</v>
      </c>
      <c r="F749" s="118" t="s">
        <v>2534</v>
      </c>
      <c r="G749" s="130"/>
      <c r="H749" s="119"/>
      <c r="I749" s="87" t="s">
        <v>340</v>
      </c>
      <c r="J749" s="87" t="s">
        <v>2535</v>
      </c>
      <c r="K749" s="90">
        <v>200.0</v>
      </c>
      <c r="L749" s="92"/>
      <c r="M749" s="93"/>
      <c r="N749" s="87" t="s">
        <v>2536</v>
      </c>
      <c r="O749" s="87" t="s">
        <v>377</v>
      </c>
      <c r="P749" s="87" t="s">
        <v>372</v>
      </c>
    </row>
    <row r="750" ht="15.75" customHeight="1">
      <c r="A750" s="87" t="s">
        <v>2537</v>
      </c>
      <c r="B750" s="88">
        <v>1.22E18</v>
      </c>
      <c r="C750" s="87" t="s">
        <v>2538</v>
      </c>
      <c r="D750" s="87" t="s">
        <v>262</v>
      </c>
      <c r="E750" s="87" t="s">
        <v>267</v>
      </c>
      <c r="F750" s="118" t="s">
        <v>2538</v>
      </c>
      <c r="G750" s="119"/>
      <c r="H750" s="87" t="s">
        <v>2539</v>
      </c>
      <c r="I750" s="87" t="s">
        <v>1742</v>
      </c>
      <c r="J750" s="87" t="s">
        <v>2540</v>
      </c>
      <c r="K750" s="90">
        <v>0.0</v>
      </c>
      <c r="L750" s="92"/>
      <c r="M750" s="93"/>
      <c r="N750" s="87" t="s">
        <v>2541</v>
      </c>
      <c r="O750" s="87" t="s">
        <v>377</v>
      </c>
      <c r="P750" s="87" t="s">
        <v>372</v>
      </c>
    </row>
    <row r="751" ht="15.75" customHeight="1">
      <c r="A751" s="87" t="s">
        <v>2542</v>
      </c>
      <c r="B751" s="88">
        <v>1.22E18</v>
      </c>
      <c r="C751" s="87" t="s">
        <v>2543</v>
      </c>
      <c r="D751" s="87" t="s">
        <v>262</v>
      </c>
      <c r="E751" s="87" t="s">
        <v>267</v>
      </c>
      <c r="F751" s="118" t="s">
        <v>2543</v>
      </c>
      <c r="G751" s="119"/>
      <c r="H751" s="87" t="s">
        <v>2539</v>
      </c>
      <c r="I751" s="87" t="s">
        <v>1742</v>
      </c>
      <c r="J751" s="87" t="s">
        <v>2544</v>
      </c>
      <c r="K751" s="90">
        <v>0.0</v>
      </c>
      <c r="L751" s="92"/>
      <c r="M751" s="93"/>
      <c r="N751" s="87" t="s">
        <v>2541</v>
      </c>
      <c r="O751" s="87" t="s">
        <v>377</v>
      </c>
      <c r="P751" s="87" t="s">
        <v>372</v>
      </c>
    </row>
    <row r="752" ht="15.75" customHeight="1">
      <c r="A752" s="87" t="s">
        <v>2545</v>
      </c>
      <c r="B752" s="88">
        <v>1.22E18</v>
      </c>
      <c r="C752" s="87" t="s">
        <v>2546</v>
      </c>
      <c r="D752" s="87" t="s">
        <v>87</v>
      </c>
      <c r="E752" s="87" t="s">
        <v>88</v>
      </c>
      <c r="F752" s="118" t="s">
        <v>2546</v>
      </c>
      <c r="G752" s="130"/>
      <c r="H752" s="119"/>
      <c r="I752" s="87" t="s">
        <v>1742</v>
      </c>
      <c r="J752" s="87" t="s">
        <v>2547</v>
      </c>
      <c r="K752" s="90">
        <v>0.0</v>
      </c>
      <c r="L752" s="92"/>
      <c r="M752" s="93"/>
      <c r="N752" s="87" t="s">
        <v>2541</v>
      </c>
      <c r="O752" s="87" t="s">
        <v>377</v>
      </c>
      <c r="P752" s="87" t="s">
        <v>372</v>
      </c>
    </row>
    <row r="753" ht="15.75" customHeight="1">
      <c r="A753" s="87" t="s">
        <v>2548</v>
      </c>
      <c r="B753" s="88">
        <v>1.22E18</v>
      </c>
      <c r="C753" s="87" t="s">
        <v>2549</v>
      </c>
      <c r="D753" s="87" t="s">
        <v>262</v>
      </c>
      <c r="E753" s="87" t="s">
        <v>267</v>
      </c>
      <c r="F753" s="118" t="s">
        <v>2549</v>
      </c>
      <c r="G753" s="119"/>
      <c r="H753" s="87" t="s">
        <v>2539</v>
      </c>
      <c r="I753" s="87" t="s">
        <v>1742</v>
      </c>
      <c r="J753" s="87" t="s">
        <v>2550</v>
      </c>
      <c r="K753" s="90">
        <v>0.0</v>
      </c>
      <c r="L753" s="92"/>
      <c r="M753" s="93"/>
      <c r="N753" s="87" t="s">
        <v>2541</v>
      </c>
      <c r="O753" s="87" t="s">
        <v>377</v>
      </c>
      <c r="P753" s="87" t="s">
        <v>372</v>
      </c>
    </row>
    <row r="754" ht="15.75" customHeight="1">
      <c r="A754" s="87" t="s">
        <v>2551</v>
      </c>
      <c r="B754" s="88">
        <v>1.22E18</v>
      </c>
      <c r="C754" s="87" t="s">
        <v>2552</v>
      </c>
      <c r="D754" s="87" t="s">
        <v>262</v>
      </c>
      <c r="E754" s="87" t="s">
        <v>267</v>
      </c>
      <c r="F754" s="118" t="s">
        <v>2552</v>
      </c>
      <c r="G754" s="119"/>
      <c r="H754" s="87" t="s">
        <v>2539</v>
      </c>
      <c r="I754" s="87" t="s">
        <v>1742</v>
      </c>
      <c r="J754" s="87" t="s">
        <v>2553</v>
      </c>
      <c r="K754" s="90">
        <v>0.0</v>
      </c>
      <c r="L754" s="92"/>
      <c r="M754" s="93"/>
      <c r="N754" s="87" t="s">
        <v>2541</v>
      </c>
      <c r="O754" s="87" t="s">
        <v>377</v>
      </c>
      <c r="P754" s="87" t="s">
        <v>372</v>
      </c>
    </row>
    <row r="755" ht="15.75" customHeight="1">
      <c r="A755" s="87" t="s">
        <v>2554</v>
      </c>
      <c r="B755" s="88">
        <v>1.22E18</v>
      </c>
      <c r="C755" s="87" t="s">
        <v>2555</v>
      </c>
      <c r="D755" s="87" t="s">
        <v>87</v>
      </c>
      <c r="E755" s="87" t="s">
        <v>102</v>
      </c>
      <c r="F755" s="87" t="s">
        <v>2555</v>
      </c>
      <c r="H755" s="87" t="s">
        <v>1729</v>
      </c>
      <c r="I755" s="87" t="s">
        <v>58</v>
      </c>
      <c r="J755" s="87" t="s">
        <v>2030</v>
      </c>
      <c r="K755" s="90">
        <v>0.0</v>
      </c>
      <c r="L755" s="92"/>
      <c r="M755" s="93"/>
      <c r="N755" s="87" t="s">
        <v>1729</v>
      </c>
      <c r="O755" s="87" t="s">
        <v>377</v>
      </c>
      <c r="P755" s="87" t="s">
        <v>372</v>
      </c>
    </row>
    <row r="756" ht="15.75" customHeight="1">
      <c r="A756" s="87" t="s">
        <v>2556</v>
      </c>
      <c r="B756" s="88">
        <v>1.22E18</v>
      </c>
      <c r="C756" s="87" t="s">
        <v>2557</v>
      </c>
      <c r="D756" s="87" t="s">
        <v>87</v>
      </c>
      <c r="E756" s="87" t="s">
        <v>102</v>
      </c>
      <c r="F756" s="118" t="s">
        <v>2557</v>
      </c>
      <c r="G756" s="119"/>
      <c r="H756" s="87" t="s">
        <v>1729</v>
      </c>
      <c r="I756" s="87" t="s">
        <v>58</v>
      </c>
      <c r="J756" s="87" t="s">
        <v>2558</v>
      </c>
      <c r="K756" s="90">
        <v>0.0</v>
      </c>
      <c r="L756" s="92"/>
      <c r="M756" s="93"/>
      <c r="N756" s="87" t="s">
        <v>1729</v>
      </c>
      <c r="O756" s="87" t="s">
        <v>377</v>
      </c>
      <c r="P756" s="87" t="s">
        <v>372</v>
      </c>
    </row>
    <row r="757" ht="15.75" customHeight="1">
      <c r="A757" s="87" t="s">
        <v>2559</v>
      </c>
      <c r="B757" s="88">
        <v>1.22E18</v>
      </c>
      <c r="C757" s="87" t="s">
        <v>2560</v>
      </c>
      <c r="D757" s="87" t="s">
        <v>87</v>
      </c>
      <c r="E757" s="87" t="s">
        <v>102</v>
      </c>
      <c r="F757" s="118" t="s">
        <v>2560</v>
      </c>
      <c r="G757" s="119"/>
      <c r="H757" s="87" t="s">
        <v>1729</v>
      </c>
      <c r="I757" s="87" t="s">
        <v>58</v>
      </c>
      <c r="J757" s="87" t="s">
        <v>2561</v>
      </c>
      <c r="K757" s="90">
        <v>0.0</v>
      </c>
      <c r="L757" s="92"/>
      <c r="M757" s="93"/>
      <c r="N757" s="87" t="s">
        <v>1729</v>
      </c>
      <c r="O757" s="87" t="s">
        <v>377</v>
      </c>
      <c r="P757" s="87" t="s">
        <v>372</v>
      </c>
    </row>
    <row r="758" ht="15.75" customHeight="1">
      <c r="A758" s="87" t="s">
        <v>2562</v>
      </c>
      <c r="B758" s="88">
        <v>1.22E18</v>
      </c>
      <c r="C758" s="87" t="s">
        <v>2563</v>
      </c>
      <c r="D758" s="87" t="s">
        <v>262</v>
      </c>
      <c r="E758" s="87" t="s">
        <v>278</v>
      </c>
      <c r="F758" s="87" t="s">
        <v>2563</v>
      </c>
      <c r="I758" s="87" t="s">
        <v>103</v>
      </c>
      <c r="J758" s="87" t="s">
        <v>2564</v>
      </c>
      <c r="L758" s="92"/>
      <c r="M758" s="93"/>
      <c r="N758" s="93"/>
      <c r="O758" s="87" t="s">
        <v>377</v>
      </c>
      <c r="P758" s="87" t="s">
        <v>2565</v>
      </c>
    </row>
    <row r="759" ht="15.75" customHeight="1">
      <c r="A759" s="87" t="s">
        <v>2566</v>
      </c>
      <c r="B759" s="88">
        <v>1.22E18</v>
      </c>
      <c r="C759" s="87" t="s">
        <v>2567</v>
      </c>
      <c r="D759" s="87" t="s">
        <v>262</v>
      </c>
      <c r="E759" s="87" t="s">
        <v>278</v>
      </c>
      <c r="F759" s="87" t="s">
        <v>2567</v>
      </c>
      <c r="I759" s="87" t="s">
        <v>103</v>
      </c>
      <c r="J759" s="87" t="s">
        <v>2568</v>
      </c>
      <c r="L759" s="92"/>
      <c r="M759" s="93"/>
      <c r="N759" s="93"/>
      <c r="O759" s="87" t="s">
        <v>377</v>
      </c>
      <c r="P759" s="87" t="s">
        <v>2565</v>
      </c>
    </row>
    <row r="760" ht="15.75" customHeight="1">
      <c r="A760" s="87" t="s">
        <v>2569</v>
      </c>
      <c r="B760" s="88">
        <v>1.22E18</v>
      </c>
      <c r="C760" s="87" t="s">
        <v>2570</v>
      </c>
      <c r="D760" s="87" t="s">
        <v>87</v>
      </c>
      <c r="E760" s="87" t="s">
        <v>102</v>
      </c>
      <c r="F760" s="87" t="s">
        <v>1763</v>
      </c>
      <c r="H760" s="87" t="s">
        <v>570</v>
      </c>
      <c r="I760" s="93"/>
      <c r="J760" s="87" t="s">
        <v>2571</v>
      </c>
      <c r="K760" s="90">
        <v>20.0</v>
      </c>
      <c r="L760" s="92"/>
      <c r="M760" s="93"/>
      <c r="N760" s="87" t="s">
        <v>2572</v>
      </c>
      <c r="O760" s="87" t="s">
        <v>377</v>
      </c>
      <c r="P760" s="87" t="s">
        <v>372</v>
      </c>
    </row>
    <row r="761" ht="15.75" customHeight="1">
      <c r="A761" s="87" t="s">
        <v>2573</v>
      </c>
      <c r="B761" s="88">
        <v>1.22E18</v>
      </c>
      <c r="C761" s="87" t="s">
        <v>2574</v>
      </c>
      <c r="D761" s="87" t="s">
        <v>87</v>
      </c>
      <c r="E761" s="87" t="s">
        <v>102</v>
      </c>
      <c r="F761" s="87" t="s">
        <v>2574</v>
      </c>
      <c r="G761" s="93"/>
      <c r="H761" s="93"/>
      <c r="I761" s="87" t="s">
        <v>2333</v>
      </c>
      <c r="J761" s="87" t="s">
        <v>2575</v>
      </c>
      <c r="K761" s="90">
        <v>11.0</v>
      </c>
      <c r="L761" s="92"/>
      <c r="M761" s="93"/>
      <c r="N761" s="87" t="s">
        <v>2576</v>
      </c>
      <c r="O761" s="87" t="s">
        <v>377</v>
      </c>
      <c r="P761" s="87" t="s">
        <v>372</v>
      </c>
    </row>
    <row r="762" ht="15.75" customHeight="1">
      <c r="A762" s="87" t="s">
        <v>453</v>
      </c>
      <c r="B762" s="88">
        <v>1.22E18</v>
      </c>
      <c r="C762" s="87" t="s">
        <v>455</v>
      </c>
      <c r="D762" s="87" t="s">
        <v>87</v>
      </c>
      <c r="E762" s="87" t="s">
        <v>102</v>
      </c>
      <c r="F762" s="87" t="s">
        <v>455</v>
      </c>
      <c r="H762" s="93"/>
      <c r="I762" s="87" t="s">
        <v>457</v>
      </c>
      <c r="J762" s="87" t="s">
        <v>2041</v>
      </c>
      <c r="K762" s="90">
        <v>10.0</v>
      </c>
      <c r="L762" s="92"/>
      <c r="M762" s="93"/>
      <c r="N762" s="87" t="s">
        <v>2577</v>
      </c>
      <c r="O762" s="87" t="s">
        <v>377</v>
      </c>
      <c r="P762" s="87" t="s">
        <v>372</v>
      </c>
    </row>
    <row r="763" ht="15.75" customHeight="1">
      <c r="A763" s="87" t="s">
        <v>2578</v>
      </c>
      <c r="B763" s="88">
        <v>1.22E18</v>
      </c>
      <c r="C763" s="87" t="s">
        <v>2579</v>
      </c>
      <c r="D763" s="87" t="s">
        <v>87</v>
      </c>
      <c r="E763" s="87" t="s">
        <v>88</v>
      </c>
      <c r="F763" s="87" t="s">
        <v>2579</v>
      </c>
      <c r="I763" s="87" t="s">
        <v>457</v>
      </c>
      <c r="J763" s="87" t="s">
        <v>880</v>
      </c>
      <c r="K763" s="90">
        <v>0.0</v>
      </c>
      <c r="L763" s="92"/>
      <c r="M763" s="93"/>
      <c r="N763" s="87" t="s">
        <v>2580</v>
      </c>
      <c r="O763" s="87" t="s">
        <v>377</v>
      </c>
      <c r="P763" s="87" t="s">
        <v>372</v>
      </c>
    </row>
    <row r="764" ht="15.75" customHeight="1">
      <c r="A764" s="87" t="s">
        <v>2581</v>
      </c>
      <c r="B764" s="88">
        <v>1.22E18</v>
      </c>
      <c r="C764" s="87" t="s">
        <v>2582</v>
      </c>
      <c r="D764" s="87" t="s">
        <v>87</v>
      </c>
      <c r="E764" s="87" t="s">
        <v>88</v>
      </c>
      <c r="F764" s="118" t="s">
        <v>2582</v>
      </c>
      <c r="G764" s="119"/>
      <c r="H764" s="87" t="s">
        <v>1906</v>
      </c>
      <c r="I764" s="87" t="s">
        <v>103</v>
      </c>
      <c r="J764" s="87" t="s">
        <v>1907</v>
      </c>
      <c r="K764" s="90">
        <v>0.0</v>
      </c>
      <c r="L764" s="92"/>
      <c r="M764" s="93"/>
      <c r="N764" s="87" t="s">
        <v>1906</v>
      </c>
      <c r="O764" s="87" t="s">
        <v>377</v>
      </c>
      <c r="P764" s="87" t="s">
        <v>372</v>
      </c>
    </row>
    <row r="765" ht="15.75" customHeight="1">
      <c r="A765" s="87" t="s">
        <v>2583</v>
      </c>
      <c r="B765" s="88">
        <v>1.22E18</v>
      </c>
      <c r="C765" s="87" t="s">
        <v>2584</v>
      </c>
      <c r="D765" s="87" t="s">
        <v>87</v>
      </c>
      <c r="E765" s="87" t="s">
        <v>102</v>
      </c>
      <c r="F765" s="118" t="s">
        <v>2584</v>
      </c>
      <c r="G765" s="119"/>
      <c r="H765" s="87" t="s">
        <v>1729</v>
      </c>
      <c r="I765" s="87" t="s">
        <v>58</v>
      </c>
      <c r="J765" s="87" t="s">
        <v>2585</v>
      </c>
      <c r="K765" s="90">
        <v>0.0</v>
      </c>
      <c r="L765" s="92"/>
      <c r="M765" s="93"/>
      <c r="N765" s="87" t="s">
        <v>1729</v>
      </c>
      <c r="O765" s="87" t="s">
        <v>377</v>
      </c>
      <c r="P765" s="87" t="s">
        <v>372</v>
      </c>
    </row>
    <row r="766" ht="15.75" customHeight="1">
      <c r="A766" s="87" t="s">
        <v>2586</v>
      </c>
      <c r="B766" s="88">
        <v>1.22E18</v>
      </c>
      <c r="C766" s="87" t="s">
        <v>2587</v>
      </c>
      <c r="D766" s="87" t="s">
        <v>87</v>
      </c>
      <c r="E766" s="87" t="s">
        <v>102</v>
      </c>
      <c r="F766" s="118" t="s">
        <v>2587</v>
      </c>
      <c r="G766" s="119"/>
      <c r="H766" s="87" t="s">
        <v>1729</v>
      </c>
      <c r="I766" s="87" t="s">
        <v>1742</v>
      </c>
      <c r="J766" s="87" t="s">
        <v>2588</v>
      </c>
      <c r="K766" s="90">
        <v>0.0</v>
      </c>
      <c r="L766" s="92"/>
      <c r="M766" s="93"/>
      <c r="N766" s="87" t="s">
        <v>1729</v>
      </c>
      <c r="O766" s="87" t="s">
        <v>377</v>
      </c>
      <c r="P766" s="87" t="s">
        <v>372</v>
      </c>
    </row>
    <row r="767" ht="15.75" customHeight="1">
      <c r="A767" s="87" t="s">
        <v>2589</v>
      </c>
      <c r="B767" s="88">
        <v>1.22E18</v>
      </c>
      <c r="C767" s="87" t="s">
        <v>2590</v>
      </c>
      <c r="D767" s="87" t="s">
        <v>87</v>
      </c>
      <c r="E767" s="87" t="s">
        <v>241</v>
      </c>
      <c r="F767" s="87" t="s">
        <v>861</v>
      </c>
      <c r="G767" s="93"/>
      <c r="H767" s="87" t="s">
        <v>2591</v>
      </c>
      <c r="I767" s="87" t="s">
        <v>1742</v>
      </c>
      <c r="J767" s="87" t="s">
        <v>2592</v>
      </c>
      <c r="K767" s="90">
        <v>0.0</v>
      </c>
      <c r="L767" s="92"/>
      <c r="M767" s="87" t="s">
        <v>1883</v>
      </c>
      <c r="O767" s="87" t="s">
        <v>377</v>
      </c>
      <c r="P767" s="87" t="s">
        <v>372</v>
      </c>
    </row>
    <row r="768" ht="15.75" customHeight="1">
      <c r="A768" s="87" t="s">
        <v>2593</v>
      </c>
      <c r="B768" s="88">
        <v>1.22E18</v>
      </c>
      <c r="C768" s="87" t="s">
        <v>2594</v>
      </c>
      <c r="D768" s="87" t="s">
        <v>87</v>
      </c>
      <c r="E768" s="87" t="s">
        <v>241</v>
      </c>
      <c r="F768" s="87" t="s">
        <v>861</v>
      </c>
      <c r="G768" s="93"/>
      <c r="H768" s="87" t="s">
        <v>2591</v>
      </c>
      <c r="I768" s="87" t="s">
        <v>1742</v>
      </c>
      <c r="J768" s="87" t="s">
        <v>2595</v>
      </c>
      <c r="K768" s="90">
        <v>0.0</v>
      </c>
      <c r="L768" s="92"/>
      <c r="M768" s="87" t="s">
        <v>1883</v>
      </c>
      <c r="O768" s="87" t="s">
        <v>377</v>
      </c>
      <c r="P768" s="87" t="s">
        <v>372</v>
      </c>
    </row>
    <row r="769" ht="15.75" customHeight="1">
      <c r="A769" s="87" t="s">
        <v>2596</v>
      </c>
      <c r="B769" s="88">
        <v>1.22E18</v>
      </c>
      <c r="C769" s="87" t="s">
        <v>2597</v>
      </c>
      <c r="D769" s="87" t="s">
        <v>87</v>
      </c>
      <c r="E769" s="87" t="s">
        <v>88</v>
      </c>
      <c r="F769" s="118" t="s">
        <v>2597</v>
      </c>
      <c r="G769" s="130"/>
      <c r="H769" s="119"/>
      <c r="I769" s="87" t="s">
        <v>58</v>
      </c>
      <c r="J769" s="87" t="s">
        <v>2598</v>
      </c>
      <c r="K769" s="90">
        <v>0.0</v>
      </c>
      <c r="L769" s="92"/>
      <c r="M769" s="93"/>
      <c r="N769" s="87" t="s">
        <v>1772</v>
      </c>
      <c r="O769" s="87" t="s">
        <v>377</v>
      </c>
      <c r="P769" s="87" t="s">
        <v>372</v>
      </c>
    </row>
    <row r="770" ht="15.75" customHeight="1">
      <c r="A770" s="87" t="s">
        <v>2599</v>
      </c>
      <c r="B770" s="88">
        <v>1.22E18</v>
      </c>
      <c r="C770" s="87" t="s">
        <v>2600</v>
      </c>
      <c r="D770" s="87" t="s">
        <v>262</v>
      </c>
      <c r="E770" s="87" t="s">
        <v>278</v>
      </c>
      <c r="F770" s="118" t="s">
        <v>2600</v>
      </c>
      <c r="G770" s="130"/>
      <c r="H770" s="119"/>
      <c r="I770" s="87" t="s">
        <v>103</v>
      </c>
      <c r="J770" s="87" t="s">
        <v>2601</v>
      </c>
      <c r="L770" s="92"/>
      <c r="M770" s="93"/>
      <c r="N770" s="93"/>
      <c r="O770" s="87" t="s">
        <v>377</v>
      </c>
      <c r="P770" s="87" t="s">
        <v>2565</v>
      </c>
    </row>
    <row r="771" ht="15.75" customHeight="1">
      <c r="A771" s="87" t="s">
        <v>2602</v>
      </c>
      <c r="B771" s="88">
        <v>1.22E18</v>
      </c>
      <c r="C771" s="87" t="s">
        <v>2603</v>
      </c>
      <c r="D771" s="87" t="s">
        <v>56</v>
      </c>
      <c r="E771" s="87" t="s">
        <v>154</v>
      </c>
      <c r="F771" s="118" t="s">
        <v>2603</v>
      </c>
      <c r="G771" s="119"/>
      <c r="H771" s="87" t="s">
        <v>570</v>
      </c>
      <c r="I771" s="87" t="s">
        <v>58</v>
      </c>
      <c r="J771" s="87" t="s">
        <v>2604</v>
      </c>
      <c r="K771" s="90">
        <v>0.0</v>
      </c>
      <c r="L771" s="92"/>
      <c r="M771" s="93"/>
      <c r="N771" s="87" t="s">
        <v>2572</v>
      </c>
      <c r="O771" s="87" t="s">
        <v>377</v>
      </c>
      <c r="P771" s="87" t="s">
        <v>372</v>
      </c>
    </row>
    <row r="772" ht="15.75" customHeight="1">
      <c r="A772" s="87" t="s">
        <v>2605</v>
      </c>
      <c r="B772" s="88">
        <v>1.22E18</v>
      </c>
      <c r="C772" s="87" t="s">
        <v>2606</v>
      </c>
      <c r="D772" s="87" t="s">
        <v>87</v>
      </c>
      <c r="E772" s="87" t="s">
        <v>228</v>
      </c>
      <c r="F772" s="87" t="s">
        <v>2606</v>
      </c>
      <c r="H772" s="87" t="s">
        <v>570</v>
      </c>
      <c r="I772" s="87" t="s">
        <v>315</v>
      </c>
      <c r="J772" s="87" t="s">
        <v>2607</v>
      </c>
      <c r="K772" s="90">
        <v>0.0</v>
      </c>
      <c r="L772" s="92"/>
      <c r="M772" s="93"/>
      <c r="N772" s="87" t="s">
        <v>2572</v>
      </c>
      <c r="O772" s="87" t="s">
        <v>377</v>
      </c>
      <c r="P772" s="87" t="s">
        <v>372</v>
      </c>
    </row>
    <row r="773" ht="15.75" customHeight="1">
      <c r="A773" s="87" t="s">
        <v>2608</v>
      </c>
      <c r="B773" s="88">
        <v>1.22E18</v>
      </c>
      <c r="C773" s="87" t="s">
        <v>2609</v>
      </c>
      <c r="D773" s="87" t="s">
        <v>87</v>
      </c>
      <c r="E773" s="87" t="s">
        <v>228</v>
      </c>
      <c r="F773" s="87" t="s">
        <v>2609</v>
      </c>
      <c r="H773" s="87" t="s">
        <v>374</v>
      </c>
      <c r="I773" s="87" t="s">
        <v>340</v>
      </c>
      <c r="J773" s="87" t="s">
        <v>2610</v>
      </c>
      <c r="K773" s="90">
        <v>0.0</v>
      </c>
      <c r="L773" s="92"/>
      <c r="M773" s="93"/>
      <c r="N773" s="87" t="s">
        <v>617</v>
      </c>
      <c r="O773" s="87" t="s">
        <v>377</v>
      </c>
      <c r="P773" s="87" t="s">
        <v>372</v>
      </c>
    </row>
    <row r="774" ht="15.75" customHeight="1">
      <c r="A774" s="87" t="s">
        <v>2611</v>
      </c>
      <c r="B774" s="88">
        <v>1.22E18</v>
      </c>
      <c r="C774" s="87" t="s">
        <v>2612</v>
      </c>
      <c r="D774" s="87" t="s">
        <v>87</v>
      </c>
      <c r="E774" s="87" t="s">
        <v>88</v>
      </c>
      <c r="F774" s="87" t="s">
        <v>379</v>
      </c>
      <c r="G774" s="93"/>
      <c r="H774" s="87" t="s">
        <v>374</v>
      </c>
      <c r="I774" s="93"/>
      <c r="J774" s="87" t="s">
        <v>2610</v>
      </c>
      <c r="K774" s="90">
        <v>500.0</v>
      </c>
      <c r="L774" s="92"/>
      <c r="M774" s="93"/>
      <c r="N774" s="87" t="s">
        <v>617</v>
      </c>
      <c r="O774" s="87" t="s">
        <v>377</v>
      </c>
      <c r="P774" s="87" t="s">
        <v>372</v>
      </c>
    </row>
    <row r="775" ht="15.75" customHeight="1">
      <c r="A775" s="87" t="s">
        <v>2613</v>
      </c>
      <c r="B775" s="88">
        <v>1.22E18</v>
      </c>
      <c r="C775" s="87" t="s">
        <v>2614</v>
      </c>
      <c r="D775" s="87" t="s">
        <v>87</v>
      </c>
      <c r="E775" s="87" t="s">
        <v>88</v>
      </c>
      <c r="F775" s="87" t="s">
        <v>379</v>
      </c>
      <c r="G775" s="93"/>
      <c r="H775" s="87" t="s">
        <v>374</v>
      </c>
      <c r="I775" s="93"/>
      <c r="J775" s="87" t="s">
        <v>2610</v>
      </c>
      <c r="K775" s="90">
        <v>500.0</v>
      </c>
      <c r="L775" s="92"/>
      <c r="M775" s="93"/>
      <c r="N775" s="87" t="s">
        <v>617</v>
      </c>
      <c r="O775" s="87" t="s">
        <v>377</v>
      </c>
      <c r="P775" s="87" t="s">
        <v>372</v>
      </c>
    </row>
    <row r="776" ht="15.75" customHeight="1">
      <c r="A776" s="87" t="s">
        <v>2615</v>
      </c>
      <c r="B776" s="88">
        <v>1.22E18</v>
      </c>
      <c r="C776" s="87" t="s">
        <v>2616</v>
      </c>
      <c r="D776" s="87" t="s">
        <v>87</v>
      </c>
      <c r="E776" s="87" t="s">
        <v>88</v>
      </c>
      <c r="F776" s="87" t="s">
        <v>379</v>
      </c>
      <c r="G776" s="93"/>
      <c r="H776" s="87" t="s">
        <v>374</v>
      </c>
      <c r="I776" s="93"/>
      <c r="J776" s="87" t="s">
        <v>2610</v>
      </c>
      <c r="K776" s="90">
        <v>2000.0</v>
      </c>
      <c r="L776" s="92"/>
      <c r="M776" s="93"/>
      <c r="N776" s="87" t="s">
        <v>617</v>
      </c>
      <c r="O776" s="87" t="s">
        <v>377</v>
      </c>
      <c r="P776" s="87" t="s">
        <v>372</v>
      </c>
    </row>
    <row r="777" ht="15.75" customHeight="1">
      <c r="A777" s="87" t="s">
        <v>2617</v>
      </c>
      <c r="B777" s="88">
        <v>1.22E18</v>
      </c>
      <c r="C777" s="87" t="s">
        <v>2618</v>
      </c>
      <c r="D777" s="87" t="s">
        <v>87</v>
      </c>
      <c r="E777" s="87" t="s">
        <v>88</v>
      </c>
      <c r="F777" s="87" t="s">
        <v>379</v>
      </c>
      <c r="G777" s="93"/>
      <c r="H777" s="87" t="s">
        <v>374</v>
      </c>
      <c r="I777" s="93"/>
      <c r="J777" s="87" t="s">
        <v>2610</v>
      </c>
      <c r="K777" s="90">
        <v>800.0</v>
      </c>
      <c r="L777" s="92"/>
      <c r="M777" s="93"/>
      <c r="N777" s="87" t="s">
        <v>617</v>
      </c>
      <c r="O777" s="87" t="s">
        <v>377</v>
      </c>
      <c r="P777" s="87" t="s">
        <v>372</v>
      </c>
    </row>
    <row r="778" ht="15.75" customHeight="1">
      <c r="A778" s="87" t="s">
        <v>2619</v>
      </c>
      <c r="B778" s="88">
        <v>1.22E18</v>
      </c>
      <c r="C778" s="87" t="s">
        <v>2620</v>
      </c>
      <c r="D778" s="87" t="s">
        <v>87</v>
      </c>
      <c r="E778" s="87" t="s">
        <v>88</v>
      </c>
      <c r="F778" s="87" t="s">
        <v>2620</v>
      </c>
      <c r="H778" s="87" t="s">
        <v>369</v>
      </c>
      <c r="I778" s="87" t="s">
        <v>1923</v>
      </c>
      <c r="J778" s="87" t="s">
        <v>2621</v>
      </c>
      <c r="K778" s="90">
        <v>400.0</v>
      </c>
      <c r="L778" s="92"/>
      <c r="M778" s="93"/>
      <c r="N778" s="87" t="s">
        <v>390</v>
      </c>
      <c r="O778" s="87" t="s">
        <v>377</v>
      </c>
      <c r="P778" s="87" t="s">
        <v>372</v>
      </c>
    </row>
    <row r="779" ht="15.75" customHeight="1">
      <c r="A779" s="87" t="s">
        <v>2622</v>
      </c>
      <c r="B779" s="88">
        <v>1.22E18</v>
      </c>
      <c r="C779" s="87" t="s">
        <v>2623</v>
      </c>
      <c r="D779" s="87" t="s">
        <v>262</v>
      </c>
      <c r="E779" s="87" t="s">
        <v>275</v>
      </c>
      <c r="F779" s="118" t="s">
        <v>2623</v>
      </c>
      <c r="G779" s="119"/>
      <c r="H779" s="87" t="s">
        <v>2191</v>
      </c>
      <c r="I779" s="87" t="s">
        <v>58</v>
      </c>
      <c r="J779" s="87" t="s">
        <v>2624</v>
      </c>
      <c r="K779" s="90">
        <v>0.0</v>
      </c>
      <c r="L779" s="92"/>
      <c r="M779" s="93"/>
      <c r="N779" s="87" t="s">
        <v>2625</v>
      </c>
      <c r="O779" s="87" t="s">
        <v>377</v>
      </c>
      <c r="P779" s="87" t="s">
        <v>372</v>
      </c>
    </row>
    <row r="780" ht="15.75" customHeight="1">
      <c r="A780" s="87" t="s">
        <v>2626</v>
      </c>
      <c r="B780" s="88">
        <v>1.22E18</v>
      </c>
      <c r="C780" s="87" t="s">
        <v>2627</v>
      </c>
      <c r="D780" s="87" t="s">
        <v>262</v>
      </c>
      <c r="E780" s="87" t="s">
        <v>263</v>
      </c>
      <c r="F780" s="87" t="s">
        <v>415</v>
      </c>
      <c r="G780" s="93"/>
      <c r="H780" s="87" t="s">
        <v>2628</v>
      </c>
      <c r="I780" s="87" t="s">
        <v>58</v>
      </c>
      <c r="J780" s="87" t="s">
        <v>2629</v>
      </c>
      <c r="K780" s="90">
        <v>1.0</v>
      </c>
      <c r="L780" s="92"/>
      <c r="M780" s="93"/>
      <c r="N780" s="87" t="s">
        <v>2572</v>
      </c>
      <c r="O780" s="87" t="s">
        <v>377</v>
      </c>
      <c r="P780" s="87" t="s">
        <v>372</v>
      </c>
    </row>
    <row r="781" ht="15.75" customHeight="1">
      <c r="A781" s="87" t="s">
        <v>2630</v>
      </c>
      <c r="B781" s="88">
        <v>1.22E18</v>
      </c>
      <c r="C781" s="87" t="s">
        <v>2631</v>
      </c>
      <c r="D781" s="87" t="s">
        <v>87</v>
      </c>
      <c r="E781" s="87" t="s">
        <v>102</v>
      </c>
      <c r="F781" s="87" t="s">
        <v>2631</v>
      </c>
      <c r="I781" s="87" t="s">
        <v>1742</v>
      </c>
      <c r="J781" s="87" t="s">
        <v>2632</v>
      </c>
      <c r="K781" s="90">
        <v>100.0</v>
      </c>
      <c r="L781" s="92"/>
      <c r="M781" s="93"/>
      <c r="N781" s="87" t="s">
        <v>2572</v>
      </c>
      <c r="O781" s="87" t="s">
        <v>377</v>
      </c>
      <c r="P781" s="87" t="s">
        <v>372</v>
      </c>
    </row>
    <row r="782" ht="15.75" customHeight="1">
      <c r="A782" s="87" t="s">
        <v>2633</v>
      </c>
      <c r="B782" s="88">
        <v>1.22E18</v>
      </c>
      <c r="C782" s="87" t="s">
        <v>2634</v>
      </c>
      <c r="D782" s="87" t="s">
        <v>87</v>
      </c>
      <c r="E782" s="87" t="s">
        <v>102</v>
      </c>
      <c r="F782" s="118" t="s">
        <v>2634</v>
      </c>
      <c r="G782" s="119"/>
      <c r="H782" s="87" t="s">
        <v>2053</v>
      </c>
      <c r="I782" s="87" t="s">
        <v>58</v>
      </c>
      <c r="J782" s="87" t="s">
        <v>2635</v>
      </c>
      <c r="K782" s="90">
        <v>0.0</v>
      </c>
      <c r="L782" s="92"/>
      <c r="M782" s="93"/>
      <c r="N782" s="87" t="s">
        <v>2572</v>
      </c>
      <c r="O782" s="87" t="s">
        <v>377</v>
      </c>
      <c r="P782" s="87" t="s">
        <v>372</v>
      </c>
    </row>
    <row r="783" ht="15.75" customHeight="1">
      <c r="A783" s="87" t="s">
        <v>2636</v>
      </c>
      <c r="B783" s="88">
        <v>1.22E18</v>
      </c>
      <c r="C783" s="87" t="s">
        <v>2637</v>
      </c>
      <c r="D783" s="87" t="s">
        <v>87</v>
      </c>
      <c r="E783" s="87" t="s">
        <v>236</v>
      </c>
      <c r="F783" s="87" t="s">
        <v>2637</v>
      </c>
      <c r="H783" s="87" t="s">
        <v>2638</v>
      </c>
      <c r="I783" s="87" t="s">
        <v>315</v>
      </c>
      <c r="J783" s="87" t="s">
        <v>2639</v>
      </c>
      <c r="K783" s="90">
        <v>2000.0</v>
      </c>
      <c r="L783" s="92"/>
      <c r="M783" s="93"/>
      <c r="N783" s="87" t="s">
        <v>2640</v>
      </c>
      <c r="O783" s="87" t="s">
        <v>377</v>
      </c>
      <c r="P783" s="87" t="s">
        <v>372</v>
      </c>
    </row>
    <row r="784" ht="15.75" customHeight="1">
      <c r="A784" s="87" t="s">
        <v>2641</v>
      </c>
      <c r="B784" s="88">
        <v>1.22E18</v>
      </c>
      <c r="C784" s="87" t="s">
        <v>2642</v>
      </c>
      <c r="D784" s="87" t="s">
        <v>87</v>
      </c>
      <c r="E784" s="87" t="s">
        <v>236</v>
      </c>
      <c r="F784" s="87" t="s">
        <v>2642</v>
      </c>
      <c r="H784" s="87" t="s">
        <v>2638</v>
      </c>
      <c r="I784" s="87" t="s">
        <v>315</v>
      </c>
      <c r="J784" s="87" t="s">
        <v>2643</v>
      </c>
      <c r="K784" s="90">
        <v>2000.0</v>
      </c>
      <c r="L784" s="92"/>
      <c r="M784" s="93"/>
      <c r="N784" s="87" t="s">
        <v>2640</v>
      </c>
      <c r="O784" s="87" t="s">
        <v>377</v>
      </c>
      <c r="P784" s="87" t="s">
        <v>372</v>
      </c>
    </row>
    <row r="785" ht="15.75" customHeight="1">
      <c r="A785" s="87" t="s">
        <v>2644</v>
      </c>
      <c r="B785" s="88">
        <v>1.22E18</v>
      </c>
      <c r="C785" s="87" t="s">
        <v>2645</v>
      </c>
      <c r="D785" s="87" t="s">
        <v>87</v>
      </c>
      <c r="E785" s="87" t="s">
        <v>236</v>
      </c>
      <c r="F785" s="87" t="s">
        <v>2645</v>
      </c>
      <c r="H785" s="87" t="s">
        <v>2638</v>
      </c>
      <c r="I785" s="87" t="s">
        <v>315</v>
      </c>
      <c r="J785" s="87" t="s">
        <v>2646</v>
      </c>
      <c r="K785" s="90">
        <v>4000.0</v>
      </c>
      <c r="L785" s="92"/>
      <c r="M785" s="93"/>
      <c r="N785" s="87" t="s">
        <v>2640</v>
      </c>
      <c r="O785" s="87" t="s">
        <v>377</v>
      </c>
      <c r="P785" s="87" t="s">
        <v>372</v>
      </c>
    </row>
    <row r="786" ht="15.75" customHeight="1">
      <c r="A786" s="87" t="s">
        <v>2647</v>
      </c>
      <c r="B786" s="88">
        <v>1.22E18</v>
      </c>
      <c r="C786" s="87" t="s">
        <v>2648</v>
      </c>
      <c r="D786" s="87" t="s">
        <v>87</v>
      </c>
      <c r="E786" s="87" t="s">
        <v>236</v>
      </c>
      <c r="F786" s="87" t="s">
        <v>2648</v>
      </c>
      <c r="H786" s="87" t="s">
        <v>2638</v>
      </c>
      <c r="I786" s="87" t="s">
        <v>315</v>
      </c>
      <c r="J786" s="87" t="s">
        <v>2649</v>
      </c>
      <c r="K786" s="90">
        <v>1000.0</v>
      </c>
      <c r="L786" s="92"/>
      <c r="M786" s="93"/>
      <c r="N786" s="87" t="s">
        <v>2640</v>
      </c>
      <c r="O786" s="87" t="s">
        <v>377</v>
      </c>
      <c r="P786" s="87" t="s">
        <v>372</v>
      </c>
    </row>
    <row r="787" ht="15.75" customHeight="1">
      <c r="A787" s="87" t="s">
        <v>2650</v>
      </c>
      <c r="B787" s="88">
        <v>1.22E18</v>
      </c>
      <c r="C787" s="87" t="s">
        <v>2651</v>
      </c>
      <c r="D787" s="87" t="s">
        <v>87</v>
      </c>
      <c r="E787" s="87" t="s">
        <v>236</v>
      </c>
      <c r="F787" s="87" t="s">
        <v>2651</v>
      </c>
      <c r="H787" s="87" t="s">
        <v>2638</v>
      </c>
      <c r="I787" s="87" t="s">
        <v>315</v>
      </c>
      <c r="J787" s="87" t="s">
        <v>2652</v>
      </c>
      <c r="K787" s="90">
        <v>1000.0</v>
      </c>
      <c r="L787" s="92"/>
      <c r="M787" s="93"/>
      <c r="N787" s="87" t="s">
        <v>2640</v>
      </c>
      <c r="O787" s="87" t="s">
        <v>377</v>
      </c>
      <c r="P787" s="87" t="s">
        <v>372</v>
      </c>
    </row>
    <row r="788" ht="15.75" customHeight="1">
      <c r="A788" s="87" t="s">
        <v>2653</v>
      </c>
      <c r="B788" s="88">
        <v>1.22E18</v>
      </c>
      <c r="C788" s="87" t="s">
        <v>2654</v>
      </c>
      <c r="D788" s="87" t="s">
        <v>87</v>
      </c>
      <c r="E788" s="87" t="s">
        <v>102</v>
      </c>
      <c r="F788" s="87" t="s">
        <v>2654</v>
      </c>
      <c r="H788" s="87" t="s">
        <v>2069</v>
      </c>
      <c r="I788" s="87" t="s">
        <v>58</v>
      </c>
      <c r="J788" s="87" t="s">
        <v>2655</v>
      </c>
      <c r="K788" s="90">
        <v>0.0</v>
      </c>
      <c r="L788" s="92"/>
      <c r="M788" s="93"/>
      <c r="N788" s="87" t="s">
        <v>474</v>
      </c>
      <c r="O788" s="87" t="s">
        <v>377</v>
      </c>
      <c r="P788" s="87" t="s">
        <v>372</v>
      </c>
    </row>
    <row r="789" ht="15.75" customHeight="1">
      <c r="A789" s="87" t="s">
        <v>2656</v>
      </c>
      <c r="B789" s="88">
        <v>1.22E18</v>
      </c>
      <c r="C789" s="87" t="s">
        <v>2657</v>
      </c>
      <c r="D789" s="87" t="s">
        <v>87</v>
      </c>
      <c r="E789" s="87" t="s">
        <v>102</v>
      </c>
      <c r="F789" s="118" t="s">
        <v>2657</v>
      </c>
      <c r="G789" s="119"/>
      <c r="H789" s="87" t="s">
        <v>2658</v>
      </c>
      <c r="I789" s="87" t="s">
        <v>58</v>
      </c>
      <c r="J789" s="87" t="s">
        <v>2659</v>
      </c>
      <c r="K789" s="90">
        <v>0.0</v>
      </c>
      <c r="L789" s="92"/>
      <c r="M789" s="93"/>
      <c r="N789" s="87" t="s">
        <v>2660</v>
      </c>
      <c r="O789" s="87" t="s">
        <v>377</v>
      </c>
      <c r="P789" s="87" t="s">
        <v>372</v>
      </c>
    </row>
    <row r="790" ht="15.75" customHeight="1">
      <c r="A790" s="87" t="s">
        <v>2661</v>
      </c>
      <c r="B790" s="88">
        <v>1.22E18</v>
      </c>
      <c r="C790" s="87" t="s">
        <v>2662</v>
      </c>
      <c r="D790" s="87" t="s">
        <v>87</v>
      </c>
      <c r="E790" s="87" t="s">
        <v>88</v>
      </c>
      <c r="F790" s="87" t="s">
        <v>2662</v>
      </c>
      <c r="H790" s="87" t="s">
        <v>369</v>
      </c>
      <c r="I790" s="87" t="s">
        <v>340</v>
      </c>
      <c r="J790" s="87" t="s">
        <v>2663</v>
      </c>
      <c r="K790" s="90">
        <v>0.0</v>
      </c>
      <c r="L790" s="92"/>
      <c r="M790" s="93"/>
      <c r="N790" s="87" t="s">
        <v>390</v>
      </c>
      <c r="O790" s="87" t="s">
        <v>377</v>
      </c>
      <c r="P790" s="87" t="s">
        <v>372</v>
      </c>
    </row>
    <row r="791" ht="15.75" customHeight="1">
      <c r="A791" s="87" t="s">
        <v>2664</v>
      </c>
      <c r="B791" s="88">
        <v>1.22E18</v>
      </c>
      <c r="C791" s="87" t="s">
        <v>2665</v>
      </c>
      <c r="D791" s="87" t="s">
        <v>87</v>
      </c>
      <c r="E791" s="87" t="s">
        <v>228</v>
      </c>
      <c r="F791" s="87" t="s">
        <v>373</v>
      </c>
      <c r="H791" s="87" t="s">
        <v>1042</v>
      </c>
      <c r="I791" s="87" t="s">
        <v>340</v>
      </c>
      <c r="J791" s="87" t="s">
        <v>2666</v>
      </c>
      <c r="K791" s="90">
        <v>800.0</v>
      </c>
      <c r="L791" s="92"/>
      <c r="M791" s="93"/>
      <c r="N791" s="87" t="s">
        <v>1044</v>
      </c>
      <c r="O791" s="87" t="s">
        <v>377</v>
      </c>
      <c r="P791" s="87" t="s">
        <v>372</v>
      </c>
    </row>
    <row r="792" ht="15.75" customHeight="1">
      <c r="A792" s="87" t="s">
        <v>2667</v>
      </c>
      <c r="B792" s="88">
        <v>1.22E18</v>
      </c>
      <c r="C792" s="87" t="s">
        <v>2668</v>
      </c>
      <c r="D792" s="87" t="s">
        <v>87</v>
      </c>
      <c r="E792" s="87" t="s">
        <v>228</v>
      </c>
      <c r="F792" s="87" t="s">
        <v>373</v>
      </c>
      <c r="H792" s="87" t="s">
        <v>1042</v>
      </c>
      <c r="I792" s="87" t="s">
        <v>340</v>
      </c>
      <c r="J792" s="87" t="s">
        <v>2666</v>
      </c>
      <c r="K792" s="90">
        <v>4000.0</v>
      </c>
      <c r="L792" s="92"/>
      <c r="M792" s="93"/>
      <c r="N792" s="87" t="s">
        <v>1044</v>
      </c>
      <c r="O792" s="87" t="s">
        <v>377</v>
      </c>
      <c r="P792" s="87" t="s">
        <v>372</v>
      </c>
    </row>
    <row r="793" ht="15.75" customHeight="1">
      <c r="A793" s="87" t="s">
        <v>2669</v>
      </c>
      <c r="B793" s="88">
        <v>1.22E18</v>
      </c>
      <c r="C793" s="87" t="s">
        <v>2670</v>
      </c>
      <c r="D793" s="87" t="s">
        <v>87</v>
      </c>
      <c r="E793" s="87" t="s">
        <v>233</v>
      </c>
      <c r="F793" s="87" t="s">
        <v>2670</v>
      </c>
      <c r="H793" s="87" t="s">
        <v>1050</v>
      </c>
      <c r="I793" s="87" t="s">
        <v>340</v>
      </c>
      <c r="J793" s="87" t="s">
        <v>2671</v>
      </c>
      <c r="K793" s="90">
        <v>2000.0</v>
      </c>
      <c r="L793" s="92"/>
      <c r="M793" s="93"/>
      <c r="N793" s="93"/>
      <c r="O793" s="87" t="s">
        <v>377</v>
      </c>
      <c r="P793" s="87" t="s">
        <v>372</v>
      </c>
    </row>
    <row r="794" ht="15.75" customHeight="1">
      <c r="A794" s="87" t="s">
        <v>2672</v>
      </c>
      <c r="B794" s="88">
        <v>1.22E18</v>
      </c>
      <c r="C794" s="87" t="s">
        <v>2673</v>
      </c>
      <c r="D794" s="87" t="s">
        <v>87</v>
      </c>
      <c r="E794" s="87" t="s">
        <v>88</v>
      </c>
      <c r="F794" s="118" t="s">
        <v>2673</v>
      </c>
      <c r="G794" s="130"/>
      <c r="H794" s="119"/>
      <c r="I794" s="87" t="s">
        <v>58</v>
      </c>
      <c r="J794" s="87" t="s">
        <v>2674</v>
      </c>
      <c r="K794" s="90">
        <v>0.0</v>
      </c>
      <c r="L794" s="92"/>
      <c r="M794" s="93"/>
      <c r="N794" s="87" t="s">
        <v>2364</v>
      </c>
      <c r="O794" s="87" t="s">
        <v>377</v>
      </c>
      <c r="P794" s="87" t="s">
        <v>372</v>
      </c>
    </row>
    <row r="795" ht="15.75" customHeight="1">
      <c r="A795" s="87" t="s">
        <v>2675</v>
      </c>
      <c r="B795" s="88">
        <v>1.22E18</v>
      </c>
      <c r="C795" s="87" t="s">
        <v>2676</v>
      </c>
      <c r="D795" s="87" t="s">
        <v>262</v>
      </c>
      <c r="E795" s="87" t="s">
        <v>267</v>
      </c>
      <c r="F795" s="87" t="s">
        <v>2676</v>
      </c>
      <c r="I795" s="87" t="s">
        <v>58</v>
      </c>
      <c r="J795" s="87" t="s">
        <v>2677</v>
      </c>
      <c r="K795" s="90">
        <v>0.0</v>
      </c>
      <c r="L795" s="92"/>
      <c r="M795" s="93"/>
      <c r="N795" s="93"/>
      <c r="O795" s="87" t="s">
        <v>377</v>
      </c>
      <c r="P795" s="87" t="s">
        <v>372</v>
      </c>
    </row>
    <row r="796" ht="15.75" customHeight="1">
      <c r="A796" s="87" t="s">
        <v>2678</v>
      </c>
      <c r="B796" s="88">
        <v>1.22E18</v>
      </c>
      <c r="C796" s="87" t="s">
        <v>2679</v>
      </c>
      <c r="D796" s="87" t="s">
        <v>262</v>
      </c>
      <c r="E796" s="87" t="s">
        <v>267</v>
      </c>
      <c r="F796" s="87" t="s">
        <v>2679</v>
      </c>
      <c r="I796" s="87" t="s">
        <v>58</v>
      </c>
      <c r="J796" s="87" t="s">
        <v>2677</v>
      </c>
      <c r="K796" s="90">
        <v>0.0</v>
      </c>
      <c r="L796" s="92"/>
      <c r="M796" s="93"/>
      <c r="N796" s="93"/>
      <c r="O796" s="87" t="s">
        <v>377</v>
      </c>
      <c r="P796" s="87" t="s">
        <v>372</v>
      </c>
    </row>
    <row r="797" ht="15.75" customHeight="1">
      <c r="A797" s="87" t="s">
        <v>2680</v>
      </c>
      <c r="B797" s="88">
        <v>1.22E18</v>
      </c>
      <c r="C797" s="87" t="s">
        <v>2681</v>
      </c>
      <c r="D797" s="87" t="s">
        <v>262</v>
      </c>
      <c r="E797" s="87" t="s">
        <v>267</v>
      </c>
      <c r="F797" s="118" t="s">
        <v>2681</v>
      </c>
      <c r="G797" s="119"/>
      <c r="H797" s="87" t="s">
        <v>2539</v>
      </c>
      <c r="I797" s="87" t="s">
        <v>58</v>
      </c>
      <c r="J797" s="87" t="s">
        <v>2682</v>
      </c>
      <c r="K797" s="90">
        <v>0.0</v>
      </c>
      <c r="L797" s="92"/>
      <c r="M797" s="93"/>
      <c r="N797" s="87" t="s">
        <v>2541</v>
      </c>
      <c r="O797" s="87" t="s">
        <v>377</v>
      </c>
      <c r="P797" s="87" t="s">
        <v>372</v>
      </c>
    </row>
    <row r="798" ht="15.75" customHeight="1">
      <c r="A798" s="87" t="s">
        <v>2683</v>
      </c>
      <c r="B798" s="88">
        <v>1.22E18</v>
      </c>
      <c r="C798" s="87" t="s">
        <v>2684</v>
      </c>
      <c r="D798" s="87" t="s">
        <v>87</v>
      </c>
      <c r="E798" s="87" t="s">
        <v>228</v>
      </c>
      <c r="F798" s="87" t="s">
        <v>373</v>
      </c>
      <c r="H798" s="87" t="s">
        <v>837</v>
      </c>
      <c r="I798" s="87" t="s">
        <v>340</v>
      </c>
      <c r="J798" s="87" t="s">
        <v>2685</v>
      </c>
      <c r="K798" s="90">
        <v>1505.0</v>
      </c>
      <c r="L798" s="92"/>
      <c r="M798" s="93"/>
      <c r="N798" s="87" t="s">
        <v>2405</v>
      </c>
      <c r="O798" s="87" t="s">
        <v>377</v>
      </c>
      <c r="P798" s="87" t="s">
        <v>372</v>
      </c>
    </row>
    <row r="799" ht="15.75" customHeight="1">
      <c r="A799" s="87" t="s">
        <v>2686</v>
      </c>
      <c r="B799" s="88">
        <v>1.22E18</v>
      </c>
      <c r="C799" s="87" t="s">
        <v>2687</v>
      </c>
      <c r="D799" s="87" t="s">
        <v>87</v>
      </c>
      <c r="E799" s="87" t="s">
        <v>228</v>
      </c>
      <c r="F799" s="87" t="s">
        <v>373</v>
      </c>
      <c r="H799" s="87" t="s">
        <v>837</v>
      </c>
      <c r="I799" s="87" t="s">
        <v>340</v>
      </c>
      <c r="J799" s="87" t="s">
        <v>2685</v>
      </c>
      <c r="K799" s="90">
        <v>1760.0</v>
      </c>
      <c r="L799" s="92"/>
      <c r="M799" s="93"/>
      <c r="N799" s="87" t="s">
        <v>2405</v>
      </c>
      <c r="O799" s="87" t="s">
        <v>377</v>
      </c>
      <c r="P799" s="87" t="s">
        <v>372</v>
      </c>
    </row>
    <row r="800" ht="15.75" customHeight="1">
      <c r="A800" s="87" t="s">
        <v>2688</v>
      </c>
      <c r="B800" s="88">
        <v>1.22E18</v>
      </c>
      <c r="C800" s="87" t="s">
        <v>2689</v>
      </c>
      <c r="D800" s="87" t="s">
        <v>87</v>
      </c>
      <c r="E800" s="87" t="s">
        <v>228</v>
      </c>
      <c r="F800" s="87" t="s">
        <v>373</v>
      </c>
      <c r="H800" s="87" t="s">
        <v>837</v>
      </c>
      <c r="I800" s="87" t="s">
        <v>340</v>
      </c>
      <c r="J800" s="87" t="s">
        <v>2685</v>
      </c>
      <c r="K800" s="90">
        <v>0.0</v>
      </c>
      <c r="L800" s="92"/>
      <c r="M800" s="93"/>
      <c r="N800" s="87" t="s">
        <v>2405</v>
      </c>
      <c r="O800" s="87" t="s">
        <v>377</v>
      </c>
      <c r="P800" s="87" t="s">
        <v>372</v>
      </c>
    </row>
    <row r="801" ht="15.75" customHeight="1">
      <c r="A801" s="87" t="s">
        <v>2690</v>
      </c>
      <c r="B801" s="88">
        <v>1.22E18</v>
      </c>
      <c r="C801" s="87" t="s">
        <v>2691</v>
      </c>
      <c r="D801" s="87" t="s">
        <v>87</v>
      </c>
      <c r="E801" s="87" t="s">
        <v>228</v>
      </c>
      <c r="F801" s="87" t="s">
        <v>373</v>
      </c>
      <c r="H801" s="87" t="s">
        <v>837</v>
      </c>
      <c r="I801" s="87" t="s">
        <v>340</v>
      </c>
      <c r="J801" s="87" t="s">
        <v>2685</v>
      </c>
      <c r="K801" s="90">
        <v>50.0</v>
      </c>
      <c r="L801" s="92"/>
      <c r="M801" s="93"/>
      <c r="N801" s="87" t="s">
        <v>2405</v>
      </c>
      <c r="O801" s="87" t="s">
        <v>377</v>
      </c>
      <c r="P801" s="87" t="s">
        <v>372</v>
      </c>
    </row>
    <row r="802" ht="15.75" customHeight="1">
      <c r="A802" s="87" t="s">
        <v>2692</v>
      </c>
      <c r="B802" s="88">
        <v>1.22E18</v>
      </c>
      <c r="C802" s="87" t="s">
        <v>2693</v>
      </c>
      <c r="D802" s="87" t="s">
        <v>87</v>
      </c>
      <c r="E802" s="87" t="s">
        <v>228</v>
      </c>
      <c r="F802" s="87" t="s">
        <v>373</v>
      </c>
      <c r="H802" s="87" t="s">
        <v>837</v>
      </c>
      <c r="I802" s="87" t="s">
        <v>340</v>
      </c>
      <c r="J802" s="87" t="s">
        <v>2694</v>
      </c>
      <c r="K802" s="90">
        <v>250.0</v>
      </c>
      <c r="L802" s="92"/>
      <c r="M802" s="93"/>
      <c r="N802" s="87" t="s">
        <v>2405</v>
      </c>
      <c r="O802" s="87" t="s">
        <v>377</v>
      </c>
      <c r="P802" s="87" t="s">
        <v>372</v>
      </c>
    </row>
    <row r="803" ht="15.75" customHeight="1">
      <c r="A803" s="87" t="s">
        <v>2695</v>
      </c>
      <c r="B803" s="88">
        <v>1.22E18</v>
      </c>
      <c r="C803" s="87" t="s">
        <v>2696</v>
      </c>
      <c r="D803" s="87" t="s">
        <v>87</v>
      </c>
      <c r="E803" s="87" t="s">
        <v>228</v>
      </c>
      <c r="F803" s="87" t="s">
        <v>373</v>
      </c>
      <c r="H803" s="87" t="s">
        <v>701</v>
      </c>
      <c r="I803" s="87" t="s">
        <v>340</v>
      </c>
      <c r="J803" s="87" t="s">
        <v>2697</v>
      </c>
      <c r="K803" s="90">
        <v>500.0</v>
      </c>
      <c r="L803" s="92"/>
      <c r="M803" s="93"/>
      <c r="N803" s="87" t="s">
        <v>703</v>
      </c>
      <c r="O803" s="87" t="s">
        <v>377</v>
      </c>
      <c r="P803" s="87" t="s">
        <v>372</v>
      </c>
    </row>
    <row r="804" ht="15.75" customHeight="1">
      <c r="A804" s="87" t="s">
        <v>2698</v>
      </c>
      <c r="B804" s="88">
        <v>1.22E18</v>
      </c>
      <c r="C804" s="87" t="s">
        <v>2699</v>
      </c>
      <c r="D804" s="87" t="s">
        <v>87</v>
      </c>
      <c r="E804" s="87" t="s">
        <v>228</v>
      </c>
      <c r="F804" s="87" t="s">
        <v>373</v>
      </c>
      <c r="H804" s="87" t="s">
        <v>701</v>
      </c>
      <c r="I804" s="87" t="s">
        <v>340</v>
      </c>
      <c r="J804" s="87" t="s">
        <v>2697</v>
      </c>
      <c r="K804" s="90">
        <v>250.0</v>
      </c>
      <c r="L804" s="92"/>
      <c r="M804" s="93"/>
      <c r="N804" s="87" t="s">
        <v>703</v>
      </c>
      <c r="O804" s="87" t="s">
        <v>377</v>
      </c>
      <c r="P804" s="87" t="s">
        <v>372</v>
      </c>
    </row>
    <row r="805" ht="15.75" customHeight="1">
      <c r="A805" s="87" t="s">
        <v>2700</v>
      </c>
      <c r="B805" s="88">
        <v>1.22E18</v>
      </c>
      <c r="C805" s="87" t="s">
        <v>2701</v>
      </c>
      <c r="D805" s="87" t="s">
        <v>87</v>
      </c>
      <c r="E805" s="87" t="s">
        <v>228</v>
      </c>
      <c r="F805" s="87" t="s">
        <v>373</v>
      </c>
      <c r="H805" s="87" t="s">
        <v>701</v>
      </c>
      <c r="I805" s="87" t="s">
        <v>340</v>
      </c>
      <c r="J805" s="87" t="s">
        <v>2702</v>
      </c>
      <c r="K805" s="90">
        <v>530.0</v>
      </c>
      <c r="L805" s="92"/>
      <c r="M805" s="93"/>
      <c r="N805" s="87" t="s">
        <v>703</v>
      </c>
      <c r="O805" s="87" t="s">
        <v>377</v>
      </c>
      <c r="P805" s="87" t="s">
        <v>372</v>
      </c>
    </row>
    <row r="806" ht="15.75" customHeight="1">
      <c r="A806" s="87" t="s">
        <v>2703</v>
      </c>
      <c r="B806" s="88">
        <v>1.22E18</v>
      </c>
      <c r="C806" s="87" t="s">
        <v>2704</v>
      </c>
      <c r="D806" s="87" t="s">
        <v>87</v>
      </c>
      <c r="E806" s="87" t="s">
        <v>228</v>
      </c>
      <c r="F806" s="87" t="s">
        <v>373</v>
      </c>
      <c r="H806" s="87" t="s">
        <v>701</v>
      </c>
      <c r="I806" s="87" t="s">
        <v>340</v>
      </c>
      <c r="J806" s="87" t="s">
        <v>2702</v>
      </c>
      <c r="K806" s="90">
        <v>0.0</v>
      </c>
      <c r="L806" s="92"/>
      <c r="M806" s="93"/>
      <c r="N806" s="87" t="s">
        <v>703</v>
      </c>
      <c r="O806" s="87" t="s">
        <v>377</v>
      </c>
      <c r="P806" s="87" t="s">
        <v>372</v>
      </c>
    </row>
    <row r="807" ht="15.75" customHeight="1">
      <c r="A807" s="87" t="s">
        <v>2705</v>
      </c>
      <c r="B807" s="88">
        <v>1.22E18</v>
      </c>
      <c r="C807" s="87" t="s">
        <v>2706</v>
      </c>
      <c r="D807" s="87" t="s">
        <v>87</v>
      </c>
      <c r="E807" s="87" t="s">
        <v>228</v>
      </c>
      <c r="F807" s="87" t="s">
        <v>373</v>
      </c>
      <c r="H807" s="87" t="s">
        <v>701</v>
      </c>
      <c r="I807" s="87" t="s">
        <v>340</v>
      </c>
      <c r="J807" s="87" t="s">
        <v>2702</v>
      </c>
      <c r="K807" s="90">
        <v>0.0</v>
      </c>
      <c r="L807" s="92"/>
      <c r="M807" s="93"/>
      <c r="N807" s="87" t="s">
        <v>703</v>
      </c>
      <c r="O807" s="87" t="s">
        <v>377</v>
      </c>
      <c r="P807" s="87" t="s">
        <v>372</v>
      </c>
    </row>
    <row r="808" ht="15.75" customHeight="1">
      <c r="A808" s="87" t="s">
        <v>2707</v>
      </c>
      <c r="B808" s="88">
        <v>1.22E18</v>
      </c>
      <c r="C808" s="87" t="s">
        <v>2708</v>
      </c>
      <c r="D808" s="87" t="s">
        <v>262</v>
      </c>
      <c r="E808" s="87" t="s">
        <v>270</v>
      </c>
      <c r="F808" s="118" t="s">
        <v>2708</v>
      </c>
      <c r="G808" s="130"/>
      <c r="H808" s="119"/>
      <c r="I808" s="87" t="s">
        <v>58</v>
      </c>
      <c r="J808" s="87" t="s">
        <v>2709</v>
      </c>
      <c r="K808" s="90">
        <v>0.0</v>
      </c>
      <c r="L808" s="92"/>
      <c r="M808" s="93"/>
      <c r="N808" s="87" t="s">
        <v>1772</v>
      </c>
      <c r="O808" s="87" t="s">
        <v>377</v>
      </c>
      <c r="P808" s="87" t="s">
        <v>372</v>
      </c>
    </row>
    <row r="809" ht="15.75" customHeight="1">
      <c r="A809" s="87" t="s">
        <v>2710</v>
      </c>
      <c r="B809" s="88">
        <v>1.22E18</v>
      </c>
      <c r="C809" s="87" t="s">
        <v>2711</v>
      </c>
      <c r="D809" s="87" t="s">
        <v>87</v>
      </c>
      <c r="E809" s="87" t="s">
        <v>88</v>
      </c>
      <c r="F809" s="87" t="s">
        <v>2711</v>
      </c>
      <c r="H809" s="93"/>
      <c r="I809" s="87" t="s">
        <v>58</v>
      </c>
      <c r="J809" s="87" t="s">
        <v>1961</v>
      </c>
      <c r="K809" s="90">
        <v>0.0</v>
      </c>
      <c r="L809" s="92"/>
      <c r="M809" s="93"/>
      <c r="N809" s="87" t="s">
        <v>2712</v>
      </c>
      <c r="O809" s="87" t="s">
        <v>377</v>
      </c>
      <c r="P809" s="87" t="s">
        <v>372</v>
      </c>
    </row>
    <row r="810" ht="15.75" customHeight="1">
      <c r="A810" s="87" t="s">
        <v>2713</v>
      </c>
      <c r="B810" s="88">
        <v>1.22E18</v>
      </c>
      <c r="C810" s="87" t="s">
        <v>2714</v>
      </c>
      <c r="D810" s="87" t="s">
        <v>87</v>
      </c>
      <c r="E810" s="87" t="s">
        <v>241</v>
      </c>
      <c r="F810" s="87" t="s">
        <v>2714</v>
      </c>
      <c r="H810" s="87" t="s">
        <v>2500</v>
      </c>
      <c r="I810" s="87" t="s">
        <v>315</v>
      </c>
      <c r="J810" s="87" t="s">
        <v>2715</v>
      </c>
      <c r="K810" s="90">
        <v>0.0</v>
      </c>
      <c r="L810" s="92"/>
      <c r="M810" s="93"/>
      <c r="N810" s="87" t="s">
        <v>2500</v>
      </c>
      <c r="O810" s="87" t="s">
        <v>377</v>
      </c>
      <c r="P810" s="87" t="s">
        <v>372</v>
      </c>
    </row>
    <row r="811" ht="15.75" customHeight="1">
      <c r="A811" s="87" t="s">
        <v>2716</v>
      </c>
      <c r="B811" s="88">
        <v>1.22E18</v>
      </c>
      <c r="C811" s="87" t="s">
        <v>2717</v>
      </c>
      <c r="D811" s="87" t="s">
        <v>87</v>
      </c>
      <c r="E811" s="87" t="s">
        <v>241</v>
      </c>
      <c r="F811" s="87" t="s">
        <v>2717</v>
      </c>
      <c r="H811" s="87" t="s">
        <v>2500</v>
      </c>
      <c r="I811" s="87" t="s">
        <v>315</v>
      </c>
      <c r="J811" s="87" t="s">
        <v>2718</v>
      </c>
      <c r="K811" s="90">
        <v>0.0</v>
      </c>
      <c r="L811" s="92"/>
      <c r="M811" s="93"/>
      <c r="N811" s="87" t="s">
        <v>2500</v>
      </c>
      <c r="O811" s="87" t="s">
        <v>377</v>
      </c>
      <c r="P811" s="87" t="s">
        <v>372</v>
      </c>
    </row>
    <row r="812" ht="15.75" customHeight="1">
      <c r="A812" s="87" t="s">
        <v>2719</v>
      </c>
      <c r="B812" s="88">
        <v>1.22E18</v>
      </c>
      <c r="C812" s="87" t="s">
        <v>2720</v>
      </c>
      <c r="D812" s="87" t="s">
        <v>87</v>
      </c>
      <c r="E812" s="87" t="s">
        <v>241</v>
      </c>
      <c r="F812" s="87" t="s">
        <v>2720</v>
      </c>
      <c r="H812" s="87" t="s">
        <v>2500</v>
      </c>
      <c r="I812" s="87" t="s">
        <v>315</v>
      </c>
      <c r="J812" s="87" t="s">
        <v>2041</v>
      </c>
      <c r="K812" s="90">
        <v>0.0</v>
      </c>
      <c r="L812" s="92"/>
      <c r="M812" s="93"/>
      <c r="N812" s="93"/>
      <c r="O812" s="87" t="s">
        <v>377</v>
      </c>
      <c r="P812" s="87" t="s">
        <v>372</v>
      </c>
    </row>
    <row r="813" ht="15.75" customHeight="1">
      <c r="A813" s="87" t="s">
        <v>2721</v>
      </c>
      <c r="B813" s="88">
        <v>1.22E18</v>
      </c>
      <c r="C813" s="87" t="s">
        <v>2722</v>
      </c>
      <c r="D813" s="87" t="s">
        <v>87</v>
      </c>
      <c r="E813" s="87" t="s">
        <v>228</v>
      </c>
      <c r="F813" s="87" t="s">
        <v>2722</v>
      </c>
      <c r="H813" s="87" t="s">
        <v>701</v>
      </c>
      <c r="I813" s="87" t="s">
        <v>340</v>
      </c>
      <c r="J813" s="87" t="s">
        <v>2723</v>
      </c>
      <c r="K813" s="90">
        <v>1000.0</v>
      </c>
      <c r="L813" s="92"/>
      <c r="M813" s="93"/>
      <c r="N813" s="87" t="s">
        <v>703</v>
      </c>
      <c r="O813" s="87" t="s">
        <v>377</v>
      </c>
      <c r="P813" s="87" t="s">
        <v>372</v>
      </c>
    </row>
    <row r="814" ht="15.75" customHeight="1">
      <c r="A814" s="87" t="s">
        <v>2724</v>
      </c>
      <c r="B814" s="88">
        <v>1.22E18</v>
      </c>
      <c r="C814" s="87" t="s">
        <v>2725</v>
      </c>
      <c r="D814" s="87" t="s">
        <v>87</v>
      </c>
      <c r="E814" s="87" t="s">
        <v>228</v>
      </c>
      <c r="F814" s="87" t="s">
        <v>2725</v>
      </c>
      <c r="H814" s="87" t="s">
        <v>701</v>
      </c>
      <c r="I814" s="87" t="s">
        <v>340</v>
      </c>
      <c r="J814" s="87" t="s">
        <v>2726</v>
      </c>
      <c r="K814" s="90">
        <v>1000.0</v>
      </c>
      <c r="L814" s="92"/>
      <c r="M814" s="93"/>
      <c r="N814" s="87" t="s">
        <v>703</v>
      </c>
      <c r="O814" s="87" t="s">
        <v>377</v>
      </c>
      <c r="P814" s="87" t="s">
        <v>372</v>
      </c>
    </row>
    <row r="815" ht="15.75" customHeight="1">
      <c r="A815" s="87" t="s">
        <v>2727</v>
      </c>
      <c r="B815" s="88">
        <v>1.22E18</v>
      </c>
      <c r="C815" s="87" t="s">
        <v>2728</v>
      </c>
      <c r="D815" s="87" t="s">
        <v>87</v>
      </c>
      <c r="E815" s="87" t="s">
        <v>88</v>
      </c>
      <c r="F815" s="87" t="s">
        <v>2728</v>
      </c>
      <c r="I815" s="87" t="s">
        <v>58</v>
      </c>
      <c r="J815" s="87" t="s">
        <v>2729</v>
      </c>
      <c r="K815" s="90">
        <v>0.0</v>
      </c>
      <c r="L815" s="92"/>
      <c r="M815" s="93"/>
      <c r="N815" s="87" t="s">
        <v>1772</v>
      </c>
      <c r="O815" s="87" t="s">
        <v>377</v>
      </c>
      <c r="P815" s="87" t="s">
        <v>372</v>
      </c>
    </row>
    <row r="816" ht="15.75" customHeight="1">
      <c r="A816" s="87" t="s">
        <v>2730</v>
      </c>
      <c r="B816" s="88">
        <v>1.22E18</v>
      </c>
      <c r="C816" s="87" t="s">
        <v>2731</v>
      </c>
      <c r="D816" s="87" t="s">
        <v>57</v>
      </c>
      <c r="E816" s="87" t="s">
        <v>284</v>
      </c>
      <c r="F816" s="87" t="s">
        <v>2731</v>
      </c>
      <c r="I816" s="87" t="s">
        <v>58</v>
      </c>
      <c r="J816" s="87" t="s">
        <v>2732</v>
      </c>
      <c r="K816" s="90">
        <v>0.0</v>
      </c>
      <c r="L816" s="92"/>
      <c r="M816" s="93"/>
      <c r="N816" s="87" t="s">
        <v>1772</v>
      </c>
      <c r="O816" s="87" t="s">
        <v>377</v>
      </c>
      <c r="P816" s="87" t="s">
        <v>372</v>
      </c>
    </row>
    <row r="817" ht="15.75" customHeight="1">
      <c r="A817" s="87" t="s">
        <v>2733</v>
      </c>
      <c r="B817" s="88">
        <v>1.22E18</v>
      </c>
      <c r="C817" s="87" t="s">
        <v>2734</v>
      </c>
      <c r="D817" s="87" t="s">
        <v>87</v>
      </c>
      <c r="E817" s="87" t="s">
        <v>88</v>
      </c>
      <c r="F817" s="87" t="s">
        <v>2734</v>
      </c>
      <c r="I817" s="87" t="s">
        <v>58</v>
      </c>
      <c r="J817" s="87" t="s">
        <v>2735</v>
      </c>
      <c r="K817" s="90">
        <v>0.0</v>
      </c>
      <c r="L817" s="92"/>
      <c r="M817" s="93"/>
      <c r="N817" s="87" t="s">
        <v>1772</v>
      </c>
      <c r="O817" s="87" t="s">
        <v>377</v>
      </c>
      <c r="P817" s="87" t="s">
        <v>372</v>
      </c>
    </row>
    <row r="818" ht="15.75" customHeight="1">
      <c r="A818" s="87" t="s">
        <v>2736</v>
      </c>
      <c r="B818" s="88">
        <v>1.22E18</v>
      </c>
      <c r="C818" s="87" t="s">
        <v>2737</v>
      </c>
      <c r="D818" s="87" t="s">
        <v>87</v>
      </c>
      <c r="E818" s="87" t="s">
        <v>88</v>
      </c>
      <c r="F818" s="87" t="s">
        <v>2737</v>
      </c>
      <c r="I818" s="87" t="s">
        <v>58</v>
      </c>
      <c r="J818" s="87" t="s">
        <v>2738</v>
      </c>
      <c r="K818" s="90">
        <v>0.0</v>
      </c>
      <c r="L818" s="92"/>
      <c r="M818" s="93"/>
      <c r="N818" s="87" t="s">
        <v>1772</v>
      </c>
      <c r="O818" s="87" t="s">
        <v>377</v>
      </c>
      <c r="P818" s="87" t="s">
        <v>372</v>
      </c>
    </row>
    <row r="819" ht="15.75" customHeight="1">
      <c r="A819" s="87" t="s">
        <v>2739</v>
      </c>
      <c r="B819" s="88">
        <v>1.22E18</v>
      </c>
      <c r="C819" s="87" t="s">
        <v>2740</v>
      </c>
      <c r="D819" s="87" t="s">
        <v>262</v>
      </c>
      <c r="E819" s="87" t="s">
        <v>267</v>
      </c>
      <c r="F819" s="118" t="s">
        <v>2740</v>
      </c>
      <c r="G819" s="119"/>
      <c r="H819" s="87" t="s">
        <v>2741</v>
      </c>
      <c r="I819" s="87" t="s">
        <v>58</v>
      </c>
      <c r="J819" s="87" t="s">
        <v>2742</v>
      </c>
      <c r="K819" s="90">
        <v>0.0</v>
      </c>
      <c r="L819" s="92"/>
      <c r="M819" s="93"/>
      <c r="N819" s="87" t="s">
        <v>2345</v>
      </c>
      <c r="O819" s="87" t="s">
        <v>377</v>
      </c>
      <c r="P819" s="87" t="s">
        <v>372</v>
      </c>
    </row>
    <row r="820" ht="15.75" customHeight="1">
      <c r="A820" s="87" t="s">
        <v>2743</v>
      </c>
      <c r="B820" s="88">
        <v>1.22E18</v>
      </c>
      <c r="C820" s="87" t="s">
        <v>2744</v>
      </c>
      <c r="D820" s="87" t="s">
        <v>262</v>
      </c>
      <c r="E820" s="87" t="s">
        <v>267</v>
      </c>
      <c r="F820" s="87" t="s">
        <v>2744</v>
      </c>
      <c r="H820" s="87" t="s">
        <v>2539</v>
      </c>
      <c r="I820" s="87" t="s">
        <v>58</v>
      </c>
      <c r="J820" s="87" t="s">
        <v>2745</v>
      </c>
      <c r="K820" s="90">
        <v>0.0</v>
      </c>
      <c r="L820" s="92"/>
      <c r="M820" s="93"/>
      <c r="N820" s="87" t="s">
        <v>2541</v>
      </c>
      <c r="O820" s="87" t="s">
        <v>377</v>
      </c>
      <c r="P820" s="87" t="s">
        <v>372</v>
      </c>
    </row>
    <row r="821" ht="15.75" customHeight="1">
      <c r="A821" s="87" t="s">
        <v>2746</v>
      </c>
      <c r="B821" s="88">
        <v>1.22E18</v>
      </c>
      <c r="C821" s="87" t="s">
        <v>2747</v>
      </c>
      <c r="D821" s="87" t="s">
        <v>262</v>
      </c>
      <c r="E821" s="87" t="s">
        <v>267</v>
      </c>
      <c r="F821" s="87" t="s">
        <v>2747</v>
      </c>
      <c r="H821" s="87" t="s">
        <v>2539</v>
      </c>
      <c r="I821" s="87" t="s">
        <v>58</v>
      </c>
      <c r="J821" s="87" t="s">
        <v>2748</v>
      </c>
      <c r="K821" s="90">
        <v>0.0</v>
      </c>
      <c r="L821" s="92"/>
      <c r="M821" s="93"/>
      <c r="N821" s="87" t="s">
        <v>2541</v>
      </c>
      <c r="O821" s="87" t="s">
        <v>377</v>
      </c>
      <c r="P821" s="87" t="s">
        <v>372</v>
      </c>
    </row>
    <row r="822" ht="15.75" customHeight="1">
      <c r="A822" s="87" t="s">
        <v>2749</v>
      </c>
      <c r="B822" s="88">
        <v>1.22E18</v>
      </c>
      <c r="C822" s="87" t="s">
        <v>2750</v>
      </c>
      <c r="D822" s="87" t="s">
        <v>262</v>
      </c>
      <c r="E822" s="87" t="s">
        <v>267</v>
      </c>
      <c r="F822" s="87" t="s">
        <v>2750</v>
      </c>
      <c r="H822" s="87" t="s">
        <v>2539</v>
      </c>
      <c r="I822" s="87" t="s">
        <v>58</v>
      </c>
      <c r="J822" s="87" t="s">
        <v>2751</v>
      </c>
      <c r="K822" s="90">
        <v>0.0</v>
      </c>
      <c r="L822" s="92"/>
      <c r="M822" s="93"/>
      <c r="N822" s="87" t="s">
        <v>2541</v>
      </c>
      <c r="O822" s="87" t="s">
        <v>377</v>
      </c>
      <c r="P822" s="87" t="s">
        <v>372</v>
      </c>
    </row>
    <row r="823" ht="15.75" customHeight="1">
      <c r="A823" s="87" t="s">
        <v>2752</v>
      </c>
      <c r="B823" s="88">
        <v>1.22E18</v>
      </c>
      <c r="C823" s="87" t="s">
        <v>2753</v>
      </c>
      <c r="D823" s="87" t="s">
        <v>262</v>
      </c>
      <c r="E823" s="87" t="s">
        <v>267</v>
      </c>
      <c r="F823" s="87" t="s">
        <v>2753</v>
      </c>
      <c r="H823" s="87" t="s">
        <v>2539</v>
      </c>
      <c r="I823" s="87" t="s">
        <v>58</v>
      </c>
      <c r="J823" s="87" t="s">
        <v>2754</v>
      </c>
      <c r="K823" s="90">
        <v>0.0</v>
      </c>
      <c r="L823" s="92"/>
      <c r="M823" s="93"/>
      <c r="N823" s="87" t="s">
        <v>2541</v>
      </c>
      <c r="O823" s="87" t="s">
        <v>377</v>
      </c>
      <c r="P823" s="87" t="s">
        <v>372</v>
      </c>
    </row>
    <row r="824" ht="15.75" customHeight="1">
      <c r="A824" s="87" t="s">
        <v>2755</v>
      </c>
      <c r="B824" s="88">
        <v>1.22E18</v>
      </c>
      <c r="C824" s="87" t="s">
        <v>2756</v>
      </c>
      <c r="D824" s="87" t="s">
        <v>262</v>
      </c>
      <c r="E824" s="87" t="s">
        <v>267</v>
      </c>
      <c r="F824" s="87" t="s">
        <v>2756</v>
      </c>
      <c r="H824" s="87" t="s">
        <v>2539</v>
      </c>
      <c r="I824" s="87" t="s">
        <v>58</v>
      </c>
      <c r="J824" s="87" t="s">
        <v>2757</v>
      </c>
      <c r="K824" s="90">
        <v>0.0</v>
      </c>
      <c r="L824" s="92"/>
      <c r="M824" s="93"/>
      <c r="N824" s="87" t="s">
        <v>2541</v>
      </c>
      <c r="O824" s="87" t="s">
        <v>377</v>
      </c>
      <c r="P824" s="87" t="s">
        <v>372</v>
      </c>
    </row>
    <row r="825" ht="15.75" customHeight="1">
      <c r="A825" s="87" t="s">
        <v>2758</v>
      </c>
      <c r="B825" s="88">
        <v>1.22E18</v>
      </c>
      <c r="C825" s="87" t="s">
        <v>2759</v>
      </c>
      <c r="D825" s="87" t="s">
        <v>87</v>
      </c>
      <c r="E825" s="87" t="s">
        <v>102</v>
      </c>
      <c r="F825" s="118" t="s">
        <v>2759</v>
      </c>
      <c r="G825" s="119"/>
      <c r="H825" s="87" t="s">
        <v>1729</v>
      </c>
      <c r="I825" s="87" t="s">
        <v>58</v>
      </c>
      <c r="J825" s="87" t="s">
        <v>2760</v>
      </c>
      <c r="K825" s="90">
        <v>0.0</v>
      </c>
      <c r="L825" s="92"/>
      <c r="M825" s="93"/>
      <c r="N825" s="87" t="s">
        <v>1729</v>
      </c>
      <c r="O825" s="87" t="s">
        <v>377</v>
      </c>
      <c r="P825" s="87" t="s">
        <v>372</v>
      </c>
    </row>
    <row r="826" ht="15.75" customHeight="1">
      <c r="A826" s="87" t="s">
        <v>2761</v>
      </c>
      <c r="B826" s="88">
        <v>1.22E18</v>
      </c>
      <c r="C826" s="87" t="s">
        <v>2762</v>
      </c>
      <c r="D826" s="87" t="s">
        <v>87</v>
      </c>
      <c r="E826" s="87" t="s">
        <v>102</v>
      </c>
      <c r="F826" s="87" t="s">
        <v>2762</v>
      </c>
      <c r="H826" s="87" t="s">
        <v>1729</v>
      </c>
      <c r="I826" s="87" t="s">
        <v>58</v>
      </c>
      <c r="J826" s="87" t="s">
        <v>2030</v>
      </c>
      <c r="K826" s="90">
        <v>0.0</v>
      </c>
      <c r="L826" s="92"/>
      <c r="M826" s="93"/>
      <c r="N826" s="87" t="s">
        <v>1729</v>
      </c>
      <c r="O826" s="87" t="s">
        <v>377</v>
      </c>
      <c r="P826" s="87" t="s">
        <v>372</v>
      </c>
    </row>
    <row r="827" ht="15.75" customHeight="1">
      <c r="A827" s="87" t="s">
        <v>2763</v>
      </c>
      <c r="B827" s="88">
        <v>1.22E18</v>
      </c>
      <c r="C827" s="87" t="s">
        <v>2764</v>
      </c>
      <c r="D827" s="87" t="s">
        <v>87</v>
      </c>
      <c r="E827" s="87" t="s">
        <v>88</v>
      </c>
      <c r="F827" s="87" t="s">
        <v>2764</v>
      </c>
      <c r="I827" s="87" t="s">
        <v>58</v>
      </c>
      <c r="J827" s="87" t="s">
        <v>2765</v>
      </c>
      <c r="K827" s="90">
        <v>0.0</v>
      </c>
      <c r="L827" s="92"/>
      <c r="M827" s="93"/>
      <c r="N827" s="87" t="s">
        <v>2766</v>
      </c>
      <c r="O827" s="87" t="s">
        <v>377</v>
      </c>
      <c r="P827" s="87" t="s">
        <v>372</v>
      </c>
    </row>
    <row r="828" ht="15.75" customHeight="1">
      <c r="A828" s="87" t="s">
        <v>2767</v>
      </c>
      <c r="B828" s="88">
        <v>1.22E18</v>
      </c>
      <c r="C828" s="87" t="s">
        <v>2768</v>
      </c>
      <c r="D828" s="87" t="s">
        <v>56</v>
      </c>
      <c r="E828" s="87" t="s">
        <v>248</v>
      </c>
      <c r="F828" s="87" t="s">
        <v>2769</v>
      </c>
      <c r="G828" s="93"/>
      <c r="H828" s="93"/>
      <c r="I828" s="87" t="s">
        <v>2770</v>
      </c>
      <c r="J828" s="87" t="s">
        <v>894</v>
      </c>
      <c r="K828" s="90">
        <v>0.0</v>
      </c>
      <c r="L828" s="92"/>
      <c r="M828" s="93"/>
      <c r="N828" s="87" t="s">
        <v>2771</v>
      </c>
      <c r="O828" s="87" t="s">
        <v>377</v>
      </c>
      <c r="P828" s="87" t="s">
        <v>372</v>
      </c>
    </row>
    <row r="829" ht="15.75" customHeight="1">
      <c r="A829" s="87" t="s">
        <v>2772</v>
      </c>
      <c r="B829" s="88">
        <v>1.22E18</v>
      </c>
      <c r="C829" s="87" t="s">
        <v>2773</v>
      </c>
      <c r="D829" s="87" t="s">
        <v>262</v>
      </c>
      <c r="E829" s="87" t="s">
        <v>267</v>
      </c>
      <c r="F829" s="118" t="s">
        <v>2773</v>
      </c>
      <c r="G829" s="119"/>
      <c r="H829" s="87" t="s">
        <v>2774</v>
      </c>
      <c r="I829" s="87" t="s">
        <v>58</v>
      </c>
      <c r="J829" s="87" t="s">
        <v>2775</v>
      </c>
      <c r="K829" s="90">
        <v>0.0</v>
      </c>
      <c r="L829" s="92"/>
      <c r="M829" s="93"/>
      <c r="N829" s="93"/>
      <c r="O829" s="87" t="s">
        <v>377</v>
      </c>
      <c r="P829" s="87" t="s">
        <v>372</v>
      </c>
    </row>
    <row r="830" ht="15.75" customHeight="1">
      <c r="A830" s="87" t="s">
        <v>2776</v>
      </c>
      <c r="B830" s="88">
        <v>1.22E18</v>
      </c>
      <c r="C830" s="87" t="s">
        <v>2777</v>
      </c>
      <c r="D830" s="87" t="s">
        <v>262</v>
      </c>
      <c r="E830" s="87" t="s">
        <v>267</v>
      </c>
      <c r="F830" s="118" t="s">
        <v>2777</v>
      </c>
      <c r="G830" s="119"/>
      <c r="H830" s="87" t="s">
        <v>2774</v>
      </c>
      <c r="I830" s="87" t="s">
        <v>58</v>
      </c>
      <c r="J830" s="87" t="s">
        <v>2778</v>
      </c>
      <c r="K830" s="90">
        <v>0.0</v>
      </c>
      <c r="L830" s="92"/>
      <c r="M830" s="93"/>
      <c r="N830" s="87" t="s">
        <v>2779</v>
      </c>
      <c r="O830" s="87" t="s">
        <v>377</v>
      </c>
      <c r="P830" s="87" t="s">
        <v>372</v>
      </c>
    </row>
    <row r="831" ht="15.75" customHeight="1">
      <c r="A831" s="87" t="s">
        <v>2780</v>
      </c>
      <c r="B831" s="88">
        <v>1.22E18</v>
      </c>
      <c r="C831" s="87" t="s">
        <v>2781</v>
      </c>
      <c r="D831" s="87" t="s">
        <v>87</v>
      </c>
      <c r="E831" s="87" t="s">
        <v>228</v>
      </c>
      <c r="F831" s="87" t="s">
        <v>379</v>
      </c>
      <c r="G831" s="93"/>
      <c r="H831" s="87" t="s">
        <v>408</v>
      </c>
      <c r="I831" s="93"/>
      <c r="J831" s="87" t="s">
        <v>2782</v>
      </c>
      <c r="K831" s="90">
        <v>1000.0</v>
      </c>
      <c r="L831" s="92"/>
      <c r="M831" s="93"/>
      <c r="N831" s="87" t="s">
        <v>408</v>
      </c>
      <c r="O831" s="87" t="s">
        <v>377</v>
      </c>
      <c r="P831" s="87" t="s">
        <v>372</v>
      </c>
    </row>
    <row r="832" ht="15.75" customHeight="1">
      <c r="A832" s="87" t="s">
        <v>2783</v>
      </c>
      <c r="B832" s="88">
        <v>1.22E18</v>
      </c>
      <c r="C832" s="87" t="s">
        <v>2784</v>
      </c>
      <c r="D832" s="87" t="s">
        <v>87</v>
      </c>
      <c r="E832" s="87" t="s">
        <v>228</v>
      </c>
      <c r="F832" s="87" t="s">
        <v>379</v>
      </c>
      <c r="G832" s="93"/>
      <c r="H832" s="87" t="s">
        <v>408</v>
      </c>
      <c r="I832" s="93"/>
      <c r="J832" s="87" t="s">
        <v>2782</v>
      </c>
      <c r="K832" s="90">
        <v>1000.0</v>
      </c>
      <c r="L832" s="92"/>
      <c r="M832" s="93"/>
      <c r="N832" s="87" t="s">
        <v>408</v>
      </c>
      <c r="O832" s="87" t="s">
        <v>377</v>
      </c>
      <c r="P832" s="87" t="s">
        <v>372</v>
      </c>
    </row>
    <row r="833" ht="15.75" customHeight="1">
      <c r="A833" s="87" t="s">
        <v>2785</v>
      </c>
      <c r="B833" s="88">
        <v>1.22E18</v>
      </c>
      <c r="C833" s="87" t="s">
        <v>2786</v>
      </c>
      <c r="D833" s="87" t="s">
        <v>87</v>
      </c>
      <c r="E833" s="87" t="s">
        <v>228</v>
      </c>
      <c r="F833" s="87" t="s">
        <v>379</v>
      </c>
      <c r="G833" s="93"/>
      <c r="H833" s="87" t="s">
        <v>408</v>
      </c>
      <c r="I833" s="93"/>
      <c r="J833" s="87" t="s">
        <v>2782</v>
      </c>
      <c r="K833" s="90">
        <v>500.0</v>
      </c>
      <c r="L833" s="92"/>
      <c r="M833" s="93"/>
      <c r="N833" s="87" t="s">
        <v>703</v>
      </c>
      <c r="O833" s="87" t="s">
        <v>377</v>
      </c>
      <c r="P833" s="87" t="s">
        <v>372</v>
      </c>
    </row>
    <row r="834" ht="15.75" customHeight="1">
      <c r="A834" s="87" t="s">
        <v>2787</v>
      </c>
      <c r="B834" s="88">
        <v>1.22E18</v>
      </c>
      <c r="C834" s="87" t="s">
        <v>2788</v>
      </c>
      <c r="D834" s="87" t="s">
        <v>87</v>
      </c>
      <c r="E834" s="87" t="s">
        <v>233</v>
      </c>
      <c r="F834" s="87" t="s">
        <v>2788</v>
      </c>
      <c r="H834" s="87" t="s">
        <v>2789</v>
      </c>
      <c r="I834" s="87" t="s">
        <v>340</v>
      </c>
      <c r="J834" s="87" t="s">
        <v>2790</v>
      </c>
      <c r="K834" s="90">
        <v>0.0</v>
      </c>
      <c r="L834" s="92"/>
      <c r="M834" s="93"/>
      <c r="N834" s="87" t="s">
        <v>2791</v>
      </c>
      <c r="O834" s="87" t="s">
        <v>377</v>
      </c>
      <c r="P834" s="87" t="s">
        <v>372</v>
      </c>
    </row>
    <row r="835" ht="15.75" customHeight="1">
      <c r="A835" s="87" t="s">
        <v>2792</v>
      </c>
      <c r="B835" s="88">
        <v>1.22E18</v>
      </c>
      <c r="C835" s="87" t="s">
        <v>2793</v>
      </c>
      <c r="D835" s="87" t="s">
        <v>87</v>
      </c>
      <c r="E835" s="87" t="s">
        <v>233</v>
      </c>
      <c r="F835" s="87" t="s">
        <v>2793</v>
      </c>
      <c r="H835" s="87" t="s">
        <v>2789</v>
      </c>
      <c r="I835" s="87" t="s">
        <v>340</v>
      </c>
      <c r="J835" s="87" t="s">
        <v>2794</v>
      </c>
      <c r="K835" s="90">
        <v>1000.0</v>
      </c>
      <c r="L835" s="92"/>
      <c r="M835" s="93"/>
      <c r="N835" s="87" t="s">
        <v>2795</v>
      </c>
      <c r="O835" s="87" t="s">
        <v>377</v>
      </c>
      <c r="P835" s="87" t="s">
        <v>372</v>
      </c>
    </row>
    <row r="836" ht="15.75" customHeight="1">
      <c r="A836" s="87" t="s">
        <v>2796</v>
      </c>
      <c r="B836" s="88">
        <v>1.22E18</v>
      </c>
      <c r="C836" s="87" t="s">
        <v>2797</v>
      </c>
      <c r="D836" s="87" t="s">
        <v>87</v>
      </c>
      <c r="E836" s="87" t="s">
        <v>233</v>
      </c>
      <c r="F836" s="87" t="s">
        <v>2797</v>
      </c>
      <c r="H836" s="87" t="s">
        <v>2789</v>
      </c>
      <c r="I836" s="87" t="s">
        <v>340</v>
      </c>
      <c r="J836" s="87" t="s">
        <v>2794</v>
      </c>
      <c r="K836" s="90">
        <v>1000.0</v>
      </c>
      <c r="L836" s="92"/>
      <c r="M836" s="93"/>
      <c r="N836" s="87" t="s">
        <v>2795</v>
      </c>
      <c r="O836" s="87" t="s">
        <v>377</v>
      </c>
      <c r="P836" s="87" t="s">
        <v>372</v>
      </c>
    </row>
    <row r="837" ht="15.75" customHeight="1">
      <c r="A837" s="87" t="s">
        <v>2798</v>
      </c>
      <c r="B837" s="88">
        <v>1.22E18</v>
      </c>
      <c r="C837" s="87" t="s">
        <v>2799</v>
      </c>
      <c r="D837" s="87" t="s">
        <v>87</v>
      </c>
      <c r="E837" s="87" t="s">
        <v>228</v>
      </c>
      <c r="F837" s="118" t="s">
        <v>2799</v>
      </c>
      <c r="G837" s="119"/>
      <c r="H837" s="87" t="s">
        <v>2800</v>
      </c>
      <c r="I837" s="87" t="s">
        <v>340</v>
      </c>
      <c r="J837" s="87" t="s">
        <v>2801</v>
      </c>
      <c r="K837" s="90">
        <v>100.0</v>
      </c>
      <c r="L837" s="92"/>
      <c r="M837" s="93"/>
      <c r="N837" s="87" t="s">
        <v>1844</v>
      </c>
      <c r="O837" s="87" t="s">
        <v>377</v>
      </c>
      <c r="P837" s="87" t="s">
        <v>372</v>
      </c>
    </row>
    <row r="838" ht="15.75" customHeight="1">
      <c r="A838" s="87" t="s">
        <v>2802</v>
      </c>
      <c r="B838" s="88">
        <v>1.22E18</v>
      </c>
      <c r="C838" s="87" t="s">
        <v>2803</v>
      </c>
      <c r="D838" s="87" t="s">
        <v>262</v>
      </c>
      <c r="E838" s="87" t="s">
        <v>263</v>
      </c>
      <c r="F838" s="87" t="s">
        <v>415</v>
      </c>
      <c r="G838" s="93"/>
      <c r="H838" s="93"/>
      <c r="I838" s="87" t="s">
        <v>58</v>
      </c>
      <c r="J838" s="87" t="s">
        <v>2804</v>
      </c>
      <c r="K838" s="90">
        <v>11.0</v>
      </c>
      <c r="L838" s="92"/>
      <c r="M838" s="93"/>
      <c r="N838" s="87" t="s">
        <v>2805</v>
      </c>
      <c r="O838" s="87" t="s">
        <v>377</v>
      </c>
      <c r="P838" s="87" t="s">
        <v>372</v>
      </c>
    </row>
    <row r="839" ht="15.75" customHeight="1">
      <c r="A839" s="87" t="s">
        <v>2806</v>
      </c>
      <c r="B839" s="88">
        <v>1.22E18</v>
      </c>
      <c r="C839" s="87" t="s">
        <v>2807</v>
      </c>
      <c r="D839" s="87" t="s">
        <v>87</v>
      </c>
      <c r="E839" s="87" t="s">
        <v>228</v>
      </c>
      <c r="F839" s="87" t="s">
        <v>373</v>
      </c>
      <c r="H839" s="87" t="s">
        <v>408</v>
      </c>
      <c r="I839" s="87" t="s">
        <v>340</v>
      </c>
      <c r="J839" s="87" t="s">
        <v>2808</v>
      </c>
      <c r="K839" s="90">
        <v>2000.0</v>
      </c>
      <c r="L839" s="92"/>
      <c r="M839" s="93"/>
      <c r="N839" s="87" t="s">
        <v>408</v>
      </c>
      <c r="O839" s="87" t="s">
        <v>377</v>
      </c>
      <c r="P839" s="87" t="s">
        <v>372</v>
      </c>
    </row>
    <row r="840" ht="15.75" customHeight="1">
      <c r="A840" s="87" t="s">
        <v>2809</v>
      </c>
      <c r="B840" s="88">
        <v>1.22E18</v>
      </c>
      <c r="C840" s="87" t="s">
        <v>2810</v>
      </c>
      <c r="D840" s="87" t="s">
        <v>87</v>
      </c>
      <c r="E840" s="87" t="s">
        <v>228</v>
      </c>
      <c r="F840" s="87" t="s">
        <v>373</v>
      </c>
      <c r="H840" s="87" t="s">
        <v>408</v>
      </c>
      <c r="I840" s="87" t="s">
        <v>340</v>
      </c>
      <c r="J840" s="87" t="s">
        <v>2808</v>
      </c>
      <c r="K840" s="90">
        <v>1500.0</v>
      </c>
      <c r="L840" s="92"/>
      <c r="M840" s="93"/>
      <c r="N840" s="87" t="s">
        <v>408</v>
      </c>
      <c r="O840" s="87" t="s">
        <v>377</v>
      </c>
      <c r="P840" s="87" t="s">
        <v>372</v>
      </c>
    </row>
    <row r="841" ht="15.75" customHeight="1">
      <c r="A841" s="87" t="s">
        <v>2811</v>
      </c>
      <c r="B841" s="88">
        <v>1.22E18</v>
      </c>
      <c r="C841" s="87" t="s">
        <v>2812</v>
      </c>
      <c r="D841" s="87" t="s">
        <v>56</v>
      </c>
      <c r="E841" s="87" t="s">
        <v>59</v>
      </c>
      <c r="F841" s="87" t="s">
        <v>2812</v>
      </c>
      <c r="H841" s="93"/>
      <c r="I841" s="87" t="s">
        <v>58</v>
      </c>
      <c r="J841" s="87" t="s">
        <v>1961</v>
      </c>
      <c r="K841" s="90">
        <v>0.0</v>
      </c>
      <c r="L841" s="92"/>
      <c r="M841" s="93"/>
      <c r="N841" s="87" t="s">
        <v>2576</v>
      </c>
      <c r="O841" s="87" t="s">
        <v>377</v>
      </c>
      <c r="P841" s="87" t="s">
        <v>372</v>
      </c>
    </row>
    <row r="842" ht="15.75" customHeight="1">
      <c r="A842" s="87" t="s">
        <v>2813</v>
      </c>
      <c r="B842" s="88">
        <v>1.22E18</v>
      </c>
      <c r="C842" s="87" t="s">
        <v>2814</v>
      </c>
      <c r="D842" s="87" t="s">
        <v>57</v>
      </c>
      <c r="E842" s="87" t="s">
        <v>281</v>
      </c>
      <c r="F842" s="87" t="s">
        <v>415</v>
      </c>
      <c r="G842" s="93"/>
      <c r="H842" s="87" t="s">
        <v>2815</v>
      </c>
      <c r="I842" s="87" t="s">
        <v>58</v>
      </c>
      <c r="J842" s="87" t="s">
        <v>2816</v>
      </c>
      <c r="K842" s="90">
        <v>1.0</v>
      </c>
      <c r="L842" s="92"/>
      <c r="M842" s="93"/>
      <c r="N842" s="87" t="s">
        <v>1772</v>
      </c>
      <c r="O842" s="87" t="s">
        <v>377</v>
      </c>
      <c r="P842" s="87" t="s">
        <v>372</v>
      </c>
    </row>
    <row r="843" ht="15.75" customHeight="1">
      <c r="A843" s="87" t="s">
        <v>2817</v>
      </c>
      <c r="B843" s="88">
        <v>1.22E18</v>
      </c>
      <c r="C843" s="87" t="s">
        <v>2818</v>
      </c>
      <c r="D843" s="87" t="s">
        <v>57</v>
      </c>
      <c r="E843" s="87" t="s">
        <v>281</v>
      </c>
      <c r="F843" s="87" t="s">
        <v>2819</v>
      </c>
      <c r="G843" s="87" t="s">
        <v>2820</v>
      </c>
      <c r="H843" s="87" t="s">
        <v>2815</v>
      </c>
      <c r="I843" s="87" t="s">
        <v>2333</v>
      </c>
      <c r="J843" s="87" t="s">
        <v>2379</v>
      </c>
      <c r="K843" s="90">
        <v>4.0</v>
      </c>
      <c r="L843" s="90">
        <v>2.0</v>
      </c>
      <c r="M843" s="87" t="s">
        <v>2821</v>
      </c>
      <c r="N843" s="87" t="s">
        <v>1772</v>
      </c>
      <c r="O843" s="87" t="s">
        <v>377</v>
      </c>
      <c r="P843" s="87" t="s">
        <v>372</v>
      </c>
    </row>
    <row r="844" ht="15.75" customHeight="1">
      <c r="A844" s="87" t="s">
        <v>2822</v>
      </c>
      <c r="B844" s="88">
        <v>1.22E18</v>
      </c>
      <c r="C844" s="87" t="s">
        <v>2823</v>
      </c>
      <c r="D844" s="87" t="s">
        <v>57</v>
      </c>
      <c r="E844" s="87" t="s">
        <v>281</v>
      </c>
      <c r="F844" s="87" t="s">
        <v>2819</v>
      </c>
      <c r="G844" s="87" t="s">
        <v>2824</v>
      </c>
      <c r="H844" s="87" t="s">
        <v>2815</v>
      </c>
      <c r="I844" s="87" t="s">
        <v>2333</v>
      </c>
      <c r="J844" s="87" t="s">
        <v>2379</v>
      </c>
      <c r="K844" s="90">
        <v>12.0</v>
      </c>
      <c r="L844" s="90">
        <v>2.0</v>
      </c>
      <c r="M844" s="87" t="s">
        <v>2821</v>
      </c>
      <c r="N844" s="87" t="s">
        <v>1772</v>
      </c>
      <c r="O844" s="87" t="s">
        <v>377</v>
      </c>
      <c r="P844" s="87" t="s">
        <v>372</v>
      </c>
    </row>
    <row r="845" ht="15.75" customHeight="1">
      <c r="A845" s="87" t="s">
        <v>2825</v>
      </c>
      <c r="B845" s="88">
        <v>1.22E18</v>
      </c>
      <c r="C845" s="87" t="s">
        <v>2826</v>
      </c>
      <c r="D845" s="87" t="s">
        <v>87</v>
      </c>
      <c r="E845" s="87" t="s">
        <v>88</v>
      </c>
      <c r="F845" s="118" t="s">
        <v>2826</v>
      </c>
      <c r="G845" s="130"/>
      <c r="H845" s="119"/>
      <c r="I845" s="87" t="s">
        <v>58</v>
      </c>
      <c r="J845" s="87" t="s">
        <v>2827</v>
      </c>
      <c r="K845" s="90">
        <v>0.0</v>
      </c>
      <c r="L845" s="92"/>
      <c r="M845" s="93"/>
      <c r="N845" s="87" t="s">
        <v>2364</v>
      </c>
      <c r="O845" s="87" t="s">
        <v>377</v>
      </c>
      <c r="P845" s="87" t="s">
        <v>372</v>
      </c>
    </row>
    <row r="846" ht="15.75" customHeight="1">
      <c r="A846" s="87" t="s">
        <v>2828</v>
      </c>
      <c r="B846" s="88">
        <v>1.22E18</v>
      </c>
      <c r="C846" s="87" t="s">
        <v>2829</v>
      </c>
      <c r="D846" s="87" t="s">
        <v>262</v>
      </c>
      <c r="E846" s="87" t="s">
        <v>278</v>
      </c>
      <c r="F846" s="87" t="s">
        <v>2829</v>
      </c>
      <c r="I846" s="87" t="s">
        <v>103</v>
      </c>
      <c r="J846" s="87" t="s">
        <v>2830</v>
      </c>
      <c r="L846" s="92"/>
      <c r="M846" s="93"/>
      <c r="N846" s="93"/>
      <c r="O846" s="87" t="s">
        <v>377</v>
      </c>
      <c r="P846" s="87" t="s">
        <v>2565</v>
      </c>
    </row>
    <row r="847" ht="15.75" customHeight="1">
      <c r="A847" s="87" t="s">
        <v>2831</v>
      </c>
      <c r="B847" s="88">
        <v>1.22E18</v>
      </c>
      <c r="C847" s="87" t="s">
        <v>2832</v>
      </c>
      <c r="D847" s="87" t="s">
        <v>57</v>
      </c>
      <c r="E847" s="87" t="s">
        <v>287</v>
      </c>
      <c r="F847" s="87" t="s">
        <v>415</v>
      </c>
      <c r="G847" s="93"/>
      <c r="H847" s="87" t="s">
        <v>2833</v>
      </c>
      <c r="I847" s="87" t="s">
        <v>58</v>
      </c>
      <c r="J847" s="87" t="s">
        <v>2834</v>
      </c>
      <c r="K847" s="90">
        <v>1.0</v>
      </c>
      <c r="L847" s="92"/>
      <c r="M847" s="93"/>
      <c r="N847" s="87" t="s">
        <v>2835</v>
      </c>
      <c r="O847" s="87" t="s">
        <v>377</v>
      </c>
      <c r="P847" s="87" t="s">
        <v>372</v>
      </c>
    </row>
    <row r="848" ht="15.75" customHeight="1">
      <c r="A848" s="87" t="s">
        <v>2836</v>
      </c>
      <c r="B848" s="88">
        <v>1.22E18</v>
      </c>
      <c r="C848" s="87" t="s">
        <v>2837</v>
      </c>
      <c r="D848" s="87" t="s">
        <v>262</v>
      </c>
      <c r="E848" s="87" t="s">
        <v>275</v>
      </c>
      <c r="F848" s="87" t="s">
        <v>2837</v>
      </c>
      <c r="I848" s="87" t="s">
        <v>58</v>
      </c>
      <c r="J848" s="87" t="s">
        <v>2838</v>
      </c>
      <c r="K848" s="90">
        <v>0.0</v>
      </c>
      <c r="L848" s="92"/>
      <c r="M848" s="93"/>
      <c r="N848" s="87" t="s">
        <v>2358</v>
      </c>
      <c r="O848" s="87" t="s">
        <v>377</v>
      </c>
      <c r="P848" s="87" t="s">
        <v>372</v>
      </c>
    </row>
    <row r="849" ht="15.75" customHeight="1">
      <c r="A849" s="87" t="s">
        <v>2839</v>
      </c>
      <c r="B849" s="88">
        <v>1.22E18</v>
      </c>
      <c r="C849" s="87" t="s">
        <v>2840</v>
      </c>
      <c r="D849" s="87" t="s">
        <v>262</v>
      </c>
      <c r="E849" s="87" t="s">
        <v>278</v>
      </c>
      <c r="F849" s="87" t="s">
        <v>2840</v>
      </c>
      <c r="I849" s="87" t="s">
        <v>103</v>
      </c>
      <c r="J849" s="87" t="s">
        <v>2841</v>
      </c>
      <c r="L849" s="92"/>
      <c r="M849" s="93"/>
      <c r="N849" s="93"/>
      <c r="O849" s="87" t="s">
        <v>377</v>
      </c>
      <c r="P849" s="87" t="s">
        <v>2565</v>
      </c>
    </row>
    <row r="850" ht="15.75" customHeight="1">
      <c r="A850" s="87" t="s">
        <v>2842</v>
      </c>
      <c r="B850" s="88">
        <v>1.22E18</v>
      </c>
      <c r="C850" s="87" t="s">
        <v>2843</v>
      </c>
      <c r="D850" s="87" t="s">
        <v>262</v>
      </c>
      <c r="E850" s="87" t="s">
        <v>278</v>
      </c>
      <c r="F850" s="87" t="s">
        <v>2843</v>
      </c>
      <c r="I850" s="87" t="s">
        <v>103</v>
      </c>
      <c r="J850" s="87" t="s">
        <v>2844</v>
      </c>
      <c r="L850" s="92"/>
      <c r="M850" s="93"/>
      <c r="N850" s="93"/>
      <c r="O850" s="87" t="s">
        <v>377</v>
      </c>
      <c r="P850" s="87" t="s">
        <v>2565</v>
      </c>
    </row>
    <row r="851" ht="15.75" customHeight="1">
      <c r="A851" s="87" t="s">
        <v>2845</v>
      </c>
      <c r="B851" s="88">
        <v>1.22E18</v>
      </c>
      <c r="C851" s="87" t="s">
        <v>2846</v>
      </c>
      <c r="D851" s="87" t="s">
        <v>262</v>
      </c>
      <c r="E851" s="87" t="s">
        <v>278</v>
      </c>
      <c r="F851" s="87" t="s">
        <v>2846</v>
      </c>
      <c r="I851" s="87" t="s">
        <v>103</v>
      </c>
      <c r="J851" s="87" t="s">
        <v>2841</v>
      </c>
      <c r="L851" s="92"/>
      <c r="M851" s="93"/>
      <c r="N851" s="93"/>
      <c r="O851" s="87" t="s">
        <v>377</v>
      </c>
      <c r="P851" s="87" t="s">
        <v>2565</v>
      </c>
    </row>
    <row r="852" ht="15.75" customHeight="1">
      <c r="A852" s="87" t="s">
        <v>2847</v>
      </c>
      <c r="B852" s="88">
        <v>1.22E18</v>
      </c>
      <c r="C852" s="87" t="s">
        <v>2848</v>
      </c>
      <c r="D852" s="87" t="s">
        <v>87</v>
      </c>
      <c r="E852" s="87" t="s">
        <v>88</v>
      </c>
      <c r="F852" s="87" t="s">
        <v>2848</v>
      </c>
      <c r="H852" s="93"/>
      <c r="I852" s="87" t="s">
        <v>58</v>
      </c>
      <c r="J852" s="87" t="s">
        <v>1836</v>
      </c>
      <c r="K852" s="90">
        <v>0.0</v>
      </c>
      <c r="L852" s="92"/>
      <c r="M852" s="93"/>
      <c r="N852" s="87" t="s">
        <v>2849</v>
      </c>
      <c r="O852" s="87" t="s">
        <v>377</v>
      </c>
      <c r="P852" s="87" t="s">
        <v>372</v>
      </c>
    </row>
    <row r="853" ht="15.75" customHeight="1">
      <c r="A853" s="87" t="s">
        <v>2850</v>
      </c>
      <c r="B853" s="88">
        <v>1.22E18</v>
      </c>
      <c r="C853" s="87" t="s">
        <v>2851</v>
      </c>
      <c r="D853" s="87" t="s">
        <v>56</v>
      </c>
      <c r="E853" s="87" t="s">
        <v>248</v>
      </c>
      <c r="F853" s="87" t="s">
        <v>2851</v>
      </c>
      <c r="H853" s="93"/>
      <c r="I853" s="87" t="s">
        <v>58</v>
      </c>
      <c r="J853" s="87" t="s">
        <v>2852</v>
      </c>
      <c r="K853" s="90">
        <v>0.0</v>
      </c>
      <c r="L853" s="92"/>
      <c r="M853" s="93"/>
      <c r="N853" s="87" t="s">
        <v>2849</v>
      </c>
      <c r="O853" s="87" t="s">
        <v>377</v>
      </c>
      <c r="P853" s="87" t="s">
        <v>372</v>
      </c>
    </row>
    <row r="854" ht="15.75" customHeight="1">
      <c r="A854" s="87" t="s">
        <v>2853</v>
      </c>
      <c r="B854" s="88">
        <v>1.22E18</v>
      </c>
      <c r="C854" s="87" t="s">
        <v>2854</v>
      </c>
      <c r="D854" s="87" t="s">
        <v>56</v>
      </c>
      <c r="E854" s="87" t="s">
        <v>248</v>
      </c>
      <c r="F854" s="87" t="s">
        <v>2854</v>
      </c>
      <c r="H854" s="93"/>
      <c r="I854" s="87" t="s">
        <v>58</v>
      </c>
      <c r="J854" s="87" t="s">
        <v>2855</v>
      </c>
      <c r="K854" s="90">
        <v>0.0</v>
      </c>
      <c r="L854" s="92"/>
      <c r="M854" s="93"/>
      <c r="N854" s="87" t="s">
        <v>2849</v>
      </c>
      <c r="O854" s="87" t="s">
        <v>377</v>
      </c>
      <c r="P854" s="87" t="s">
        <v>372</v>
      </c>
    </row>
    <row r="855" ht="15.75" customHeight="1">
      <c r="A855" s="87" t="s">
        <v>2856</v>
      </c>
      <c r="B855" s="88">
        <v>1.22E18</v>
      </c>
      <c r="C855" s="87" t="s">
        <v>2857</v>
      </c>
      <c r="D855" s="87" t="s">
        <v>87</v>
      </c>
      <c r="E855" s="87" t="s">
        <v>88</v>
      </c>
      <c r="F855" s="118" t="s">
        <v>2857</v>
      </c>
      <c r="G855" s="130"/>
      <c r="H855" s="119"/>
      <c r="I855" s="87" t="s">
        <v>58</v>
      </c>
      <c r="J855" s="87" t="s">
        <v>2858</v>
      </c>
      <c r="K855" s="90">
        <v>0.0</v>
      </c>
      <c r="L855" s="92"/>
      <c r="M855" s="93"/>
      <c r="N855" s="87" t="s">
        <v>2859</v>
      </c>
      <c r="O855" s="87" t="s">
        <v>377</v>
      </c>
      <c r="P855" s="87" t="s">
        <v>372</v>
      </c>
    </row>
    <row r="856" ht="15.75" customHeight="1">
      <c r="A856" s="87" t="s">
        <v>2860</v>
      </c>
      <c r="B856" s="88">
        <v>1.22E18</v>
      </c>
      <c r="C856" s="87" t="s">
        <v>2861</v>
      </c>
      <c r="D856" s="87" t="s">
        <v>87</v>
      </c>
      <c r="E856" s="87" t="s">
        <v>88</v>
      </c>
      <c r="F856" s="118" t="s">
        <v>2861</v>
      </c>
      <c r="G856" s="130"/>
      <c r="H856" s="119"/>
      <c r="I856" s="87" t="s">
        <v>58</v>
      </c>
      <c r="J856" s="87" t="s">
        <v>2862</v>
      </c>
      <c r="K856" s="90">
        <v>0.0</v>
      </c>
      <c r="L856" s="92"/>
      <c r="M856" s="93"/>
      <c r="N856" s="87" t="s">
        <v>1772</v>
      </c>
      <c r="O856" s="87" t="s">
        <v>377</v>
      </c>
      <c r="P856" s="87" t="s">
        <v>372</v>
      </c>
    </row>
    <row r="857" ht="15.75" customHeight="1">
      <c r="A857" s="87" t="s">
        <v>2863</v>
      </c>
      <c r="B857" s="88">
        <v>1.22E18</v>
      </c>
      <c r="C857" s="87" t="s">
        <v>2864</v>
      </c>
      <c r="D857" s="87" t="s">
        <v>87</v>
      </c>
      <c r="E857" s="87" t="s">
        <v>102</v>
      </c>
      <c r="F857" s="87" t="s">
        <v>2864</v>
      </c>
      <c r="H857" s="87" t="s">
        <v>1729</v>
      </c>
      <c r="I857" s="87" t="s">
        <v>58</v>
      </c>
      <c r="J857" s="87" t="s">
        <v>2865</v>
      </c>
      <c r="K857" s="90">
        <v>0.0</v>
      </c>
      <c r="L857" s="92"/>
      <c r="M857" s="93"/>
      <c r="N857" s="87" t="s">
        <v>1729</v>
      </c>
      <c r="O857" s="87" t="s">
        <v>377</v>
      </c>
      <c r="P857" s="87" t="s">
        <v>372</v>
      </c>
    </row>
    <row r="858" ht="15.75" customHeight="1">
      <c r="A858" s="87" t="s">
        <v>2866</v>
      </c>
      <c r="B858" s="88">
        <v>1.22E18</v>
      </c>
      <c r="C858" s="87" t="s">
        <v>2867</v>
      </c>
      <c r="D858" s="87" t="s">
        <v>87</v>
      </c>
      <c r="E858" s="87" t="s">
        <v>102</v>
      </c>
      <c r="F858" s="118" t="s">
        <v>2867</v>
      </c>
      <c r="G858" s="119"/>
      <c r="H858" s="87" t="s">
        <v>1729</v>
      </c>
      <c r="I858" s="87" t="s">
        <v>58</v>
      </c>
      <c r="J858" s="87" t="s">
        <v>2868</v>
      </c>
      <c r="K858" s="90">
        <v>0.0</v>
      </c>
      <c r="L858" s="92"/>
      <c r="M858" s="93"/>
      <c r="N858" s="87" t="s">
        <v>1729</v>
      </c>
      <c r="O858" s="87" t="s">
        <v>377</v>
      </c>
      <c r="P858" s="87" t="s">
        <v>372</v>
      </c>
    </row>
    <row r="859" ht="15.75" customHeight="1">
      <c r="A859" s="87" t="s">
        <v>2869</v>
      </c>
      <c r="B859" s="88">
        <v>1.22E18</v>
      </c>
      <c r="C859" s="87" t="s">
        <v>2870</v>
      </c>
      <c r="D859" s="87" t="s">
        <v>262</v>
      </c>
      <c r="E859" s="87" t="s">
        <v>267</v>
      </c>
      <c r="F859" s="87" t="s">
        <v>2870</v>
      </c>
      <c r="I859" s="87" t="s">
        <v>58</v>
      </c>
      <c r="J859" s="87" t="s">
        <v>2871</v>
      </c>
      <c r="K859" s="90">
        <v>0.0</v>
      </c>
      <c r="L859" s="92"/>
      <c r="M859" s="93"/>
      <c r="N859" s="87" t="s">
        <v>2541</v>
      </c>
      <c r="O859" s="87" t="s">
        <v>377</v>
      </c>
      <c r="P859" s="87" t="s">
        <v>372</v>
      </c>
    </row>
    <row r="860" ht="15.75" customHeight="1">
      <c r="A860" s="87" t="s">
        <v>2872</v>
      </c>
      <c r="B860" s="88">
        <v>1.22E18</v>
      </c>
      <c r="C860" s="87" t="s">
        <v>2873</v>
      </c>
      <c r="D860" s="87" t="s">
        <v>87</v>
      </c>
      <c r="E860" s="87" t="s">
        <v>228</v>
      </c>
      <c r="F860" s="87" t="s">
        <v>379</v>
      </c>
      <c r="G860" s="93"/>
      <c r="H860" s="93"/>
      <c r="I860" s="93"/>
      <c r="J860" s="87" t="s">
        <v>2874</v>
      </c>
      <c r="K860" s="90">
        <v>2500.0</v>
      </c>
      <c r="L860" s="92"/>
      <c r="M860" s="93"/>
      <c r="N860" s="87" t="s">
        <v>617</v>
      </c>
      <c r="O860" s="87" t="s">
        <v>377</v>
      </c>
      <c r="P860" s="87" t="s">
        <v>372</v>
      </c>
    </row>
    <row r="861" ht="15.75" customHeight="1">
      <c r="A861" s="87" t="s">
        <v>2875</v>
      </c>
      <c r="B861" s="88">
        <v>1.22E18</v>
      </c>
      <c r="C861" s="87" t="s">
        <v>2876</v>
      </c>
      <c r="D861" s="87" t="s">
        <v>87</v>
      </c>
      <c r="E861" s="87" t="s">
        <v>228</v>
      </c>
      <c r="F861" s="87" t="s">
        <v>2876</v>
      </c>
      <c r="H861" s="87" t="s">
        <v>374</v>
      </c>
      <c r="I861" s="87" t="s">
        <v>340</v>
      </c>
      <c r="J861" s="87" t="s">
        <v>2877</v>
      </c>
      <c r="K861" s="90">
        <v>0.0</v>
      </c>
      <c r="L861" s="92"/>
      <c r="M861" s="93"/>
      <c r="N861" s="87" t="s">
        <v>617</v>
      </c>
      <c r="O861" s="87" t="s">
        <v>377</v>
      </c>
      <c r="P861" s="87" t="s">
        <v>372</v>
      </c>
    </row>
    <row r="862" ht="15.75" customHeight="1">
      <c r="A862" s="87" t="s">
        <v>2878</v>
      </c>
      <c r="B862" s="88">
        <v>1.22E18</v>
      </c>
      <c r="C862" s="87" t="s">
        <v>2879</v>
      </c>
      <c r="D862" s="87" t="s">
        <v>87</v>
      </c>
      <c r="E862" s="87" t="s">
        <v>88</v>
      </c>
      <c r="F862" s="118" t="s">
        <v>2879</v>
      </c>
      <c r="G862" s="130"/>
      <c r="H862" s="119"/>
      <c r="I862" s="87" t="s">
        <v>58</v>
      </c>
      <c r="J862" s="87" t="s">
        <v>2880</v>
      </c>
      <c r="K862" s="90">
        <v>0.0</v>
      </c>
      <c r="L862" s="92"/>
      <c r="M862" s="93"/>
      <c r="N862" s="87" t="s">
        <v>1796</v>
      </c>
      <c r="O862" s="87" t="s">
        <v>377</v>
      </c>
      <c r="P862" s="87" t="s">
        <v>372</v>
      </c>
    </row>
    <row r="863" ht="15.75" customHeight="1">
      <c r="A863" s="87" t="s">
        <v>2881</v>
      </c>
      <c r="B863" s="88">
        <v>1.22E18</v>
      </c>
      <c r="C863" s="87" t="s">
        <v>2882</v>
      </c>
      <c r="D863" s="87" t="s">
        <v>57</v>
      </c>
      <c r="E863" s="87" t="s">
        <v>284</v>
      </c>
      <c r="F863" s="87" t="s">
        <v>2882</v>
      </c>
      <c r="I863" s="87" t="s">
        <v>58</v>
      </c>
      <c r="J863" s="87" t="s">
        <v>806</v>
      </c>
      <c r="K863" s="90">
        <v>0.0</v>
      </c>
      <c r="L863" s="92"/>
      <c r="M863" s="93"/>
      <c r="N863" s="87" t="s">
        <v>2883</v>
      </c>
      <c r="O863" s="87" t="s">
        <v>377</v>
      </c>
      <c r="P863" s="87" t="s">
        <v>372</v>
      </c>
    </row>
    <row r="864" ht="15.75" customHeight="1">
      <c r="A864" s="87" t="s">
        <v>2884</v>
      </c>
      <c r="B864" s="88">
        <v>1.22E18</v>
      </c>
      <c r="C864" s="87" t="s">
        <v>2885</v>
      </c>
      <c r="D864" s="87" t="s">
        <v>87</v>
      </c>
      <c r="E864" s="87" t="s">
        <v>88</v>
      </c>
      <c r="F864" s="87" t="s">
        <v>2885</v>
      </c>
      <c r="H864" s="93"/>
      <c r="I864" s="87" t="s">
        <v>58</v>
      </c>
      <c r="J864" s="87" t="s">
        <v>2886</v>
      </c>
      <c r="K864" s="90">
        <v>0.0</v>
      </c>
      <c r="L864" s="92"/>
      <c r="M864" s="93"/>
      <c r="N864" s="87" t="s">
        <v>2887</v>
      </c>
      <c r="O864" s="87" t="s">
        <v>377</v>
      </c>
      <c r="P864" s="87" t="s">
        <v>372</v>
      </c>
    </row>
    <row r="865" ht="15.75" customHeight="1">
      <c r="A865" s="87" t="s">
        <v>2888</v>
      </c>
      <c r="B865" s="88">
        <v>1.22E18</v>
      </c>
      <c r="C865" s="87" t="s">
        <v>2889</v>
      </c>
      <c r="D865" s="87" t="s">
        <v>87</v>
      </c>
      <c r="E865" s="87" t="s">
        <v>233</v>
      </c>
      <c r="F865" s="87" t="s">
        <v>2889</v>
      </c>
      <c r="H865" s="87" t="s">
        <v>369</v>
      </c>
      <c r="I865" s="87" t="s">
        <v>340</v>
      </c>
      <c r="J865" s="87" t="s">
        <v>2890</v>
      </c>
      <c r="K865" s="90">
        <v>500000.0</v>
      </c>
      <c r="L865" s="92"/>
      <c r="M865" s="93"/>
      <c r="N865" s="87" t="s">
        <v>390</v>
      </c>
      <c r="O865" s="87" t="s">
        <v>377</v>
      </c>
      <c r="P865" s="87" t="s">
        <v>372</v>
      </c>
    </row>
    <row r="866" ht="15.75" customHeight="1">
      <c r="A866" s="87" t="s">
        <v>2891</v>
      </c>
      <c r="B866" s="88">
        <v>1.22E18</v>
      </c>
      <c r="C866" s="87" t="s">
        <v>2892</v>
      </c>
      <c r="D866" s="87" t="s">
        <v>262</v>
      </c>
      <c r="E866" s="87" t="s">
        <v>278</v>
      </c>
      <c r="F866" s="118" t="s">
        <v>2892</v>
      </c>
      <c r="G866" s="130"/>
      <c r="H866" s="119"/>
      <c r="I866" s="87" t="s">
        <v>58</v>
      </c>
      <c r="J866" s="87" t="s">
        <v>2893</v>
      </c>
      <c r="L866" s="92"/>
      <c r="M866" s="93"/>
      <c r="N866" s="93"/>
      <c r="O866" s="87" t="s">
        <v>377</v>
      </c>
      <c r="P866" s="87" t="s">
        <v>2565</v>
      </c>
    </row>
    <row r="867" ht="15.75" customHeight="1">
      <c r="A867" s="87" t="s">
        <v>2894</v>
      </c>
      <c r="B867" s="88">
        <v>1.22E18</v>
      </c>
      <c r="C867" s="87" t="s">
        <v>2895</v>
      </c>
      <c r="D867" s="87" t="s">
        <v>56</v>
      </c>
      <c r="E867" s="87" t="s">
        <v>59</v>
      </c>
      <c r="F867" s="118" t="s">
        <v>2895</v>
      </c>
      <c r="G867" s="130"/>
      <c r="H867" s="119"/>
      <c r="I867" s="87" t="s">
        <v>58</v>
      </c>
      <c r="J867" s="87" t="s">
        <v>2896</v>
      </c>
      <c r="K867" s="90">
        <v>0.0</v>
      </c>
      <c r="L867" s="92"/>
      <c r="M867" s="93"/>
      <c r="N867" s="87" t="s">
        <v>1772</v>
      </c>
      <c r="O867" s="87" t="s">
        <v>377</v>
      </c>
      <c r="P867" s="87" t="s">
        <v>372</v>
      </c>
    </row>
    <row r="868" ht="15.75" customHeight="1">
      <c r="A868" s="87" t="s">
        <v>2897</v>
      </c>
      <c r="B868" s="88">
        <v>1.22E18</v>
      </c>
      <c r="C868" s="87" t="s">
        <v>2898</v>
      </c>
      <c r="D868" s="87" t="s">
        <v>262</v>
      </c>
      <c r="E868" s="87" t="s">
        <v>267</v>
      </c>
      <c r="F868" s="87" t="s">
        <v>1749</v>
      </c>
      <c r="H868" s="93"/>
      <c r="I868" s="87" t="s">
        <v>58</v>
      </c>
      <c r="J868" s="87" t="s">
        <v>2899</v>
      </c>
      <c r="K868" s="90">
        <v>5.0</v>
      </c>
      <c r="L868" s="92"/>
      <c r="M868" s="93"/>
      <c r="N868" s="93"/>
      <c r="O868" s="87" t="s">
        <v>377</v>
      </c>
      <c r="P868" s="87" t="s">
        <v>372</v>
      </c>
    </row>
    <row r="869" ht="15.75" customHeight="1">
      <c r="A869" s="87" t="s">
        <v>2900</v>
      </c>
      <c r="B869" s="88">
        <v>1.22E18</v>
      </c>
      <c r="C869" s="87" t="s">
        <v>2901</v>
      </c>
      <c r="D869" s="87" t="s">
        <v>262</v>
      </c>
      <c r="E869" s="87" t="s">
        <v>278</v>
      </c>
      <c r="F869" s="87" t="s">
        <v>2901</v>
      </c>
      <c r="I869" s="87" t="s">
        <v>103</v>
      </c>
      <c r="J869" s="87" t="s">
        <v>2902</v>
      </c>
      <c r="L869" s="92"/>
      <c r="M869" s="93"/>
      <c r="N869" s="93"/>
      <c r="O869" s="87" t="s">
        <v>377</v>
      </c>
      <c r="P869" s="87" t="s">
        <v>2565</v>
      </c>
    </row>
    <row r="870" ht="15.75" customHeight="1">
      <c r="A870" s="87" t="s">
        <v>2903</v>
      </c>
      <c r="B870" s="88">
        <v>1.22E18</v>
      </c>
      <c r="C870" s="87" t="s">
        <v>2904</v>
      </c>
      <c r="D870" s="87" t="s">
        <v>87</v>
      </c>
      <c r="E870" s="87" t="s">
        <v>88</v>
      </c>
      <c r="F870" s="87" t="s">
        <v>2904</v>
      </c>
      <c r="I870" s="87" t="s">
        <v>58</v>
      </c>
      <c r="J870" s="87" t="s">
        <v>2905</v>
      </c>
      <c r="K870" s="90">
        <v>0.0</v>
      </c>
      <c r="L870" s="92"/>
      <c r="M870" s="93"/>
      <c r="N870" s="87" t="s">
        <v>2906</v>
      </c>
      <c r="O870" s="87" t="s">
        <v>377</v>
      </c>
      <c r="P870" s="87" t="s">
        <v>372</v>
      </c>
    </row>
    <row r="871" ht="15.75" customHeight="1">
      <c r="A871" s="87" t="s">
        <v>2907</v>
      </c>
      <c r="B871" s="88">
        <v>1.22E18</v>
      </c>
      <c r="C871" s="87" t="s">
        <v>2908</v>
      </c>
      <c r="D871" s="87" t="s">
        <v>87</v>
      </c>
      <c r="E871" s="87" t="s">
        <v>236</v>
      </c>
      <c r="F871" s="87" t="s">
        <v>2908</v>
      </c>
      <c r="I871" s="87" t="s">
        <v>58</v>
      </c>
      <c r="J871" s="87" t="s">
        <v>2909</v>
      </c>
      <c r="K871" s="90">
        <v>4.0</v>
      </c>
      <c r="L871" s="92"/>
      <c r="M871" s="93"/>
      <c r="N871" s="87" t="s">
        <v>1015</v>
      </c>
      <c r="O871" s="87" t="s">
        <v>377</v>
      </c>
      <c r="P871" s="87" t="s">
        <v>372</v>
      </c>
    </row>
    <row r="872" ht="15.75" customHeight="1">
      <c r="A872" s="87" t="s">
        <v>2910</v>
      </c>
      <c r="B872" s="88">
        <v>1.22E18</v>
      </c>
      <c r="C872" s="87" t="s">
        <v>2911</v>
      </c>
      <c r="D872" s="87" t="s">
        <v>87</v>
      </c>
      <c r="E872" s="87" t="s">
        <v>88</v>
      </c>
      <c r="F872" s="87" t="s">
        <v>373</v>
      </c>
      <c r="H872" s="87" t="s">
        <v>2481</v>
      </c>
      <c r="I872" s="87" t="s">
        <v>340</v>
      </c>
      <c r="J872" s="87" t="s">
        <v>2912</v>
      </c>
      <c r="K872" s="90">
        <v>390.0</v>
      </c>
      <c r="L872" s="92"/>
      <c r="M872" s="93"/>
      <c r="N872" s="87" t="s">
        <v>2483</v>
      </c>
      <c r="O872" s="87" t="s">
        <v>377</v>
      </c>
      <c r="P872" s="87" t="s">
        <v>372</v>
      </c>
    </row>
    <row r="873" ht="15.75" customHeight="1">
      <c r="A873" s="87" t="s">
        <v>2913</v>
      </c>
      <c r="B873" s="88">
        <v>1.22E18</v>
      </c>
      <c r="C873" s="87" t="s">
        <v>2914</v>
      </c>
      <c r="D873" s="87" t="s">
        <v>87</v>
      </c>
      <c r="E873" s="87" t="s">
        <v>88</v>
      </c>
      <c r="F873" s="87" t="s">
        <v>373</v>
      </c>
      <c r="H873" s="87" t="s">
        <v>2481</v>
      </c>
      <c r="I873" s="87" t="s">
        <v>340</v>
      </c>
      <c r="J873" s="87" t="s">
        <v>2915</v>
      </c>
      <c r="K873" s="90">
        <v>50.0</v>
      </c>
      <c r="L873" s="92"/>
      <c r="M873" s="93"/>
      <c r="N873" s="87" t="s">
        <v>2483</v>
      </c>
      <c r="O873" s="87" t="s">
        <v>377</v>
      </c>
      <c r="P873" s="87" t="s">
        <v>372</v>
      </c>
    </row>
    <row r="874" ht="15.75" customHeight="1">
      <c r="A874" s="87" t="s">
        <v>2916</v>
      </c>
      <c r="B874" s="88">
        <v>1.22E18</v>
      </c>
      <c r="C874" s="87" t="s">
        <v>2917</v>
      </c>
      <c r="D874" s="87" t="s">
        <v>87</v>
      </c>
      <c r="E874" s="87" t="s">
        <v>88</v>
      </c>
      <c r="F874" s="87" t="s">
        <v>373</v>
      </c>
      <c r="H874" s="87" t="s">
        <v>2481</v>
      </c>
      <c r="I874" s="87" t="s">
        <v>340</v>
      </c>
      <c r="J874" s="87" t="s">
        <v>2918</v>
      </c>
      <c r="K874" s="90">
        <v>0.0</v>
      </c>
      <c r="L874" s="92"/>
      <c r="M874" s="93"/>
      <c r="N874" s="87" t="s">
        <v>2483</v>
      </c>
      <c r="O874" s="87" t="s">
        <v>377</v>
      </c>
      <c r="P874" s="87" t="s">
        <v>372</v>
      </c>
    </row>
    <row r="875" ht="15.75" customHeight="1">
      <c r="A875" s="87" t="s">
        <v>2919</v>
      </c>
      <c r="B875" s="88">
        <v>1.22E18</v>
      </c>
      <c r="C875" s="87" t="s">
        <v>2920</v>
      </c>
      <c r="D875" s="87" t="s">
        <v>87</v>
      </c>
      <c r="E875" s="87" t="s">
        <v>88</v>
      </c>
      <c r="F875" s="87" t="s">
        <v>373</v>
      </c>
      <c r="H875" s="87" t="s">
        <v>2481</v>
      </c>
      <c r="I875" s="87" t="s">
        <v>340</v>
      </c>
      <c r="J875" s="87" t="s">
        <v>2918</v>
      </c>
      <c r="K875" s="90">
        <v>200.0</v>
      </c>
      <c r="L875" s="92"/>
      <c r="M875" s="93"/>
      <c r="N875" s="87" t="s">
        <v>2483</v>
      </c>
      <c r="O875" s="87" t="s">
        <v>377</v>
      </c>
      <c r="P875" s="87" t="s">
        <v>372</v>
      </c>
    </row>
    <row r="876" ht="15.75" customHeight="1">
      <c r="A876" s="87" t="s">
        <v>2921</v>
      </c>
      <c r="B876" s="88">
        <v>1.22E18</v>
      </c>
      <c r="C876" s="87" t="s">
        <v>2922</v>
      </c>
      <c r="D876" s="87" t="s">
        <v>87</v>
      </c>
      <c r="E876" s="87" t="s">
        <v>88</v>
      </c>
      <c r="F876" s="87" t="s">
        <v>373</v>
      </c>
      <c r="H876" s="87" t="s">
        <v>2481</v>
      </c>
      <c r="I876" s="87" t="s">
        <v>340</v>
      </c>
      <c r="J876" s="87" t="s">
        <v>2918</v>
      </c>
      <c r="K876" s="90">
        <v>400.0</v>
      </c>
      <c r="L876" s="92"/>
      <c r="M876" s="93"/>
      <c r="N876" s="87" t="s">
        <v>2483</v>
      </c>
      <c r="O876" s="87" t="s">
        <v>377</v>
      </c>
      <c r="P876" s="87" t="s">
        <v>372</v>
      </c>
    </row>
    <row r="877" ht="15.75" customHeight="1">
      <c r="A877" s="87" t="s">
        <v>2923</v>
      </c>
      <c r="B877" s="88">
        <v>1.22E18</v>
      </c>
      <c r="C877" s="87" t="s">
        <v>2924</v>
      </c>
      <c r="D877" s="87" t="s">
        <v>87</v>
      </c>
      <c r="E877" s="87" t="s">
        <v>88</v>
      </c>
      <c r="F877" s="87" t="s">
        <v>373</v>
      </c>
      <c r="H877" s="87" t="s">
        <v>2481</v>
      </c>
      <c r="I877" s="87" t="s">
        <v>340</v>
      </c>
      <c r="J877" s="87" t="s">
        <v>2918</v>
      </c>
      <c r="K877" s="90">
        <v>400.0</v>
      </c>
      <c r="L877" s="92"/>
      <c r="M877" s="93"/>
      <c r="N877" s="87" t="s">
        <v>2483</v>
      </c>
      <c r="O877" s="87" t="s">
        <v>377</v>
      </c>
      <c r="P877" s="87" t="s">
        <v>372</v>
      </c>
    </row>
    <row r="878" ht="15.75" customHeight="1">
      <c r="A878" s="87" t="s">
        <v>2925</v>
      </c>
      <c r="B878" s="88">
        <v>1.22E18</v>
      </c>
      <c r="C878" s="87" t="s">
        <v>2926</v>
      </c>
      <c r="D878" s="87" t="s">
        <v>87</v>
      </c>
      <c r="E878" s="87" t="s">
        <v>88</v>
      </c>
      <c r="F878" s="87" t="s">
        <v>373</v>
      </c>
      <c r="H878" s="87" t="s">
        <v>2481</v>
      </c>
      <c r="I878" s="87" t="s">
        <v>340</v>
      </c>
      <c r="J878" s="87" t="s">
        <v>2927</v>
      </c>
      <c r="K878" s="90">
        <v>4466.0</v>
      </c>
      <c r="L878" s="92"/>
      <c r="M878" s="93"/>
      <c r="N878" s="87" t="s">
        <v>2483</v>
      </c>
      <c r="O878" s="87" t="s">
        <v>377</v>
      </c>
      <c r="P878" s="87" t="s">
        <v>372</v>
      </c>
    </row>
    <row r="879" ht="15.75" customHeight="1">
      <c r="A879" s="87" t="s">
        <v>2928</v>
      </c>
      <c r="B879" s="88">
        <v>1.22E18</v>
      </c>
      <c r="C879" s="87" t="s">
        <v>2929</v>
      </c>
      <c r="D879" s="87" t="s">
        <v>87</v>
      </c>
      <c r="E879" s="87" t="s">
        <v>88</v>
      </c>
      <c r="F879" s="87" t="s">
        <v>373</v>
      </c>
      <c r="H879" s="87" t="s">
        <v>2481</v>
      </c>
      <c r="I879" s="87" t="s">
        <v>340</v>
      </c>
      <c r="J879" s="87" t="s">
        <v>2927</v>
      </c>
      <c r="K879" s="90">
        <v>2280.0</v>
      </c>
      <c r="L879" s="92"/>
      <c r="M879" s="93"/>
      <c r="N879" s="87" t="s">
        <v>2483</v>
      </c>
      <c r="O879" s="87" t="s">
        <v>377</v>
      </c>
      <c r="P879" s="87" t="s">
        <v>372</v>
      </c>
    </row>
    <row r="880" ht="15.75" customHeight="1">
      <c r="A880" s="87" t="s">
        <v>2930</v>
      </c>
      <c r="B880" s="88">
        <v>1.22E18</v>
      </c>
      <c r="C880" s="87" t="s">
        <v>2931</v>
      </c>
      <c r="D880" s="87" t="s">
        <v>87</v>
      </c>
      <c r="E880" s="87" t="s">
        <v>88</v>
      </c>
      <c r="F880" s="87" t="s">
        <v>373</v>
      </c>
      <c r="H880" s="87" t="s">
        <v>2481</v>
      </c>
      <c r="I880" s="87" t="s">
        <v>340</v>
      </c>
      <c r="J880" s="87" t="s">
        <v>2932</v>
      </c>
      <c r="K880" s="90">
        <v>500.0</v>
      </c>
      <c r="L880" s="92"/>
      <c r="M880" s="93"/>
      <c r="N880" s="87" t="s">
        <v>2483</v>
      </c>
      <c r="O880" s="87" t="s">
        <v>377</v>
      </c>
      <c r="P880" s="87" t="s">
        <v>372</v>
      </c>
    </row>
    <row r="881" ht="15.75" customHeight="1">
      <c r="A881" s="87" t="s">
        <v>2933</v>
      </c>
      <c r="B881" s="88">
        <v>1.22E18</v>
      </c>
      <c r="C881" s="87" t="s">
        <v>2934</v>
      </c>
      <c r="D881" s="87" t="s">
        <v>87</v>
      </c>
      <c r="E881" s="87" t="s">
        <v>88</v>
      </c>
      <c r="F881" s="87" t="s">
        <v>373</v>
      </c>
      <c r="H881" s="87" t="s">
        <v>2481</v>
      </c>
      <c r="I881" s="87" t="s">
        <v>340</v>
      </c>
      <c r="J881" s="87" t="s">
        <v>2932</v>
      </c>
      <c r="K881" s="90">
        <v>750.0</v>
      </c>
      <c r="L881" s="92"/>
      <c r="M881" s="93"/>
      <c r="N881" s="87" t="s">
        <v>2483</v>
      </c>
      <c r="O881" s="87" t="s">
        <v>377</v>
      </c>
      <c r="P881" s="87" t="s">
        <v>372</v>
      </c>
    </row>
    <row r="882" ht="15.75" customHeight="1">
      <c r="A882" s="87" t="s">
        <v>2935</v>
      </c>
      <c r="B882" s="88">
        <v>1.22E18</v>
      </c>
      <c r="C882" s="87" t="s">
        <v>2936</v>
      </c>
      <c r="D882" s="87" t="s">
        <v>87</v>
      </c>
      <c r="E882" s="87" t="s">
        <v>88</v>
      </c>
      <c r="F882" s="87" t="s">
        <v>373</v>
      </c>
      <c r="H882" s="87" t="s">
        <v>2481</v>
      </c>
      <c r="I882" s="87" t="s">
        <v>340</v>
      </c>
      <c r="J882" s="87" t="s">
        <v>2937</v>
      </c>
      <c r="K882" s="90">
        <v>800.0</v>
      </c>
      <c r="L882" s="92"/>
      <c r="M882" s="93"/>
      <c r="N882" s="87" t="s">
        <v>2483</v>
      </c>
      <c r="O882" s="87" t="s">
        <v>377</v>
      </c>
      <c r="P882" s="87" t="s">
        <v>372</v>
      </c>
    </row>
    <row r="883" ht="15.75" customHeight="1">
      <c r="A883" s="87" t="s">
        <v>2938</v>
      </c>
      <c r="B883" s="88">
        <v>1.22E18</v>
      </c>
      <c r="C883" s="87" t="s">
        <v>2939</v>
      </c>
      <c r="D883" s="87" t="s">
        <v>87</v>
      </c>
      <c r="E883" s="87" t="s">
        <v>88</v>
      </c>
      <c r="F883" s="87" t="s">
        <v>373</v>
      </c>
      <c r="H883" s="87" t="s">
        <v>2481</v>
      </c>
      <c r="I883" s="87" t="s">
        <v>340</v>
      </c>
      <c r="J883" s="87" t="s">
        <v>2940</v>
      </c>
      <c r="K883" s="90">
        <v>3815.0</v>
      </c>
      <c r="L883" s="92"/>
      <c r="M883" s="93"/>
      <c r="N883" s="87" t="s">
        <v>2483</v>
      </c>
      <c r="O883" s="87" t="s">
        <v>377</v>
      </c>
      <c r="P883" s="87" t="s">
        <v>372</v>
      </c>
    </row>
    <row r="884" ht="15.75" customHeight="1">
      <c r="A884" s="87" t="s">
        <v>2941</v>
      </c>
      <c r="B884" s="88">
        <v>1.22E18</v>
      </c>
      <c r="C884" s="87" t="s">
        <v>2942</v>
      </c>
      <c r="D884" s="87" t="s">
        <v>87</v>
      </c>
      <c r="E884" s="87" t="s">
        <v>88</v>
      </c>
      <c r="F884" s="87" t="s">
        <v>373</v>
      </c>
      <c r="H884" s="87" t="s">
        <v>2481</v>
      </c>
      <c r="I884" s="87" t="s">
        <v>340</v>
      </c>
      <c r="J884" s="87" t="s">
        <v>2940</v>
      </c>
      <c r="K884" s="90">
        <v>3730.0</v>
      </c>
      <c r="L884" s="92"/>
      <c r="M884" s="93"/>
      <c r="N884" s="87" t="s">
        <v>2483</v>
      </c>
      <c r="O884" s="87" t="s">
        <v>377</v>
      </c>
      <c r="P884" s="87" t="s">
        <v>372</v>
      </c>
    </row>
    <row r="885" ht="15.75" customHeight="1">
      <c r="A885" s="87" t="s">
        <v>2943</v>
      </c>
      <c r="B885" s="88">
        <v>1.22E18</v>
      </c>
      <c r="C885" s="87" t="s">
        <v>2944</v>
      </c>
      <c r="D885" s="87" t="s">
        <v>87</v>
      </c>
      <c r="E885" s="87" t="s">
        <v>228</v>
      </c>
      <c r="F885" s="87" t="s">
        <v>2944</v>
      </c>
      <c r="H885" s="87" t="s">
        <v>2481</v>
      </c>
      <c r="I885" s="87" t="s">
        <v>340</v>
      </c>
      <c r="J885" s="87" t="s">
        <v>2945</v>
      </c>
      <c r="K885" s="90">
        <v>500.0</v>
      </c>
      <c r="L885" s="92"/>
      <c r="M885" s="93"/>
      <c r="N885" s="87" t="s">
        <v>2483</v>
      </c>
      <c r="O885" s="87" t="s">
        <v>377</v>
      </c>
      <c r="P885" s="87" t="s">
        <v>372</v>
      </c>
    </row>
    <row r="886" ht="15.75" customHeight="1">
      <c r="A886" s="87" t="s">
        <v>2946</v>
      </c>
      <c r="B886" s="88">
        <v>1.22E18</v>
      </c>
      <c r="C886" s="87" t="s">
        <v>2947</v>
      </c>
      <c r="D886" s="87" t="s">
        <v>87</v>
      </c>
      <c r="E886" s="87" t="s">
        <v>228</v>
      </c>
      <c r="F886" s="87" t="s">
        <v>373</v>
      </c>
      <c r="H886" s="87" t="s">
        <v>2481</v>
      </c>
      <c r="I886" s="87" t="s">
        <v>340</v>
      </c>
      <c r="J886" s="87" t="s">
        <v>934</v>
      </c>
      <c r="K886" s="90">
        <v>250.0</v>
      </c>
      <c r="L886" s="92"/>
      <c r="M886" s="93"/>
      <c r="N886" s="87" t="s">
        <v>2483</v>
      </c>
      <c r="O886" s="87" t="s">
        <v>377</v>
      </c>
      <c r="P886" s="87" t="s">
        <v>372</v>
      </c>
    </row>
    <row r="887" ht="15.75" customHeight="1">
      <c r="A887" s="87" t="s">
        <v>2948</v>
      </c>
      <c r="B887" s="88">
        <v>1.22E18</v>
      </c>
      <c r="C887" s="87" t="s">
        <v>2949</v>
      </c>
      <c r="D887" s="87" t="s">
        <v>87</v>
      </c>
      <c r="E887" s="87" t="s">
        <v>228</v>
      </c>
      <c r="F887" s="87" t="s">
        <v>373</v>
      </c>
      <c r="H887" s="87" t="s">
        <v>2481</v>
      </c>
      <c r="I887" s="87" t="s">
        <v>340</v>
      </c>
      <c r="J887" s="87" t="s">
        <v>2937</v>
      </c>
      <c r="K887" s="90">
        <v>750.0</v>
      </c>
      <c r="L887" s="92"/>
      <c r="M887" s="93"/>
      <c r="N887" s="87" t="s">
        <v>2483</v>
      </c>
      <c r="O887" s="87" t="s">
        <v>377</v>
      </c>
      <c r="P887" s="87" t="s">
        <v>372</v>
      </c>
    </row>
    <row r="888" ht="15.75" customHeight="1">
      <c r="A888" s="87" t="s">
        <v>2950</v>
      </c>
      <c r="B888" s="88">
        <v>1.22E18</v>
      </c>
      <c r="C888" s="87" t="s">
        <v>2951</v>
      </c>
      <c r="D888" s="87" t="s">
        <v>87</v>
      </c>
      <c r="E888" s="87" t="s">
        <v>228</v>
      </c>
      <c r="F888" s="87" t="s">
        <v>2951</v>
      </c>
      <c r="H888" s="87" t="s">
        <v>2481</v>
      </c>
      <c r="I888" s="87" t="s">
        <v>340</v>
      </c>
      <c r="J888" s="87" t="s">
        <v>2937</v>
      </c>
      <c r="K888" s="90">
        <v>1000.0</v>
      </c>
      <c r="L888" s="92"/>
      <c r="M888" s="93"/>
      <c r="N888" s="87" t="s">
        <v>2483</v>
      </c>
      <c r="O888" s="87" t="s">
        <v>377</v>
      </c>
      <c r="P888" s="87" t="s">
        <v>372</v>
      </c>
    </row>
    <row r="889" ht="15.75" customHeight="1">
      <c r="A889" s="87" t="s">
        <v>2952</v>
      </c>
      <c r="B889" s="88">
        <v>1.22E18</v>
      </c>
      <c r="C889" s="87" t="s">
        <v>2953</v>
      </c>
      <c r="D889" s="87" t="s">
        <v>87</v>
      </c>
      <c r="E889" s="87" t="s">
        <v>88</v>
      </c>
      <c r="F889" s="87" t="s">
        <v>2953</v>
      </c>
      <c r="I889" s="87" t="s">
        <v>58</v>
      </c>
      <c r="J889" s="87" t="s">
        <v>2954</v>
      </c>
      <c r="K889" s="90">
        <v>0.0</v>
      </c>
      <c r="L889" s="92"/>
      <c r="M889" s="93"/>
      <c r="N889" s="87" t="s">
        <v>1772</v>
      </c>
      <c r="O889" s="87" t="s">
        <v>377</v>
      </c>
      <c r="P889" s="87" t="s">
        <v>372</v>
      </c>
    </row>
    <row r="890" ht="15.75" customHeight="1">
      <c r="A890" s="87" t="s">
        <v>2955</v>
      </c>
      <c r="B890" s="88">
        <v>1.22E18</v>
      </c>
      <c r="C890" s="87" t="s">
        <v>2956</v>
      </c>
      <c r="D890" s="87" t="s">
        <v>87</v>
      </c>
      <c r="E890" s="87" t="s">
        <v>88</v>
      </c>
      <c r="F890" s="118" t="s">
        <v>2956</v>
      </c>
      <c r="G890" s="130"/>
      <c r="H890" s="119"/>
      <c r="I890" s="87" t="s">
        <v>1742</v>
      </c>
      <c r="J890" s="87" t="s">
        <v>2957</v>
      </c>
      <c r="K890" s="90">
        <v>0.0</v>
      </c>
      <c r="L890" s="92"/>
      <c r="M890" s="93"/>
      <c r="N890" s="87" t="s">
        <v>1772</v>
      </c>
      <c r="O890" s="87" t="s">
        <v>377</v>
      </c>
      <c r="P890" s="87" t="s">
        <v>372</v>
      </c>
    </row>
    <row r="891" ht="15.75" customHeight="1">
      <c r="A891" s="87" t="s">
        <v>2958</v>
      </c>
      <c r="B891" s="88">
        <v>1.22E18</v>
      </c>
      <c r="C891" s="87" t="s">
        <v>2959</v>
      </c>
      <c r="D891" s="87" t="s">
        <v>262</v>
      </c>
      <c r="E891" s="87" t="s">
        <v>267</v>
      </c>
      <c r="F891" s="87" t="s">
        <v>1749</v>
      </c>
      <c r="H891" s="93"/>
      <c r="I891" s="87" t="s">
        <v>58</v>
      </c>
      <c r="J891" s="87" t="s">
        <v>2960</v>
      </c>
      <c r="K891" s="90">
        <v>0.0</v>
      </c>
      <c r="L891" s="92"/>
      <c r="M891" s="93"/>
      <c r="N891" s="87" t="s">
        <v>2961</v>
      </c>
      <c r="O891" s="87" t="s">
        <v>377</v>
      </c>
      <c r="P891" s="87" t="s">
        <v>372</v>
      </c>
    </row>
    <row r="892" ht="15.75" customHeight="1">
      <c r="A892" s="87" t="s">
        <v>2962</v>
      </c>
      <c r="B892" s="88">
        <v>1.22E18</v>
      </c>
      <c r="C892" s="87" t="s">
        <v>2963</v>
      </c>
      <c r="D892" s="87" t="s">
        <v>262</v>
      </c>
      <c r="E892" s="87" t="s">
        <v>267</v>
      </c>
      <c r="F892" s="87" t="s">
        <v>2963</v>
      </c>
      <c r="I892" s="87" t="s">
        <v>58</v>
      </c>
      <c r="J892" s="87" t="s">
        <v>2112</v>
      </c>
      <c r="K892" s="90">
        <v>0.0</v>
      </c>
      <c r="L892" s="92"/>
      <c r="M892" s="93"/>
      <c r="N892" s="87" t="s">
        <v>2961</v>
      </c>
      <c r="O892" s="87" t="s">
        <v>377</v>
      </c>
      <c r="P892" s="87" t="s">
        <v>372</v>
      </c>
    </row>
    <row r="893" ht="15.75" customHeight="1">
      <c r="A893" s="87" t="s">
        <v>2964</v>
      </c>
      <c r="B893" s="88">
        <v>1.22E18</v>
      </c>
      <c r="C893" s="87" t="s">
        <v>2965</v>
      </c>
      <c r="D893" s="87" t="s">
        <v>262</v>
      </c>
      <c r="E893" s="87" t="s">
        <v>275</v>
      </c>
      <c r="F893" s="87" t="s">
        <v>1749</v>
      </c>
      <c r="H893" s="93"/>
      <c r="I893" s="87" t="s">
        <v>58</v>
      </c>
      <c r="J893" s="87" t="s">
        <v>2413</v>
      </c>
      <c r="K893" s="90">
        <v>0.0</v>
      </c>
      <c r="L893" s="92"/>
      <c r="M893" s="93"/>
      <c r="N893" s="87" t="s">
        <v>2961</v>
      </c>
      <c r="O893" s="87" t="s">
        <v>377</v>
      </c>
      <c r="P893" s="87" t="s">
        <v>372</v>
      </c>
    </row>
    <row r="894" ht="15.75" customHeight="1">
      <c r="A894" s="87" t="s">
        <v>2966</v>
      </c>
      <c r="B894" s="88">
        <v>1.22E18</v>
      </c>
      <c r="C894" s="87" t="s">
        <v>2967</v>
      </c>
      <c r="D894" s="87" t="s">
        <v>262</v>
      </c>
      <c r="E894" s="87" t="s">
        <v>270</v>
      </c>
      <c r="F894" s="87" t="s">
        <v>2967</v>
      </c>
      <c r="H894" s="87" t="s">
        <v>2968</v>
      </c>
      <c r="I894" s="87" t="s">
        <v>58</v>
      </c>
      <c r="J894" s="87" t="s">
        <v>2969</v>
      </c>
      <c r="K894" s="90">
        <v>0.0</v>
      </c>
      <c r="L894" s="92"/>
      <c r="M894" s="93"/>
      <c r="N894" s="87" t="s">
        <v>1772</v>
      </c>
      <c r="O894" s="87" t="s">
        <v>377</v>
      </c>
      <c r="P894" s="87" t="s">
        <v>372</v>
      </c>
    </row>
    <row r="895" ht="15.75" customHeight="1">
      <c r="A895" s="87" t="s">
        <v>2970</v>
      </c>
      <c r="B895" s="88">
        <v>1.22E18</v>
      </c>
      <c r="C895" s="87" t="s">
        <v>2971</v>
      </c>
      <c r="D895" s="87" t="s">
        <v>262</v>
      </c>
      <c r="E895" s="87" t="s">
        <v>267</v>
      </c>
      <c r="F895" s="118" t="s">
        <v>2971</v>
      </c>
      <c r="G895" s="130"/>
      <c r="H895" s="119"/>
      <c r="I895" s="87" t="s">
        <v>58</v>
      </c>
      <c r="J895" s="87" t="s">
        <v>2972</v>
      </c>
      <c r="K895" s="90">
        <v>0.0</v>
      </c>
      <c r="L895" s="92"/>
      <c r="M895" s="93"/>
      <c r="N895" s="87" t="s">
        <v>1772</v>
      </c>
      <c r="O895" s="87" t="s">
        <v>377</v>
      </c>
      <c r="P895" s="87" t="s">
        <v>372</v>
      </c>
    </row>
    <row r="896" ht="15.75" customHeight="1">
      <c r="A896" s="87" t="s">
        <v>2973</v>
      </c>
      <c r="B896" s="88">
        <v>1.22E18</v>
      </c>
      <c r="C896" s="87" t="s">
        <v>2974</v>
      </c>
      <c r="D896" s="87" t="s">
        <v>262</v>
      </c>
      <c r="E896" s="87" t="s">
        <v>275</v>
      </c>
      <c r="F896" s="87" t="s">
        <v>2974</v>
      </c>
      <c r="I896" s="87" t="s">
        <v>58</v>
      </c>
      <c r="J896" s="87" t="s">
        <v>2975</v>
      </c>
      <c r="K896" s="90">
        <v>0.0</v>
      </c>
      <c r="L896" s="92"/>
      <c r="M896" s="93"/>
      <c r="N896" s="87" t="s">
        <v>2779</v>
      </c>
      <c r="O896" s="87" t="s">
        <v>377</v>
      </c>
      <c r="P896" s="87" t="s">
        <v>372</v>
      </c>
    </row>
    <row r="897" ht="15.75" customHeight="1">
      <c r="A897" s="87" t="s">
        <v>2976</v>
      </c>
      <c r="B897" s="88">
        <v>1.22E18</v>
      </c>
      <c r="C897" s="87" t="s">
        <v>2977</v>
      </c>
      <c r="D897" s="87" t="s">
        <v>262</v>
      </c>
      <c r="E897" s="87" t="s">
        <v>267</v>
      </c>
      <c r="F897" s="87" t="s">
        <v>2977</v>
      </c>
      <c r="H897" s="87" t="s">
        <v>385</v>
      </c>
      <c r="I897" s="87" t="s">
        <v>315</v>
      </c>
      <c r="J897" s="87" t="s">
        <v>1447</v>
      </c>
      <c r="K897" s="90">
        <v>247000.0</v>
      </c>
      <c r="L897" s="92"/>
      <c r="M897" s="93"/>
      <c r="N897" s="87" t="s">
        <v>387</v>
      </c>
      <c r="O897" s="87" t="s">
        <v>377</v>
      </c>
      <c r="P897" s="87" t="s">
        <v>372</v>
      </c>
    </row>
    <row r="898" ht="15.75" customHeight="1">
      <c r="A898" s="87" t="s">
        <v>2978</v>
      </c>
      <c r="B898" s="88">
        <v>1.22E18</v>
      </c>
      <c r="C898" s="87" t="s">
        <v>2979</v>
      </c>
      <c r="D898" s="87" t="s">
        <v>262</v>
      </c>
      <c r="E898" s="87" t="s">
        <v>267</v>
      </c>
      <c r="F898" s="87" t="s">
        <v>2979</v>
      </c>
      <c r="H898" s="87" t="s">
        <v>385</v>
      </c>
      <c r="I898" s="87" t="s">
        <v>315</v>
      </c>
      <c r="J898" s="87" t="s">
        <v>1537</v>
      </c>
      <c r="K898" s="90">
        <v>110000.0</v>
      </c>
      <c r="L898" s="92"/>
      <c r="M898" s="93"/>
      <c r="N898" s="87" t="s">
        <v>387</v>
      </c>
      <c r="O898" s="87" t="s">
        <v>377</v>
      </c>
      <c r="P898" s="87" t="s">
        <v>372</v>
      </c>
    </row>
    <row r="899" ht="15.75" customHeight="1">
      <c r="A899" s="87" t="s">
        <v>2980</v>
      </c>
      <c r="B899" s="88">
        <v>1.22E18</v>
      </c>
      <c r="C899" s="87" t="s">
        <v>2981</v>
      </c>
      <c r="D899" s="87" t="s">
        <v>87</v>
      </c>
      <c r="E899" s="87" t="s">
        <v>102</v>
      </c>
      <c r="F899" s="87" t="s">
        <v>1763</v>
      </c>
      <c r="H899" s="87" t="s">
        <v>369</v>
      </c>
      <c r="I899" s="93"/>
      <c r="J899" s="87" t="s">
        <v>2982</v>
      </c>
      <c r="K899" s="90">
        <v>229.0</v>
      </c>
      <c r="L899" s="92"/>
      <c r="M899" s="87" t="s">
        <v>1883</v>
      </c>
      <c r="N899" s="87" t="s">
        <v>390</v>
      </c>
      <c r="O899" s="87" t="s">
        <v>377</v>
      </c>
      <c r="P899" s="87" t="s">
        <v>372</v>
      </c>
    </row>
    <row r="900" ht="15.75" customHeight="1">
      <c r="A900" s="87" t="s">
        <v>2983</v>
      </c>
      <c r="B900" s="88">
        <v>1.22E18</v>
      </c>
      <c r="C900" s="87" t="s">
        <v>2984</v>
      </c>
      <c r="D900" s="87" t="s">
        <v>87</v>
      </c>
      <c r="E900" s="87" t="s">
        <v>88</v>
      </c>
      <c r="F900" s="87" t="s">
        <v>2984</v>
      </c>
      <c r="I900" s="87" t="s">
        <v>58</v>
      </c>
      <c r="J900" s="87" t="s">
        <v>2985</v>
      </c>
      <c r="K900" s="90">
        <v>0.0</v>
      </c>
      <c r="L900" s="92"/>
      <c r="M900" s="93"/>
      <c r="N900" s="87" t="s">
        <v>1772</v>
      </c>
      <c r="O900" s="87" t="s">
        <v>377</v>
      </c>
      <c r="P900" s="87" t="s">
        <v>372</v>
      </c>
    </row>
    <row r="901" ht="15.75" customHeight="1">
      <c r="A901" s="87" t="s">
        <v>2986</v>
      </c>
      <c r="B901" s="88">
        <v>1.22E18</v>
      </c>
      <c r="C901" s="87" t="s">
        <v>2987</v>
      </c>
      <c r="D901" s="87" t="s">
        <v>57</v>
      </c>
      <c r="E901" s="87" t="s">
        <v>284</v>
      </c>
      <c r="F901" s="118" t="s">
        <v>2987</v>
      </c>
      <c r="G901" s="130"/>
      <c r="H901" s="119"/>
      <c r="I901" s="87" t="s">
        <v>2365</v>
      </c>
      <c r="J901" s="87" t="s">
        <v>2988</v>
      </c>
      <c r="K901" s="90">
        <v>0.0</v>
      </c>
      <c r="L901" s="92"/>
      <c r="M901" s="93"/>
      <c r="N901" s="87" t="s">
        <v>1772</v>
      </c>
      <c r="O901" s="87" t="s">
        <v>377</v>
      </c>
      <c r="P901" s="87" t="s">
        <v>372</v>
      </c>
    </row>
    <row r="902" ht="15.75" customHeight="1">
      <c r="A902" s="87" t="s">
        <v>2989</v>
      </c>
      <c r="B902" s="88">
        <v>1.22E18</v>
      </c>
      <c r="C902" s="87" t="s">
        <v>2990</v>
      </c>
      <c r="D902" s="87" t="s">
        <v>87</v>
      </c>
      <c r="E902" s="87" t="s">
        <v>88</v>
      </c>
      <c r="F902" s="87" t="s">
        <v>379</v>
      </c>
      <c r="G902" s="93"/>
      <c r="H902" s="87" t="s">
        <v>2481</v>
      </c>
      <c r="I902" s="93"/>
      <c r="J902" s="87" t="s">
        <v>2991</v>
      </c>
      <c r="K902" s="90">
        <v>700.0</v>
      </c>
      <c r="L902" s="92"/>
      <c r="M902" s="93"/>
      <c r="N902" s="87" t="s">
        <v>2483</v>
      </c>
      <c r="O902" s="87" t="s">
        <v>377</v>
      </c>
      <c r="P902" s="87" t="s">
        <v>372</v>
      </c>
    </row>
    <row r="903" ht="15.75" customHeight="1">
      <c r="A903" s="87" t="s">
        <v>2992</v>
      </c>
      <c r="B903" s="88">
        <v>1.22E18</v>
      </c>
      <c r="C903" s="87" t="s">
        <v>2993</v>
      </c>
      <c r="D903" s="87" t="s">
        <v>87</v>
      </c>
      <c r="E903" s="87" t="s">
        <v>88</v>
      </c>
      <c r="F903" s="87" t="s">
        <v>379</v>
      </c>
      <c r="G903" s="93"/>
      <c r="H903" s="87" t="s">
        <v>2481</v>
      </c>
      <c r="I903" s="93"/>
      <c r="J903" s="87" t="s">
        <v>934</v>
      </c>
      <c r="K903" s="90">
        <v>1400.0</v>
      </c>
      <c r="L903" s="92"/>
      <c r="M903" s="93"/>
      <c r="N903" s="87" t="s">
        <v>2483</v>
      </c>
      <c r="O903" s="87" t="s">
        <v>377</v>
      </c>
      <c r="P903" s="87" t="s">
        <v>372</v>
      </c>
    </row>
    <row r="904" ht="15.75" customHeight="1">
      <c r="A904" s="87" t="s">
        <v>2994</v>
      </c>
      <c r="B904" s="88">
        <v>1.22E18</v>
      </c>
      <c r="C904" s="87" t="s">
        <v>2995</v>
      </c>
      <c r="D904" s="87" t="s">
        <v>87</v>
      </c>
      <c r="E904" s="87" t="s">
        <v>88</v>
      </c>
      <c r="F904" s="87" t="s">
        <v>379</v>
      </c>
      <c r="G904" s="93"/>
      <c r="H904" s="87" t="s">
        <v>2481</v>
      </c>
      <c r="I904" s="93"/>
      <c r="J904" s="87" t="s">
        <v>934</v>
      </c>
      <c r="K904" s="90">
        <v>0.0</v>
      </c>
      <c r="L904" s="92"/>
      <c r="M904" s="93"/>
      <c r="N904" s="87" t="s">
        <v>2483</v>
      </c>
      <c r="O904" s="87" t="s">
        <v>377</v>
      </c>
      <c r="P904" s="87" t="s">
        <v>372</v>
      </c>
    </row>
    <row r="905" ht="15.75" customHeight="1">
      <c r="A905" s="87" t="s">
        <v>2996</v>
      </c>
      <c r="B905" s="88">
        <v>1.22E18</v>
      </c>
      <c r="C905" s="87" t="s">
        <v>2997</v>
      </c>
      <c r="D905" s="87" t="s">
        <v>87</v>
      </c>
      <c r="E905" s="87" t="s">
        <v>88</v>
      </c>
      <c r="F905" s="87" t="s">
        <v>379</v>
      </c>
      <c r="G905" s="93"/>
      <c r="H905" s="87" t="s">
        <v>2481</v>
      </c>
      <c r="I905" s="93"/>
      <c r="J905" s="87" t="s">
        <v>2998</v>
      </c>
      <c r="K905" s="90">
        <v>800.0</v>
      </c>
      <c r="L905" s="92"/>
      <c r="M905" s="93"/>
      <c r="N905" s="87" t="s">
        <v>2483</v>
      </c>
      <c r="O905" s="87" t="s">
        <v>377</v>
      </c>
      <c r="P905" s="87" t="s">
        <v>372</v>
      </c>
    </row>
    <row r="906" ht="15.75" customHeight="1">
      <c r="A906" s="87" t="s">
        <v>2999</v>
      </c>
      <c r="B906" s="88">
        <v>1.22E18</v>
      </c>
      <c r="C906" s="87" t="s">
        <v>3000</v>
      </c>
      <c r="D906" s="87" t="s">
        <v>87</v>
      </c>
      <c r="E906" s="87" t="s">
        <v>88</v>
      </c>
      <c r="F906" s="118" t="s">
        <v>3000</v>
      </c>
      <c r="G906" s="119"/>
      <c r="H906" s="87" t="s">
        <v>1152</v>
      </c>
      <c r="I906" s="87" t="s">
        <v>327</v>
      </c>
      <c r="J906" s="87" t="s">
        <v>3001</v>
      </c>
      <c r="K906" s="90">
        <v>94025.0</v>
      </c>
      <c r="L906" s="92"/>
      <c r="M906" s="93"/>
      <c r="N906" s="87" t="s">
        <v>2370</v>
      </c>
      <c r="O906" s="87" t="s">
        <v>377</v>
      </c>
      <c r="P906" s="87" t="s">
        <v>372</v>
      </c>
    </row>
    <row r="907" ht="15.75" customHeight="1">
      <c r="A907" s="87" t="s">
        <v>3002</v>
      </c>
      <c r="B907" s="88">
        <v>1.22E18</v>
      </c>
      <c r="C907" s="87" t="s">
        <v>3003</v>
      </c>
      <c r="D907" s="87" t="s">
        <v>262</v>
      </c>
      <c r="E907" s="87" t="s">
        <v>267</v>
      </c>
      <c r="F907" s="118" t="s">
        <v>3003</v>
      </c>
      <c r="G907" s="119"/>
      <c r="H907" s="87" t="s">
        <v>3004</v>
      </c>
      <c r="I907" s="87" t="s">
        <v>58</v>
      </c>
      <c r="J907" s="87" t="s">
        <v>3005</v>
      </c>
      <c r="K907" s="90">
        <v>0.0</v>
      </c>
      <c r="L907" s="92"/>
      <c r="M907" s="93"/>
      <c r="N907" s="87" t="s">
        <v>3006</v>
      </c>
      <c r="O907" s="87" t="s">
        <v>377</v>
      </c>
      <c r="P907" s="87" t="s">
        <v>372</v>
      </c>
    </row>
    <row r="908" ht="15.75" customHeight="1">
      <c r="A908" s="87" t="s">
        <v>3007</v>
      </c>
      <c r="B908" s="88">
        <v>1.22E18</v>
      </c>
      <c r="C908" s="87" t="s">
        <v>3008</v>
      </c>
      <c r="D908" s="87" t="s">
        <v>262</v>
      </c>
      <c r="E908" s="87" t="s">
        <v>267</v>
      </c>
      <c r="F908" s="118" t="s">
        <v>3008</v>
      </c>
      <c r="G908" s="130"/>
      <c r="H908" s="119"/>
      <c r="I908" s="87" t="s">
        <v>58</v>
      </c>
      <c r="J908" s="87" t="s">
        <v>3009</v>
      </c>
      <c r="K908" s="90">
        <v>0.0</v>
      </c>
      <c r="L908" s="92"/>
      <c r="M908" s="93"/>
      <c r="N908" s="87" t="s">
        <v>2364</v>
      </c>
      <c r="O908" s="87" t="s">
        <v>377</v>
      </c>
      <c r="P908" s="87" t="s">
        <v>372</v>
      </c>
    </row>
    <row r="909" ht="15.75" customHeight="1">
      <c r="A909" s="87" t="s">
        <v>3010</v>
      </c>
      <c r="B909" s="88">
        <v>1.22E18</v>
      </c>
      <c r="C909" s="87" t="s">
        <v>3011</v>
      </c>
      <c r="D909" s="87" t="s">
        <v>262</v>
      </c>
      <c r="E909" s="87" t="s">
        <v>267</v>
      </c>
      <c r="F909" s="118" t="s">
        <v>3011</v>
      </c>
      <c r="G909" s="119"/>
      <c r="H909" s="87" t="s">
        <v>2364</v>
      </c>
      <c r="I909" s="87" t="s">
        <v>58</v>
      </c>
      <c r="J909" s="87" t="s">
        <v>3012</v>
      </c>
      <c r="K909" s="90">
        <v>0.0</v>
      </c>
      <c r="L909" s="92"/>
      <c r="M909" s="93"/>
      <c r="N909" s="87" t="s">
        <v>2364</v>
      </c>
      <c r="O909" s="87" t="s">
        <v>377</v>
      </c>
      <c r="P909" s="87" t="s">
        <v>372</v>
      </c>
    </row>
    <row r="910" ht="15.75" customHeight="1">
      <c r="A910" s="87" t="s">
        <v>3013</v>
      </c>
      <c r="B910" s="88">
        <v>1.22E18</v>
      </c>
      <c r="C910" s="87" t="s">
        <v>3014</v>
      </c>
      <c r="D910" s="87" t="s">
        <v>262</v>
      </c>
      <c r="E910" s="87" t="s">
        <v>267</v>
      </c>
      <c r="F910" s="118" t="s">
        <v>3014</v>
      </c>
      <c r="G910" s="119"/>
      <c r="H910" s="87" t="s">
        <v>2364</v>
      </c>
      <c r="I910" s="87" t="s">
        <v>58</v>
      </c>
      <c r="J910" s="87" t="s">
        <v>3015</v>
      </c>
      <c r="K910" s="90">
        <v>0.0</v>
      </c>
      <c r="L910" s="92"/>
      <c r="M910" s="93"/>
      <c r="N910" s="87" t="s">
        <v>2364</v>
      </c>
      <c r="O910" s="87" t="s">
        <v>377</v>
      </c>
      <c r="P910" s="87" t="s">
        <v>372</v>
      </c>
    </row>
    <row r="911" ht="15.75" customHeight="1">
      <c r="A911" s="87" t="s">
        <v>3016</v>
      </c>
      <c r="B911" s="88">
        <v>1.22E18</v>
      </c>
      <c r="C911" s="87" t="s">
        <v>3017</v>
      </c>
      <c r="D911" s="87" t="s">
        <v>262</v>
      </c>
      <c r="E911" s="87" t="s">
        <v>267</v>
      </c>
      <c r="F911" s="118" t="s">
        <v>3017</v>
      </c>
      <c r="G911" s="119"/>
      <c r="H911" s="87" t="s">
        <v>2364</v>
      </c>
      <c r="I911" s="87" t="s">
        <v>58</v>
      </c>
      <c r="J911" s="87" t="s">
        <v>3018</v>
      </c>
      <c r="K911" s="90">
        <v>0.0</v>
      </c>
      <c r="L911" s="92"/>
      <c r="M911" s="93"/>
      <c r="N911" s="87" t="s">
        <v>2364</v>
      </c>
      <c r="O911" s="87" t="s">
        <v>377</v>
      </c>
      <c r="P911" s="87" t="s">
        <v>372</v>
      </c>
    </row>
    <row r="912" ht="15.75" customHeight="1">
      <c r="A912" s="87" t="s">
        <v>3019</v>
      </c>
      <c r="B912" s="88">
        <v>1.22E18</v>
      </c>
      <c r="C912" s="87" t="s">
        <v>3020</v>
      </c>
      <c r="D912" s="87" t="s">
        <v>262</v>
      </c>
      <c r="E912" s="87" t="s">
        <v>267</v>
      </c>
      <c r="F912" s="118" t="s">
        <v>3020</v>
      </c>
      <c r="G912" s="119"/>
      <c r="H912" s="87" t="s">
        <v>2364</v>
      </c>
      <c r="I912" s="87" t="s">
        <v>58</v>
      </c>
      <c r="J912" s="87" t="s">
        <v>3021</v>
      </c>
      <c r="K912" s="90">
        <v>0.0</v>
      </c>
      <c r="L912" s="92"/>
      <c r="M912" s="93"/>
      <c r="N912" s="87" t="s">
        <v>2364</v>
      </c>
      <c r="O912" s="87" t="s">
        <v>377</v>
      </c>
      <c r="P912" s="87" t="s">
        <v>372</v>
      </c>
    </row>
    <row r="913" ht="15.75" customHeight="1">
      <c r="A913" s="87" t="s">
        <v>3022</v>
      </c>
      <c r="B913" s="88">
        <v>1.22E18</v>
      </c>
      <c r="C913" s="87" t="s">
        <v>3023</v>
      </c>
      <c r="D913" s="87" t="s">
        <v>262</v>
      </c>
      <c r="E913" s="87" t="s">
        <v>267</v>
      </c>
      <c r="F913" s="118" t="s">
        <v>3023</v>
      </c>
      <c r="G913" s="119"/>
      <c r="H913" s="87" t="s">
        <v>2364</v>
      </c>
      <c r="I913" s="87" t="s">
        <v>58</v>
      </c>
      <c r="J913" s="87" t="s">
        <v>3024</v>
      </c>
      <c r="K913" s="90">
        <v>0.0</v>
      </c>
      <c r="L913" s="92"/>
      <c r="M913" s="93"/>
      <c r="N913" s="87" t="s">
        <v>2364</v>
      </c>
      <c r="O913" s="87" t="s">
        <v>377</v>
      </c>
      <c r="P913" s="87" t="s">
        <v>372</v>
      </c>
    </row>
    <row r="914" ht="15.75" customHeight="1">
      <c r="A914" s="87" t="s">
        <v>3025</v>
      </c>
      <c r="B914" s="88">
        <v>1.22E18</v>
      </c>
      <c r="C914" s="87" t="s">
        <v>3026</v>
      </c>
      <c r="D914" s="87" t="s">
        <v>262</v>
      </c>
      <c r="E914" s="87" t="s">
        <v>267</v>
      </c>
      <c r="F914" s="118" t="s">
        <v>3026</v>
      </c>
      <c r="G914" s="119"/>
      <c r="H914" s="87" t="s">
        <v>2364</v>
      </c>
      <c r="I914" s="87" t="s">
        <v>58</v>
      </c>
      <c r="J914" s="87" t="s">
        <v>3027</v>
      </c>
      <c r="K914" s="90">
        <v>0.0</v>
      </c>
      <c r="L914" s="92"/>
      <c r="M914" s="93"/>
      <c r="N914" s="87" t="s">
        <v>2364</v>
      </c>
      <c r="O914" s="87" t="s">
        <v>377</v>
      </c>
      <c r="P914" s="87" t="s">
        <v>372</v>
      </c>
    </row>
    <row r="915" ht="15.75" customHeight="1">
      <c r="A915" s="87" t="s">
        <v>3028</v>
      </c>
      <c r="B915" s="88">
        <v>1.22E18</v>
      </c>
      <c r="C915" s="87" t="s">
        <v>3029</v>
      </c>
      <c r="D915" s="87" t="s">
        <v>262</v>
      </c>
      <c r="E915" s="87" t="s">
        <v>267</v>
      </c>
      <c r="F915" s="118" t="s">
        <v>3029</v>
      </c>
      <c r="G915" s="119"/>
      <c r="H915" s="87" t="s">
        <v>2364</v>
      </c>
      <c r="I915" s="87" t="s">
        <v>58</v>
      </c>
      <c r="J915" s="87" t="s">
        <v>3030</v>
      </c>
      <c r="K915" s="90">
        <v>0.0</v>
      </c>
      <c r="L915" s="92"/>
      <c r="M915" s="93"/>
      <c r="N915" s="87" t="s">
        <v>2364</v>
      </c>
      <c r="O915" s="87" t="s">
        <v>377</v>
      </c>
      <c r="P915" s="87" t="s">
        <v>372</v>
      </c>
    </row>
    <row r="916" ht="15.75" customHeight="1">
      <c r="A916" s="87" t="s">
        <v>3031</v>
      </c>
      <c r="B916" s="88">
        <v>1.22E18</v>
      </c>
      <c r="C916" s="87" t="s">
        <v>3032</v>
      </c>
      <c r="D916" s="87" t="s">
        <v>262</v>
      </c>
      <c r="E916" s="87" t="s">
        <v>267</v>
      </c>
      <c r="F916" s="118" t="s">
        <v>3032</v>
      </c>
      <c r="G916" s="119"/>
      <c r="H916" s="87" t="s">
        <v>2364</v>
      </c>
      <c r="I916" s="87" t="s">
        <v>58</v>
      </c>
      <c r="J916" s="87" t="s">
        <v>3030</v>
      </c>
      <c r="K916" s="90">
        <v>0.0</v>
      </c>
      <c r="L916" s="92"/>
      <c r="M916" s="93"/>
      <c r="N916" s="87" t="s">
        <v>2364</v>
      </c>
      <c r="O916" s="87" t="s">
        <v>377</v>
      </c>
      <c r="P916" s="87" t="s">
        <v>372</v>
      </c>
    </row>
    <row r="917" ht="15.75" customHeight="1">
      <c r="A917" s="87" t="s">
        <v>3033</v>
      </c>
      <c r="B917" s="88">
        <v>1.22E18</v>
      </c>
      <c r="C917" s="87" t="s">
        <v>3034</v>
      </c>
      <c r="D917" s="87" t="s">
        <v>262</v>
      </c>
      <c r="E917" s="87" t="s">
        <v>267</v>
      </c>
      <c r="F917" s="118" t="s">
        <v>3034</v>
      </c>
      <c r="G917" s="119"/>
      <c r="H917" s="87" t="s">
        <v>2364</v>
      </c>
      <c r="I917" s="87" t="s">
        <v>58</v>
      </c>
      <c r="J917" s="87" t="s">
        <v>3035</v>
      </c>
      <c r="K917" s="90">
        <v>0.0</v>
      </c>
      <c r="L917" s="92"/>
      <c r="M917" s="93"/>
      <c r="N917" s="87" t="s">
        <v>2364</v>
      </c>
      <c r="O917" s="87" t="s">
        <v>377</v>
      </c>
      <c r="P917" s="87" t="s">
        <v>372</v>
      </c>
    </row>
    <row r="918" ht="15.75" customHeight="1">
      <c r="A918" s="87" t="s">
        <v>3036</v>
      </c>
      <c r="B918" s="88">
        <v>1.22E18</v>
      </c>
      <c r="C918" s="87" t="s">
        <v>3037</v>
      </c>
      <c r="D918" s="87" t="s">
        <v>262</v>
      </c>
      <c r="E918" s="87" t="s">
        <v>267</v>
      </c>
      <c r="F918" s="118" t="s">
        <v>3037</v>
      </c>
      <c r="G918" s="119"/>
      <c r="H918" s="87" t="s">
        <v>2364</v>
      </c>
      <c r="I918" s="87" t="s">
        <v>58</v>
      </c>
      <c r="J918" s="87" t="s">
        <v>3038</v>
      </c>
      <c r="K918" s="90">
        <v>0.0</v>
      </c>
      <c r="L918" s="92"/>
      <c r="M918" s="93"/>
      <c r="N918" s="87" t="s">
        <v>2364</v>
      </c>
      <c r="O918" s="87" t="s">
        <v>377</v>
      </c>
      <c r="P918" s="87" t="s">
        <v>372</v>
      </c>
    </row>
    <row r="919" ht="15.75" customHeight="1">
      <c r="A919" s="87" t="s">
        <v>3039</v>
      </c>
      <c r="B919" s="88">
        <v>1.22E18</v>
      </c>
      <c r="C919" s="87" t="s">
        <v>3040</v>
      </c>
      <c r="D919" s="87" t="s">
        <v>262</v>
      </c>
      <c r="E919" s="87" t="s">
        <v>267</v>
      </c>
      <c r="F919" s="118" t="s">
        <v>3040</v>
      </c>
      <c r="G919" s="119"/>
      <c r="H919" s="87" t="s">
        <v>2364</v>
      </c>
      <c r="I919" s="87" t="s">
        <v>58</v>
      </c>
      <c r="J919" s="87" t="s">
        <v>3041</v>
      </c>
      <c r="K919" s="90">
        <v>0.0</v>
      </c>
      <c r="L919" s="92"/>
      <c r="M919" s="93"/>
      <c r="N919" s="87" t="s">
        <v>2364</v>
      </c>
      <c r="O919" s="87" t="s">
        <v>377</v>
      </c>
      <c r="P919" s="87" t="s">
        <v>372</v>
      </c>
    </row>
    <row r="920" ht="15.75" customHeight="1">
      <c r="A920" s="87" t="s">
        <v>3042</v>
      </c>
      <c r="B920" s="88">
        <v>1.22E18</v>
      </c>
      <c r="C920" s="87" t="s">
        <v>3043</v>
      </c>
      <c r="D920" s="87" t="s">
        <v>262</v>
      </c>
      <c r="E920" s="87" t="s">
        <v>267</v>
      </c>
      <c r="F920" s="118" t="s">
        <v>3043</v>
      </c>
      <c r="G920" s="119"/>
      <c r="H920" s="87" t="s">
        <v>2364</v>
      </c>
      <c r="I920" s="87" t="s">
        <v>58</v>
      </c>
      <c r="J920" s="87" t="s">
        <v>3044</v>
      </c>
      <c r="K920" s="90">
        <v>0.0</v>
      </c>
      <c r="L920" s="92"/>
      <c r="M920" s="93"/>
      <c r="N920" s="87" t="s">
        <v>2364</v>
      </c>
      <c r="O920" s="87" t="s">
        <v>377</v>
      </c>
      <c r="P920" s="87" t="s">
        <v>372</v>
      </c>
    </row>
    <row r="921" ht="15.75" customHeight="1">
      <c r="A921" s="87" t="s">
        <v>3045</v>
      </c>
      <c r="B921" s="88">
        <v>1.22E18</v>
      </c>
      <c r="C921" s="87" t="s">
        <v>3046</v>
      </c>
      <c r="D921" s="87" t="s">
        <v>262</v>
      </c>
      <c r="E921" s="87" t="s">
        <v>267</v>
      </c>
      <c r="F921" s="118" t="s">
        <v>3046</v>
      </c>
      <c r="G921" s="130"/>
      <c r="H921" s="119"/>
      <c r="I921" s="87" t="s">
        <v>58</v>
      </c>
      <c r="J921" s="87" t="s">
        <v>3047</v>
      </c>
      <c r="K921" s="90">
        <v>0.0</v>
      </c>
      <c r="L921" s="92"/>
      <c r="M921" s="93"/>
      <c r="N921" s="87" t="s">
        <v>1729</v>
      </c>
      <c r="O921" s="87" t="s">
        <v>377</v>
      </c>
      <c r="P921" s="87" t="s">
        <v>372</v>
      </c>
    </row>
    <row r="922" ht="15.75" customHeight="1">
      <c r="A922" s="87" t="s">
        <v>3048</v>
      </c>
      <c r="B922" s="88">
        <v>1.22E18</v>
      </c>
      <c r="C922" s="87" t="s">
        <v>3049</v>
      </c>
      <c r="D922" s="87" t="s">
        <v>262</v>
      </c>
      <c r="E922" s="87" t="s">
        <v>267</v>
      </c>
      <c r="F922" s="87" t="s">
        <v>3049</v>
      </c>
      <c r="H922" s="87" t="s">
        <v>2539</v>
      </c>
      <c r="I922" s="87" t="s">
        <v>58</v>
      </c>
      <c r="J922" s="87" t="s">
        <v>3050</v>
      </c>
      <c r="K922" s="90">
        <v>0.0</v>
      </c>
      <c r="L922" s="92"/>
      <c r="M922" s="93"/>
      <c r="N922" s="93"/>
      <c r="O922" s="87" t="s">
        <v>377</v>
      </c>
      <c r="P922" s="87" t="s">
        <v>372</v>
      </c>
    </row>
    <row r="923" ht="15.75" customHeight="1">
      <c r="A923" s="87" t="s">
        <v>3051</v>
      </c>
      <c r="B923" s="88">
        <v>1.22E18</v>
      </c>
      <c r="C923" s="87" t="s">
        <v>3052</v>
      </c>
      <c r="D923" s="87" t="s">
        <v>262</v>
      </c>
      <c r="E923" s="87" t="s">
        <v>267</v>
      </c>
      <c r="F923" s="87" t="s">
        <v>3052</v>
      </c>
      <c r="H923" s="87" t="s">
        <v>2539</v>
      </c>
      <c r="I923" s="87" t="s">
        <v>58</v>
      </c>
      <c r="J923" s="87" t="s">
        <v>2745</v>
      </c>
      <c r="K923" s="90">
        <v>0.0</v>
      </c>
      <c r="L923" s="92"/>
      <c r="M923" s="93"/>
      <c r="N923" s="87" t="s">
        <v>2541</v>
      </c>
      <c r="O923" s="87" t="s">
        <v>377</v>
      </c>
      <c r="P923" s="87" t="s">
        <v>372</v>
      </c>
    </row>
    <row r="924" ht="15.75" customHeight="1">
      <c r="A924" s="87" t="s">
        <v>3053</v>
      </c>
      <c r="B924" s="88">
        <v>1.22E18</v>
      </c>
      <c r="C924" s="87" t="s">
        <v>3054</v>
      </c>
      <c r="D924" s="87" t="s">
        <v>262</v>
      </c>
      <c r="E924" s="87" t="s">
        <v>267</v>
      </c>
      <c r="F924" s="87" t="s">
        <v>3054</v>
      </c>
      <c r="H924" s="87" t="s">
        <v>2539</v>
      </c>
      <c r="I924" s="87" t="s">
        <v>58</v>
      </c>
      <c r="J924" s="87" t="s">
        <v>2682</v>
      </c>
      <c r="K924" s="90">
        <v>0.0</v>
      </c>
      <c r="L924" s="92"/>
      <c r="M924" s="93"/>
      <c r="N924" s="87" t="s">
        <v>2541</v>
      </c>
      <c r="O924" s="87" t="s">
        <v>377</v>
      </c>
      <c r="P924" s="87" t="s">
        <v>372</v>
      </c>
    </row>
    <row r="925" ht="15.75" customHeight="1">
      <c r="A925" s="87" t="s">
        <v>3055</v>
      </c>
      <c r="B925" s="88">
        <v>1.22E18</v>
      </c>
      <c r="C925" s="87" t="s">
        <v>3056</v>
      </c>
      <c r="D925" s="87" t="s">
        <v>262</v>
      </c>
      <c r="E925" s="87" t="s">
        <v>267</v>
      </c>
      <c r="F925" s="118" t="s">
        <v>3056</v>
      </c>
      <c r="G925" s="130"/>
      <c r="H925" s="119"/>
      <c r="I925" s="87" t="s">
        <v>58</v>
      </c>
      <c r="J925" s="87" t="s">
        <v>3057</v>
      </c>
      <c r="K925" s="90">
        <v>0.0</v>
      </c>
      <c r="L925" s="92"/>
      <c r="M925" s="93"/>
      <c r="N925" s="87" t="s">
        <v>3058</v>
      </c>
      <c r="O925" s="87" t="s">
        <v>377</v>
      </c>
      <c r="P925" s="87" t="s">
        <v>372</v>
      </c>
    </row>
    <row r="926" ht="15.75" customHeight="1">
      <c r="A926" s="87" t="s">
        <v>3059</v>
      </c>
      <c r="B926" s="88">
        <v>1.22E18</v>
      </c>
      <c r="C926" s="87" t="s">
        <v>3060</v>
      </c>
      <c r="D926" s="87" t="s">
        <v>87</v>
      </c>
      <c r="E926" s="87" t="s">
        <v>88</v>
      </c>
      <c r="F926" s="87" t="s">
        <v>3060</v>
      </c>
      <c r="I926" s="87" t="s">
        <v>58</v>
      </c>
      <c r="J926" s="87" t="s">
        <v>2011</v>
      </c>
      <c r="K926" s="90">
        <v>0.0</v>
      </c>
      <c r="L926" s="92"/>
      <c r="M926" s="93"/>
      <c r="N926" s="87" t="s">
        <v>3061</v>
      </c>
      <c r="O926" s="87" t="s">
        <v>377</v>
      </c>
      <c r="P926" s="87" t="s">
        <v>372</v>
      </c>
    </row>
    <row r="927" ht="15.75" customHeight="1">
      <c r="A927" s="87" t="s">
        <v>3062</v>
      </c>
      <c r="B927" s="88">
        <v>1.22E18</v>
      </c>
      <c r="C927" s="87" t="s">
        <v>3063</v>
      </c>
      <c r="D927" s="87" t="s">
        <v>262</v>
      </c>
      <c r="E927" s="87" t="s">
        <v>275</v>
      </c>
      <c r="F927" s="87" t="s">
        <v>1749</v>
      </c>
      <c r="H927" s="93"/>
      <c r="I927" s="87" t="s">
        <v>58</v>
      </c>
      <c r="J927" s="87" t="s">
        <v>3064</v>
      </c>
      <c r="K927" s="90">
        <v>0.0</v>
      </c>
      <c r="L927" s="92"/>
      <c r="M927" s="93"/>
      <c r="N927" s="87" t="s">
        <v>3061</v>
      </c>
      <c r="O927" s="87" t="s">
        <v>377</v>
      </c>
      <c r="P927" s="87" t="s">
        <v>372</v>
      </c>
    </row>
    <row r="928" ht="15.75" customHeight="1">
      <c r="A928" s="87" t="s">
        <v>3065</v>
      </c>
      <c r="B928" s="88">
        <v>1.22E18</v>
      </c>
      <c r="C928" s="87" t="s">
        <v>3066</v>
      </c>
      <c r="D928" s="87" t="s">
        <v>262</v>
      </c>
      <c r="E928" s="87" t="s">
        <v>278</v>
      </c>
      <c r="F928" s="118" t="s">
        <v>3066</v>
      </c>
      <c r="G928" s="119"/>
      <c r="H928" s="87" t="s">
        <v>3067</v>
      </c>
      <c r="I928" s="87" t="s">
        <v>103</v>
      </c>
      <c r="J928" s="87" t="s">
        <v>3068</v>
      </c>
      <c r="L928" s="92"/>
      <c r="M928" s="93"/>
      <c r="N928" s="93"/>
      <c r="O928" s="87" t="s">
        <v>377</v>
      </c>
      <c r="P928" s="87" t="s">
        <v>2565</v>
      </c>
    </row>
    <row r="929" ht="15.75" customHeight="1">
      <c r="A929" s="87" t="s">
        <v>3069</v>
      </c>
      <c r="B929" s="88">
        <v>1.22E18</v>
      </c>
      <c r="C929" s="87" t="s">
        <v>3070</v>
      </c>
      <c r="D929" s="87" t="s">
        <v>57</v>
      </c>
      <c r="E929" s="87" t="s">
        <v>284</v>
      </c>
      <c r="F929" s="87" t="s">
        <v>3070</v>
      </c>
      <c r="I929" s="87" t="s">
        <v>1742</v>
      </c>
      <c r="J929" s="87" t="s">
        <v>3071</v>
      </c>
      <c r="K929" s="90">
        <v>0.0</v>
      </c>
      <c r="L929" s="92"/>
      <c r="M929" s="93"/>
      <c r="N929" s="87" t="s">
        <v>3072</v>
      </c>
      <c r="O929" s="87" t="s">
        <v>377</v>
      </c>
      <c r="P929" s="87" t="s">
        <v>372</v>
      </c>
    </row>
    <row r="930" ht="15.75" customHeight="1">
      <c r="A930" s="87" t="s">
        <v>3073</v>
      </c>
      <c r="B930" s="88">
        <v>1.22E18</v>
      </c>
      <c r="C930" s="87" t="s">
        <v>3074</v>
      </c>
      <c r="D930" s="87" t="s">
        <v>87</v>
      </c>
      <c r="E930" s="87" t="s">
        <v>88</v>
      </c>
      <c r="F930" s="87" t="s">
        <v>861</v>
      </c>
      <c r="G930" s="93"/>
      <c r="H930" s="93"/>
      <c r="I930" s="87" t="s">
        <v>58</v>
      </c>
      <c r="J930" s="87" t="s">
        <v>3075</v>
      </c>
      <c r="K930" s="90">
        <v>0.0</v>
      </c>
      <c r="L930" s="92"/>
      <c r="M930" s="93"/>
      <c r="N930" s="87" t="s">
        <v>3076</v>
      </c>
      <c r="O930" s="87" t="s">
        <v>377</v>
      </c>
      <c r="P930" s="87" t="s">
        <v>372</v>
      </c>
    </row>
    <row r="931" ht="15.75" customHeight="1">
      <c r="A931" s="87" t="s">
        <v>3077</v>
      </c>
      <c r="B931" s="88">
        <v>1.22E18</v>
      </c>
      <c r="C931" s="87" t="s">
        <v>3078</v>
      </c>
      <c r="D931" s="87" t="s">
        <v>87</v>
      </c>
      <c r="E931" s="87" t="s">
        <v>241</v>
      </c>
      <c r="F931" s="87" t="s">
        <v>861</v>
      </c>
      <c r="G931" s="93"/>
      <c r="H931" s="93"/>
      <c r="I931" s="87" t="s">
        <v>58</v>
      </c>
      <c r="J931" s="87" t="s">
        <v>1071</v>
      </c>
      <c r="K931" s="90">
        <v>0.0</v>
      </c>
      <c r="L931" s="92"/>
      <c r="M931" s="93"/>
      <c r="N931" s="87" t="s">
        <v>3076</v>
      </c>
      <c r="O931" s="87" t="s">
        <v>377</v>
      </c>
      <c r="P931" s="87" t="s">
        <v>372</v>
      </c>
    </row>
    <row r="932" ht="15.75" customHeight="1">
      <c r="A932" s="87" t="s">
        <v>3079</v>
      </c>
      <c r="B932" s="88">
        <v>1.22E18</v>
      </c>
      <c r="C932" s="87" t="s">
        <v>3080</v>
      </c>
      <c r="D932" s="87" t="s">
        <v>87</v>
      </c>
      <c r="E932" s="87" t="s">
        <v>241</v>
      </c>
      <c r="F932" s="87" t="s">
        <v>861</v>
      </c>
      <c r="G932" s="93"/>
      <c r="H932" s="93"/>
      <c r="I932" s="87" t="s">
        <v>58</v>
      </c>
      <c r="J932" s="87" t="s">
        <v>3081</v>
      </c>
      <c r="K932" s="90">
        <v>0.0</v>
      </c>
      <c r="L932" s="92"/>
      <c r="M932" s="93"/>
      <c r="N932" s="87" t="s">
        <v>3076</v>
      </c>
      <c r="O932" s="87" t="s">
        <v>377</v>
      </c>
      <c r="P932" s="87" t="s">
        <v>372</v>
      </c>
    </row>
    <row r="933" ht="15.75" customHeight="1">
      <c r="A933" s="87" t="s">
        <v>49</v>
      </c>
      <c r="B933" s="88">
        <v>1.22E18</v>
      </c>
      <c r="C933" s="87" t="s">
        <v>3082</v>
      </c>
      <c r="D933" s="87" t="s">
        <v>57</v>
      </c>
      <c r="E933" s="87" t="s">
        <v>287</v>
      </c>
      <c r="F933" s="87" t="s">
        <v>415</v>
      </c>
      <c r="G933" s="93"/>
      <c r="H933" s="87" t="s">
        <v>3083</v>
      </c>
      <c r="I933" s="87" t="s">
        <v>58</v>
      </c>
      <c r="J933" s="87" t="s">
        <v>3084</v>
      </c>
      <c r="K933" s="90">
        <v>1.0</v>
      </c>
      <c r="L933" s="92"/>
      <c r="M933" s="93"/>
      <c r="N933" s="87" t="s">
        <v>3085</v>
      </c>
      <c r="O933" s="87" t="s">
        <v>377</v>
      </c>
      <c r="P933" s="87" t="s">
        <v>372</v>
      </c>
    </row>
    <row r="934" ht="15.75" customHeight="1">
      <c r="A934" s="87" t="s">
        <v>421</v>
      </c>
      <c r="B934" s="88">
        <v>1.22E18</v>
      </c>
      <c r="C934" s="87" t="s">
        <v>422</v>
      </c>
      <c r="D934" s="87" t="s">
        <v>56</v>
      </c>
      <c r="E934" s="87" t="s">
        <v>102</v>
      </c>
      <c r="F934" s="87" t="s">
        <v>1763</v>
      </c>
      <c r="I934" s="93"/>
      <c r="J934" s="87" t="s">
        <v>3086</v>
      </c>
      <c r="K934" s="90">
        <v>1.0</v>
      </c>
      <c r="L934" s="92"/>
      <c r="M934" s="93"/>
      <c r="N934" s="87" t="s">
        <v>2577</v>
      </c>
      <c r="O934" s="87" t="s">
        <v>377</v>
      </c>
      <c r="P934" s="87" t="s">
        <v>372</v>
      </c>
    </row>
    <row r="935" ht="15.75" customHeight="1">
      <c r="A935" s="87" t="s">
        <v>3087</v>
      </c>
      <c r="B935" s="88">
        <v>1.22E18</v>
      </c>
      <c r="C935" s="87" t="s">
        <v>3088</v>
      </c>
      <c r="D935" s="87" t="s">
        <v>87</v>
      </c>
      <c r="E935" s="87" t="s">
        <v>228</v>
      </c>
      <c r="F935" s="87" t="s">
        <v>3088</v>
      </c>
      <c r="H935" s="87" t="s">
        <v>701</v>
      </c>
      <c r="I935" s="87" t="s">
        <v>340</v>
      </c>
      <c r="J935" s="87" t="s">
        <v>3089</v>
      </c>
      <c r="K935" s="90">
        <v>1000.0</v>
      </c>
      <c r="L935" s="92"/>
      <c r="M935" s="93"/>
      <c r="N935" s="87" t="s">
        <v>703</v>
      </c>
      <c r="O935" s="87" t="s">
        <v>377</v>
      </c>
      <c r="P935" s="87" t="s">
        <v>372</v>
      </c>
    </row>
    <row r="936" ht="15.75" customHeight="1">
      <c r="A936" s="87" t="s">
        <v>3090</v>
      </c>
      <c r="B936" s="88">
        <v>1.22E18</v>
      </c>
      <c r="C936" s="87" t="s">
        <v>3091</v>
      </c>
      <c r="D936" s="87" t="s">
        <v>57</v>
      </c>
      <c r="E936" s="87" t="s">
        <v>287</v>
      </c>
      <c r="F936" s="118" t="s">
        <v>3091</v>
      </c>
      <c r="G936" s="130"/>
      <c r="H936" s="119"/>
      <c r="I936" s="87" t="s">
        <v>58</v>
      </c>
      <c r="J936" s="87" t="s">
        <v>3092</v>
      </c>
      <c r="K936" s="90">
        <v>0.0</v>
      </c>
      <c r="L936" s="92"/>
      <c r="M936" s="93"/>
      <c r="N936" s="87" t="s">
        <v>2835</v>
      </c>
      <c r="O936" s="87" t="s">
        <v>377</v>
      </c>
      <c r="P936" s="87" t="s">
        <v>372</v>
      </c>
    </row>
    <row r="937" ht="15.75" customHeight="1">
      <c r="A937" s="87" t="s">
        <v>3093</v>
      </c>
      <c r="B937" s="88">
        <v>1.22E18</v>
      </c>
      <c r="C937" s="87" t="s">
        <v>3094</v>
      </c>
      <c r="D937" s="87" t="s">
        <v>56</v>
      </c>
      <c r="E937" s="87" t="s">
        <v>102</v>
      </c>
      <c r="F937" s="87" t="s">
        <v>1763</v>
      </c>
      <c r="I937" s="93"/>
      <c r="J937" s="87" t="s">
        <v>2030</v>
      </c>
      <c r="K937" s="90">
        <v>0.0</v>
      </c>
      <c r="L937" s="92"/>
      <c r="M937" s="93"/>
      <c r="N937" s="87" t="s">
        <v>3095</v>
      </c>
      <c r="O937" s="87" t="s">
        <v>377</v>
      </c>
      <c r="P937" s="87" t="s">
        <v>372</v>
      </c>
    </row>
    <row r="938" ht="15.75" customHeight="1">
      <c r="A938" s="87" t="s">
        <v>3096</v>
      </c>
      <c r="B938" s="88">
        <v>1.22E18</v>
      </c>
      <c r="C938" s="87" t="s">
        <v>3097</v>
      </c>
      <c r="D938" s="87" t="s">
        <v>87</v>
      </c>
      <c r="E938" s="87" t="s">
        <v>102</v>
      </c>
      <c r="F938" s="118" t="s">
        <v>3097</v>
      </c>
      <c r="G938" s="130"/>
      <c r="H938" s="119"/>
      <c r="I938" s="87" t="s">
        <v>2770</v>
      </c>
      <c r="J938" s="87" t="s">
        <v>3098</v>
      </c>
      <c r="K938" s="90">
        <v>0.0</v>
      </c>
      <c r="L938" s="92"/>
      <c r="M938" s="93"/>
      <c r="N938" s="87" t="s">
        <v>1772</v>
      </c>
      <c r="O938" s="87" t="s">
        <v>377</v>
      </c>
      <c r="P938" s="87" t="s">
        <v>372</v>
      </c>
    </row>
    <row r="939" ht="15.75" customHeight="1">
      <c r="A939" s="87" t="s">
        <v>3099</v>
      </c>
      <c r="B939" s="88">
        <v>1.22E18</v>
      </c>
      <c r="C939" s="87" t="s">
        <v>3100</v>
      </c>
      <c r="D939" s="87" t="s">
        <v>87</v>
      </c>
      <c r="E939" s="87" t="s">
        <v>88</v>
      </c>
      <c r="F939" s="87" t="s">
        <v>3100</v>
      </c>
      <c r="I939" s="87" t="s">
        <v>58</v>
      </c>
      <c r="J939" s="87" t="s">
        <v>3101</v>
      </c>
      <c r="K939" s="90">
        <v>0.0</v>
      </c>
      <c r="L939" s="92"/>
      <c r="M939" s="93"/>
      <c r="N939" s="87" t="s">
        <v>1772</v>
      </c>
      <c r="O939" s="87" t="s">
        <v>377</v>
      </c>
      <c r="P939" s="87" t="s">
        <v>372</v>
      </c>
    </row>
    <row r="940" ht="15.75" customHeight="1">
      <c r="A940" s="87" t="s">
        <v>3102</v>
      </c>
      <c r="B940" s="88">
        <v>1.22E18</v>
      </c>
      <c r="C940" s="87" t="s">
        <v>3103</v>
      </c>
      <c r="D940" s="87" t="s">
        <v>87</v>
      </c>
      <c r="E940" s="87" t="s">
        <v>88</v>
      </c>
      <c r="F940" s="87" t="s">
        <v>3103</v>
      </c>
      <c r="I940" s="87" t="s">
        <v>58</v>
      </c>
      <c r="J940" s="87" t="s">
        <v>3104</v>
      </c>
      <c r="K940" s="90">
        <v>0.0</v>
      </c>
      <c r="L940" s="92"/>
      <c r="M940" s="93"/>
      <c r="N940" s="87" t="s">
        <v>1772</v>
      </c>
      <c r="O940" s="87" t="s">
        <v>377</v>
      </c>
      <c r="P940" s="87" t="s">
        <v>372</v>
      </c>
    </row>
    <row r="941" ht="15.75" customHeight="1">
      <c r="A941" s="87" t="s">
        <v>3105</v>
      </c>
      <c r="B941" s="88">
        <v>1.22E18</v>
      </c>
      <c r="C941" s="87" t="s">
        <v>3106</v>
      </c>
      <c r="D941" s="87" t="s">
        <v>87</v>
      </c>
      <c r="E941" s="87" t="s">
        <v>88</v>
      </c>
      <c r="F941" s="87" t="s">
        <v>3106</v>
      </c>
      <c r="H941" s="87" t="s">
        <v>3107</v>
      </c>
      <c r="I941" s="87" t="s">
        <v>58</v>
      </c>
      <c r="J941" s="87" t="s">
        <v>3108</v>
      </c>
      <c r="K941" s="90">
        <v>0.0</v>
      </c>
      <c r="L941" s="92"/>
      <c r="M941" s="93"/>
      <c r="N941" s="87" t="s">
        <v>1772</v>
      </c>
      <c r="O941" s="87" t="s">
        <v>377</v>
      </c>
      <c r="P941" s="87" t="s">
        <v>372</v>
      </c>
    </row>
    <row r="942" ht="15.75" customHeight="1">
      <c r="A942" s="87" t="s">
        <v>3109</v>
      </c>
      <c r="B942" s="88">
        <v>1.22E18</v>
      </c>
      <c r="C942" s="87" t="s">
        <v>3110</v>
      </c>
      <c r="D942" s="87" t="s">
        <v>87</v>
      </c>
      <c r="E942" s="87" t="s">
        <v>88</v>
      </c>
      <c r="F942" s="87" t="s">
        <v>3110</v>
      </c>
      <c r="H942" s="93"/>
      <c r="I942" s="87" t="s">
        <v>2770</v>
      </c>
      <c r="J942" s="87" t="s">
        <v>3111</v>
      </c>
      <c r="K942" s="90">
        <v>0.0</v>
      </c>
      <c r="L942" s="92"/>
      <c r="M942" s="93"/>
      <c r="N942" s="87" t="s">
        <v>1772</v>
      </c>
      <c r="O942" s="87" t="s">
        <v>377</v>
      </c>
      <c r="P942" s="87" t="s">
        <v>372</v>
      </c>
    </row>
    <row r="943" ht="15.75" customHeight="1">
      <c r="A943" s="87" t="s">
        <v>3112</v>
      </c>
      <c r="B943" s="88">
        <v>1.22E18</v>
      </c>
      <c r="C943" s="87" t="s">
        <v>3113</v>
      </c>
      <c r="D943" s="87" t="s">
        <v>87</v>
      </c>
      <c r="E943" s="87" t="s">
        <v>88</v>
      </c>
      <c r="F943" s="87" t="s">
        <v>3113</v>
      </c>
      <c r="H943" s="93"/>
      <c r="I943" s="87" t="s">
        <v>2770</v>
      </c>
      <c r="J943" s="87" t="s">
        <v>3114</v>
      </c>
      <c r="K943" s="90">
        <v>0.0</v>
      </c>
      <c r="L943" s="92"/>
      <c r="M943" s="93"/>
      <c r="N943" s="87" t="s">
        <v>1772</v>
      </c>
      <c r="O943" s="87" t="s">
        <v>377</v>
      </c>
      <c r="P943" s="87" t="s">
        <v>372</v>
      </c>
    </row>
    <row r="944" ht="15.75" customHeight="1">
      <c r="A944" s="87" t="s">
        <v>3115</v>
      </c>
      <c r="B944" s="88">
        <v>1.22E18</v>
      </c>
      <c r="C944" s="87" t="s">
        <v>3116</v>
      </c>
      <c r="D944" s="87" t="s">
        <v>262</v>
      </c>
      <c r="E944" s="87" t="s">
        <v>270</v>
      </c>
      <c r="F944" s="87" t="s">
        <v>3116</v>
      </c>
      <c r="I944" s="87" t="s">
        <v>58</v>
      </c>
      <c r="J944" s="87" t="s">
        <v>3117</v>
      </c>
      <c r="K944" s="90">
        <v>0.0</v>
      </c>
      <c r="L944" s="92"/>
      <c r="M944" s="93"/>
      <c r="N944" s="87" t="s">
        <v>2541</v>
      </c>
      <c r="O944" s="87" t="s">
        <v>377</v>
      </c>
      <c r="P944" s="87" t="s">
        <v>372</v>
      </c>
    </row>
    <row r="945" ht="15.75" customHeight="1">
      <c r="A945" s="87" t="s">
        <v>3118</v>
      </c>
      <c r="B945" s="88">
        <v>1.22E18</v>
      </c>
      <c r="C945" s="87" t="s">
        <v>3119</v>
      </c>
      <c r="D945" s="87" t="s">
        <v>262</v>
      </c>
      <c r="E945" s="87" t="s">
        <v>270</v>
      </c>
      <c r="F945" s="87" t="s">
        <v>3119</v>
      </c>
      <c r="I945" s="87" t="s">
        <v>58</v>
      </c>
      <c r="J945" s="87" t="s">
        <v>3120</v>
      </c>
      <c r="K945" s="90">
        <v>0.0</v>
      </c>
      <c r="L945" s="92"/>
      <c r="M945" s="93"/>
      <c r="N945" s="87" t="s">
        <v>2541</v>
      </c>
      <c r="O945" s="87" t="s">
        <v>377</v>
      </c>
      <c r="P945" s="87" t="s">
        <v>372</v>
      </c>
    </row>
    <row r="946" ht="15.75" customHeight="1">
      <c r="A946" s="87" t="s">
        <v>3121</v>
      </c>
      <c r="B946" s="88">
        <v>1.22E18</v>
      </c>
      <c r="C946" s="87" t="s">
        <v>3122</v>
      </c>
      <c r="D946" s="87" t="s">
        <v>262</v>
      </c>
      <c r="E946" s="87" t="s">
        <v>270</v>
      </c>
      <c r="F946" s="87" t="s">
        <v>3122</v>
      </c>
      <c r="I946" s="87" t="s">
        <v>58</v>
      </c>
      <c r="J946" s="87" t="s">
        <v>3123</v>
      </c>
      <c r="K946" s="90">
        <v>0.0</v>
      </c>
      <c r="L946" s="92"/>
      <c r="M946" s="93"/>
      <c r="N946" s="87" t="s">
        <v>2541</v>
      </c>
      <c r="O946" s="87" t="s">
        <v>377</v>
      </c>
      <c r="P946" s="87" t="s">
        <v>372</v>
      </c>
    </row>
    <row r="947" ht="15.75" customHeight="1">
      <c r="A947" s="87" t="s">
        <v>3124</v>
      </c>
      <c r="B947" s="88">
        <v>1.22E18</v>
      </c>
      <c r="C947" s="87" t="s">
        <v>3125</v>
      </c>
      <c r="D947" s="87" t="s">
        <v>262</v>
      </c>
      <c r="E947" s="87" t="s">
        <v>278</v>
      </c>
      <c r="F947" s="87" t="s">
        <v>3125</v>
      </c>
      <c r="I947" s="87" t="s">
        <v>103</v>
      </c>
      <c r="J947" s="87" t="s">
        <v>3126</v>
      </c>
      <c r="L947" s="92"/>
      <c r="M947" s="93"/>
      <c r="N947" s="93"/>
      <c r="O947" s="87" t="s">
        <v>377</v>
      </c>
      <c r="P947" s="87" t="s">
        <v>2565</v>
      </c>
    </row>
    <row r="948" ht="15.75" customHeight="1">
      <c r="A948" s="87" t="s">
        <v>3127</v>
      </c>
      <c r="B948" s="88">
        <v>1.22E18</v>
      </c>
      <c r="C948" s="87" t="s">
        <v>3128</v>
      </c>
      <c r="D948" s="87" t="s">
        <v>262</v>
      </c>
      <c r="E948" s="87" t="s">
        <v>263</v>
      </c>
      <c r="F948" s="87" t="s">
        <v>415</v>
      </c>
      <c r="G948" s="93"/>
      <c r="H948" s="93"/>
      <c r="I948" s="87" t="s">
        <v>58</v>
      </c>
      <c r="J948" s="87" t="s">
        <v>3129</v>
      </c>
      <c r="K948" s="90">
        <v>1.0</v>
      </c>
      <c r="L948" s="92"/>
      <c r="M948" s="93"/>
      <c r="N948" s="87" t="s">
        <v>3130</v>
      </c>
      <c r="O948" s="87" t="s">
        <v>377</v>
      </c>
      <c r="P948" s="87" t="s">
        <v>372</v>
      </c>
    </row>
    <row r="949" ht="15.75" customHeight="1">
      <c r="A949" s="87" t="s">
        <v>3131</v>
      </c>
      <c r="B949" s="88">
        <v>1.22E18</v>
      </c>
      <c r="C949" s="87" t="s">
        <v>3132</v>
      </c>
      <c r="D949" s="87" t="s">
        <v>87</v>
      </c>
      <c r="E949" s="87" t="s">
        <v>241</v>
      </c>
      <c r="F949" s="87" t="s">
        <v>3132</v>
      </c>
      <c r="H949" s="87" t="s">
        <v>805</v>
      </c>
      <c r="I949" s="87" t="s">
        <v>495</v>
      </c>
      <c r="J949" s="87" t="s">
        <v>3133</v>
      </c>
      <c r="K949" s="90">
        <v>0.0</v>
      </c>
      <c r="L949" s="92"/>
      <c r="M949" s="93"/>
      <c r="N949" s="87" t="s">
        <v>3130</v>
      </c>
      <c r="O949" s="87" t="s">
        <v>377</v>
      </c>
      <c r="P949" s="87" t="s">
        <v>372</v>
      </c>
    </row>
    <row r="950" ht="15.75" customHeight="1">
      <c r="A950" s="87" t="s">
        <v>3134</v>
      </c>
      <c r="B950" s="88">
        <v>1.22E18</v>
      </c>
      <c r="C950" s="87" t="s">
        <v>3135</v>
      </c>
      <c r="D950" s="87" t="s">
        <v>87</v>
      </c>
      <c r="E950" s="87" t="s">
        <v>241</v>
      </c>
      <c r="F950" s="87" t="s">
        <v>3135</v>
      </c>
      <c r="H950" s="87" t="s">
        <v>805</v>
      </c>
      <c r="I950" s="87" t="s">
        <v>495</v>
      </c>
      <c r="J950" s="87" t="s">
        <v>3136</v>
      </c>
      <c r="K950" s="90">
        <v>0.0</v>
      </c>
      <c r="L950" s="92"/>
      <c r="M950" s="93"/>
      <c r="N950" s="87" t="s">
        <v>3130</v>
      </c>
      <c r="O950" s="87" t="s">
        <v>377</v>
      </c>
      <c r="P950" s="87" t="s">
        <v>372</v>
      </c>
    </row>
    <row r="951" ht="15.75" customHeight="1">
      <c r="A951" s="87" t="s">
        <v>3137</v>
      </c>
      <c r="B951" s="88">
        <v>1.22E18</v>
      </c>
      <c r="C951" s="87" t="s">
        <v>3138</v>
      </c>
      <c r="D951" s="87" t="s">
        <v>87</v>
      </c>
      <c r="E951" s="87" t="s">
        <v>88</v>
      </c>
      <c r="F951" s="87" t="s">
        <v>3138</v>
      </c>
      <c r="H951" s="87" t="s">
        <v>3139</v>
      </c>
      <c r="I951" s="87" t="s">
        <v>58</v>
      </c>
      <c r="J951" s="87" t="s">
        <v>3140</v>
      </c>
      <c r="K951" s="90">
        <v>0.0</v>
      </c>
      <c r="L951" s="92"/>
      <c r="M951" s="93"/>
      <c r="N951" s="87" t="s">
        <v>3141</v>
      </c>
      <c r="O951" s="87" t="s">
        <v>377</v>
      </c>
      <c r="P951" s="87" t="s">
        <v>372</v>
      </c>
    </row>
    <row r="952" ht="15.75" customHeight="1">
      <c r="A952" s="87" t="s">
        <v>3142</v>
      </c>
      <c r="B952" s="88">
        <v>1.22E18</v>
      </c>
      <c r="C952" s="87" t="s">
        <v>3143</v>
      </c>
      <c r="D952" s="87" t="s">
        <v>262</v>
      </c>
      <c r="E952" s="87" t="s">
        <v>270</v>
      </c>
      <c r="F952" s="87" t="s">
        <v>3143</v>
      </c>
      <c r="H952" s="87" t="s">
        <v>3144</v>
      </c>
      <c r="I952" s="87" t="s">
        <v>58</v>
      </c>
      <c r="J952" s="87" t="s">
        <v>3145</v>
      </c>
      <c r="K952" s="90">
        <v>0.0</v>
      </c>
      <c r="L952" s="92"/>
      <c r="M952" s="93"/>
      <c r="N952" s="87" t="s">
        <v>1772</v>
      </c>
      <c r="O952" s="87" t="s">
        <v>377</v>
      </c>
      <c r="P952" s="87" t="s">
        <v>372</v>
      </c>
    </row>
    <row r="953" ht="15.75" customHeight="1">
      <c r="A953" s="87" t="s">
        <v>3146</v>
      </c>
      <c r="B953" s="88">
        <v>1.22E18</v>
      </c>
      <c r="C953" s="87" t="s">
        <v>3147</v>
      </c>
      <c r="D953" s="87" t="s">
        <v>87</v>
      </c>
      <c r="E953" s="87" t="s">
        <v>102</v>
      </c>
      <c r="F953" s="118" t="s">
        <v>3147</v>
      </c>
      <c r="G953" s="119"/>
      <c r="H953" s="87" t="s">
        <v>3148</v>
      </c>
      <c r="I953" s="87" t="s">
        <v>58</v>
      </c>
      <c r="J953" s="87" t="s">
        <v>3149</v>
      </c>
      <c r="K953" s="90">
        <v>0.0</v>
      </c>
      <c r="L953" s="92"/>
      <c r="M953" s="93"/>
      <c r="N953" s="87" t="s">
        <v>1772</v>
      </c>
      <c r="O953" s="87" t="s">
        <v>377</v>
      </c>
      <c r="P953" s="87" t="s">
        <v>372</v>
      </c>
    </row>
    <row r="954" ht="15.75" customHeight="1">
      <c r="A954" s="87" t="s">
        <v>3150</v>
      </c>
      <c r="B954" s="88">
        <v>1.22E18</v>
      </c>
      <c r="C954" s="87" t="s">
        <v>3151</v>
      </c>
      <c r="D954" s="87" t="s">
        <v>87</v>
      </c>
      <c r="E954" s="87" t="s">
        <v>88</v>
      </c>
      <c r="F954" s="118" t="s">
        <v>3151</v>
      </c>
      <c r="G954" s="119"/>
      <c r="H954" s="87" t="s">
        <v>3152</v>
      </c>
      <c r="I954" s="87" t="s">
        <v>58</v>
      </c>
      <c r="J954" s="87" t="s">
        <v>3153</v>
      </c>
      <c r="K954" s="90">
        <v>0.0</v>
      </c>
      <c r="L954" s="92"/>
      <c r="M954" s="93"/>
      <c r="N954" s="87" t="s">
        <v>1772</v>
      </c>
      <c r="O954" s="87" t="s">
        <v>377</v>
      </c>
      <c r="P954" s="87" t="s">
        <v>372</v>
      </c>
    </row>
    <row r="955" ht="15.75" customHeight="1">
      <c r="A955" s="87" t="s">
        <v>3154</v>
      </c>
      <c r="B955" s="88">
        <v>1.22E18</v>
      </c>
      <c r="C955" s="87" t="s">
        <v>3155</v>
      </c>
      <c r="D955" s="87" t="s">
        <v>87</v>
      </c>
      <c r="E955" s="87" t="s">
        <v>102</v>
      </c>
      <c r="F955" s="118" t="s">
        <v>3155</v>
      </c>
      <c r="G955" s="130"/>
      <c r="H955" s="119"/>
      <c r="I955" s="87" t="s">
        <v>58</v>
      </c>
      <c r="J955" s="87" t="s">
        <v>3156</v>
      </c>
      <c r="K955" s="90">
        <v>0.0</v>
      </c>
      <c r="L955" s="92"/>
      <c r="M955" s="93"/>
      <c r="N955" s="87" t="s">
        <v>1772</v>
      </c>
      <c r="O955" s="87" t="s">
        <v>377</v>
      </c>
      <c r="P955" s="87" t="s">
        <v>372</v>
      </c>
    </row>
    <row r="956" ht="15.75" customHeight="1">
      <c r="A956" s="87" t="s">
        <v>3157</v>
      </c>
      <c r="B956" s="88">
        <v>1.22E18</v>
      </c>
      <c r="C956" s="87" t="s">
        <v>3158</v>
      </c>
      <c r="D956" s="87" t="s">
        <v>262</v>
      </c>
      <c r="E956" s="87" t="s">
        <v>267</v>
      </c>
      <c r="F956" s="87" t="s">
        <v>3158</v>
      </c>
      <c r="H956" s="87" t="s">
        <v>3159</v>
      </c>
      <c r="I956" s="87" t="s">
        <v>58</v>
      </c>
      <c r="J956" s="87" t="s">
        <v>3160</v>
      </c>
      <c r="K956" s="90">
        <v>0.0</v>
      </c>
      <c r="L956" s="92"/>
      <c r="M956" s="93"/>
      <c r="N956" s="87" t="s">
        <v>2859</v>
      </c>
      <c r="O956" s="87" t="s">
        <v>377</v>
      </c>
      <c r="P956" s="87" t="s">
        <v>372</v>
      </c>
    </row>
    <row r="957" ht="15.75" customHeight="1">
      <c r="A957" s="87" t="s">
        <v>3161</v>
      </c>
      <c r="B957" s="88">
        <v>1.22E18</v>
      </c>
      <c r="C957" s="87" t="s">
        <v>3162</v>
      </c>
      <c r="D957" s="87" t="s">
        <v>262</v>
      </c>
      <c r="E957" s="87" t="s">
        <v>267</v>
      </c>
      <c r="F957" s="87" t="s">
        <v>3162</v>
      </c>
      <c r="H957" s="87" t="s">
        <v>3159</v>
      </c>
      <c r="I957" s="87" t="s">
        <v>58</v>
      </c>
      <c r="J957" s="87" t="s">
        <v>3160</v>
      </c>
      <c r="K957" s="90">
        <v>0.0</v>
      </c>
      <c r="L957" s="92"/>
      <c r="M957" s="93"/>
      <c r="N957" s="87" t="s">
        <v>2859</v>
      </c>
      <c r="O957" s="87" t="s">
        <v>377</v>
      </c>
      <c r="P957" s="87" t="s">
        <v>372</v>
      </c>
    </row>
    <row r="958" ht="15.75" customHeight="1">
      <c r="A958" s="87" t="s">
        <v>3163</v>
      </c>
      <c r="B958" s="88">
        <v>1.22E18</v>
      </c>
      <c r="C958" s="87" t="s">
        <v>3164</v>
      </c>
      <c r="D958" s="87" t="s">
        <v>262</v>
      </c>
      <c r="E958" s="87" t="s">
        <v>267</v>
      </c>
      <c r="F958" s="87" t="s">
        <v>3164</v>
      </c>
      <c r="H958" s="87" t="s">
        <v>3159</v>
      </c>
      <c r="I958" s="87" t="s">
        <v>58</v>
      </c>
      <c r="J958" s="87" t="s">
        <v>3165</v>
      </c>
      <c r="K958" s="90">
        <v>0.0</v>
      </c>
      <c r="L958" s="92"/>
      <c r="M958" s="93"/>
      <c r="N958" s="87" t="s">
        <v>2859</v>
      </c>
      <c r="O958" s="87" t="s">
        <v>377</v>
      </c>
      <c r="P958" s="87" t="s">
        <v>372</v>
      </c>
    </row>
    <row r="959" ht="15.75" customHeight="1">
      <c r="A959" s="87" t="s">
        <v>3166</v>
      </c>
      <c r="B959" s="88">
        <v>1.22E18</v>
      </c>
      <c r="C959" s="87" t="s">
        <v>3167</v>
      </c>
      <c r="D959" s="87" t="s">
        <v>262</v>
      </c>
      <c r="E959" s="87" t="s">
        <v>267</v>
      </c>
      <c r="F959" s="87" t="s">
        <v>3167</v>
      </c>
      <c r="I959" s="87" t="s">
        <v>58</v>
      </c>
      <c r="J959" s="87" t="s">
        <v>2309</v>
      </c>
      <c r="K959" s="90">
        <v>0.0</v>
      </c>
      <c r="L959" s="92"/>
      <c r="M959" s="93"/>
      <c r="N959" s="87" t="s">
        <v>2859</v>
      </c>
      <c r="O959" s="87" t="s">
        <v>377</v>
      </c>
      <c r="P959" s="87" t="s">
        <v>372</v>
      </c>
    </row>
    <row r="960" ht="15.75" customHeight="1">
      <c r="A960" s="87" t="s">
        <v>3168</v>
      </c>
      <c r="B960" s="88">
        <v>1.22E18</v>
      </c>
      <c r="C960" s="87" t="s">
        <v>3169</v>
      </c>
      <c r="D960" s="87" t="s">
        <v>262</v>
      </c>
      <c r="E960" s="87" t="s">
        <v>267</v>
      </c>
      <c r="F960" s="87" t="s">
        <v>3169</v>
      </c>
      <c r="H960" s="87" t="s">
        <v>3004</v>
      </c>
      <c r="I960" s="87" t="s">
        <v>58</v>
      </c>
      <c r="J960" s="87" t="s">
        <v>3170</v>
      </c>
      <c r="K960" s="90">
        <v>0.0</v>
      </c>
      <c r="L960" s="92"/>
      <c r="M960" s="93"/>
      <c r="N960" s="87" t="s">
        <v>3006</v>
      </c>
      <c r="O960" s="87" t="s">
        <v>377</v>
      </c>
      <c r="P960" s="87" t="s">
        <v>372</v>
      </c>
    </row>
    <row r="961" ht="15.75" customHeight="1">
      <c r="A961" s="87" t="s">
        <v>3171</v>
      </c>
      <c r="B961" s="88">
        <v>1.22E18</v>
      </c>
      <c r="C961" s="87" t="s">
        <v>3172</v>
      </c>
      <c r="D961" s="87" t="s">
        <v>262</v>
      </c>
      <c r="E961" s="87" t="s">
        <v>267</v>
      </c>
      <c r="F961" s="87" t="s">
        <v>3172</v>
      </c>
      <c r="H961" s="87" t="s">
        <v>3004</v>
      </c>
      <c r="I961" s="87" t="s">
        <v>58</v>
      </c>
      <c r="J961" s="87" t="s">
        <v>1051</v>
      </c>
      <c r="K961" s="90">
        <v>0.0</v>
      </c>
      <c r="L961" s="92"/>
      <c r="M961" s="93"/>
      <c r="N961" s="87" t="s">
        <v>3006</v>
      </c>
      <c r="O961" s="87" t="s">
        <v>377</v>
      </c>
      <c r="P961" s="87" t="s">
        <v>372</v>
      </c>
    </row>
    <row r="962" ht="15.75" customHeight="1">
      <c r="A962" s="87" t="s">
        <v>3173</v>
      </c>
      <c r="B962" s="88">
        <v>1.22E18</v>
      </c>
      <c r="C962" s="87" t="s">
        <v>3174</v>
      </c>
      <c r="D962" s="87" t="s">
        <v>262</v>
      </c>
      <c r="E962" s="87" t="s">
        <v>267</v>
      </c>
      <c r="F962" s="118" t="s">
        <v>3174</v>
      </c>
      <c r="G962" s="119"/>
      <c r="H962" s="87" t="s">
        <v>3004</v>
      </c>
      <c r="I962" s="87" t="s">
        <v>58</v>
      </c>
      <c r="J962" s="87" t="s">
        <v>3175</v>
      </c>
      <c r="K962" s="90">
        <v>0.0</v>
      </c>
      <c r="L962" s="92"/>
      <c r="M962" s="93"/>
      <c r="N962" s="87" t="s">
        <v>3006</v>
      </c>
      <c r="O962" s="87" t="s">
        <v>377</v>
      </c>
      <c r="P962" s="87" t="s">
        <v>372</v>
      </c>
    </row>
    <row r="963" ht="15.75" customHeight="1">
      <c r="A963" s="87" t="s">
        <v>3176</v>
      </c>
      <c r="B963" s="88">
        <v>1.22E18</v>
      </c>
      <c r="C963" s="87" t="s">
        <v>3177</v>
      </c>
      <c r="D963" s="87" t="s">
        <v>262</v>
      </c>
      <c r="E963" s="87" t="s">
        <v>267</v>
      </c>
      <c r="F963" s="87" t="s">
        <v>3177</v>
      </c>
      <c r="H963" s="87" t="s">
        <v>3004</v>
      </c>
      <c r="I963" s="87" t="s">
        <v>58</v>
      </c>
      <c r="J963" s="87" t="s">
        <v>2050</v>
      </c>
      <c r="K963" s="90">
        <v>0.0</v>
      </c>
      <c r="L963" s="92"/>
      <c r="M963" s="93"/>
      <c r="N963" s="87" t="s">
        <v>3006</v>
      </c>
      <c r="O963" s="87" t="s">
        <v>377</v>
      </c>
      <c r="P963" s="87" t="s">
        <v>372</v>
      </c>
    </row>
    <row r="964" ht="15.75" customHeight="1">
      <c r="A964" s="87" t="s">
        <v>3178</v>
      </c>
      <c r="B964" s="88">
        <v>1.22E18</v>
      </c>
      <c r="C964" s="87" t="s">
        <v>3179</v>
      </c>
      <c r="D964" s="87" t="s">
        <v>262</v>
      </c>
      <c r="E964" s="87" t="s">
        <v>267</v>
      </c>
      <c r="F964" s="118" t="s">
        <v>3179</v>
      </c>
      <c r="G964" s="119"/>
      <c r="H964" s="87" t="s">
        <v>3004</v>
      </c>
      <c r="I964" s="87" t="s">
        <v>58</v>
      </c>
      <c r="J964" s="87" t="s">
        <v>3180</v>
      </c>
      <c r="K964" s="90">
        <v>0.0</v>
      </c>
      <c r="L964" s="92"/>
      <c r="M964" s="93"/>
      <c r="N964" s="87" t="s">
        <v>3006</v>
      </c>
      <c r="O964" s="87" t="s">
        <v>377</v>
      </c>
      <c r="P964" s="87" t="s">
        <v>372</v>
      </c>
    </row>
    <row r="965" ht="15.75" customHeight="1">
      <c r="A965" s="87" t="s">
        <v>3181</v>
      </c>
      <c r="B965" s="88">
        <v>1.22E18</v>
      </c>
      <c r="C965" s="87" t="s">
        <v>3182</v>
      </c>
      <c r="D965" s="87" t="s">
        <v>262</v>
      </c>
      <c r="E965" s="87" t="s">
        <v>267</v>
      </c>
      <c r="F965" s="87" t="s">
        <v>3182</v>
      </c>
      <c r="H965" s="87" t="s">
        <v>3004</v>
      </c>
      <c r="I965" s="87" t="s">
        <v>58</v>
      </c>
      <c r="J965" s="87" t="s">
        <v>3183</v>
      </c>
      <c r="K965" s="90">
        <v>0.0</v>
      </c>
      <c r="L965" s="92"/>
      <c r="M965" s="93"/>
      <c r="N965" s="87" t="s">
        <v>3006</v>
      </c>
      <c r="O965" s="87" t="s">
        <v>377</v>
      </c>
      <c r="P965" s="87" t="s">
        <v>372</v>
      </c>
    </row>
    <row r="966" ht="15.75" customHeight="1">
      <c r="A966" s="87" t="s">
        <v>3184</v>
      </c>
      <c r="B966" s="88">
        <v>1.22E18</v>
      </c>
      <c r="C966" s="87" t="s">
        <v>3185</v>
      </c>
      <c r="D966" s="87" t="s">
        <v>262</v>
      </c>
      <c r="E966" s="87" t="s">
        <v>267</v>
      </c>
      <c r="F966" s="87" t="s">
        <v>3185</v>
      </c>
      <c r="H966" s="87" t="s">
        <v>3004</v>
      </c>
      <c r="I966" s="87" t="s">
        <v>58</v>
      </c>
      <c r="J966" s="87" t="s">
        <v>2030</v>
      </c>
      <c r="K966" s="90">
        <v>0.0</v>
      </c>
      <c r="L966" s="92"/>
      <c r="M966" s="93"/>
      <c r="N966" s="87" t="s">
        <v>3006</v>
      </c>
      <c r="O966" s="87" t="s">
        <v>377</v>
      </c>
      <c r="P966" s="87" t="s">
        <v>372</v>
      </c>
    </row>
    <row r="967" ht="15.75" customHeight="1">
      <c r="A967" s="87" t="s">
        <v>3186</v>
      </c>
      <c r="B967" s="88">
        <v>1.22E18</v>
      </c>
      <c r="C967" s="87" t="s">
        <v>3187</v>
      </c>
      <c r="D967" s="87" t="s">
        <v>262</v>
      </c>
      <c r="E967" s="87" t="s">
        <v>267</v>
      </c>
      <c r="F967" s="87" t="s">
        <v>3187</v>
      </c>
      <c r="H967" s="87" t="s">
        <v>3004</v>
      </c>
      <c r="I967" s="87" t="s">
        <v>58</v>
      </c>
      <c r="J967" s="87" t="s">
        <v>3188</v>
      </c>
      <c r="K967" s="90">
        <v>0.0</v>
      </c>
      <c r="L967" s="92"/>
      <c r="M967" s="93"/>
      <c r="N967" s="87" t="s">
        <v>3006</v>
      </c>
      <c r="O967" s="87" t="s">
        <v>377</v>
      </c>
      <c r="P967" s="87" t="s">
        <v>372</v>
      </c>
    </row>
    <row r="968" ht="15.75" customHeight="1">
      <c r="A968" s="87" t="s">
        <v>3189</v>
      </c>
      <c r="B968" s="88">
        <v>1.22E18</v>
      </c>
      <c r="C968" s="87" t="s">
        <v>3190</v>
      </c>
      <c r="D968" s="87" t="s">
        <v>262</v>
      </c>
      <c r="E968" s="87" t="s">
        <v>267</v>
      </c>
      <c r="F968" s="87" t="s">
        <v>3190</v>
      </c>
      <c r="H968" s="87" t="s">
        <v>3004</v>
      </c>
      <c r="I968" s="87" t="s">
        <v>58</v>
      </c>
      <c r="J968" s="87" t="s">
        <v>1625</v>
      </c>
      <c r="K968" s="90">
        <v>0.0</v>
      </c>
      <c r="L968" s="92"/>
      <c r="M968" s="93"/>
      <c r="N968" s="87" t="s">
        <v>3006</v>
      </c>
      <c r="O968" s="87" t="s">
        <v>377</v>
      </c>
      <c r="P968" s="87" t="s">
        <v>372</v>
      </c>
    </row>
    <row r="969" ht="15.75" customHeight="1">
      <c r="A969" s="87" t="s">
        <v>3191</v>
      </c>
      <c r="B969" s="88">
        <v>1.22E18</v>
      </c>
      <c r="C969" s="87" t="s">
        <v>3192</v>
      </c>
      <c r="D969" s="87" t="s">
        <v>262</v>
      </c>
      <c r="E969" s="87" t="s">
        <v>267</v>
      </c>
      <c r="F969" s="87" t="s">
        <v>3192</v>
      </c>
      <c r="H969" s="87" t="s">
        <v>3004</v>
      </c>
      <c r="I969" s="87" t="s">
        <v>58</v>
      </c>
      <c r="J969" s="87" t="s">
        <v>1625</v>
      </c>
      <c r="K969" s="90">
        <v>0.0</v>
      </c>
      <c r="L969" s="92"/>
      <c r="M969" s="93"/>
      <c r="N969" s="87" t="s">
        <v>3006</v>
      </c>
      <c r="O969" s="87" t="s">
        <v>377</v>
      </c>
      <c r="P969" s="87" t="s">
        <v>372</v>
      </c>
    </row>
    <row r="970" ht="15.75" customHeight="1">
      <c r="A970" s="87" t="s">
        <v>3193</v>
      </c>
      <c r="B970" s="88">
        <v>1.22E18</v>
      </c>
      <c r="C970" s="87" t="s">
        <v>3194</v>
      </c>
      <c r="D970" s="87" t="s">
        <v>262</v>
      </c>
      <c r="E970" s="87" t="s">
        <v>270</v>
      </c>
      <c r="F970" s="87" t="s">
        <v>3194</v>
      </c>
      <c r="H970" s="87" t="s">
        <v>3195</v>
      </c>
      <c r="I970" s="87" t="s">
        <v>58</v>
      </c>
      <c r="J970" s="87" t="s">
        <v>3196</v>
      </c>
      <c r="K970" s="90">
        <v>0.0</v>
      </c>
      <c r="L970" s="92"/>
      <c r="M970" s="93"/>
      <c r="N970" s="87" t="s">
        <v>3197</v>
      </c>
      <c r="O970" s="87" t="s">
        <v>377</v>
      </c>
      <c r="P970" s="87" t="s">
        <v>372</v>
      </c>
    </row>
    <row r="971" ht="15.75" customHeight="1">
      <c r="A971" s="87" t="s">
        <v>3198</v>
      </c>
      <c r="B971" s="88">
        <v>1.22E18</v>
      </c>
      <c r="C971" s="87" t="s">
        <v>3199</v>
      </c>
      <c r="D971" s="87" t="s">
        <v>262</v>
      </c>
      <c r="E971" s="87" t="s">
        <v>267</v>
      </c>
      <c r="F971" s="87" t="s">
        <v>3199</v>
      </c>
      <c r="H971" s="87" t="s">
        <v>3200</v>
      </c>
      <c r="I971" s="87" t="s">
        <v>58</v>
      </c>
      <c r="J971" s="87" t="s">
        <v>3201</v>
      </c>
      <c r="K971" s="90">
        <v>0.0</v>
      </c>
      <c r="L971" s="92"/>
      <c r="M971" s="93"/>
      <c r="N971" s="87" t="s">
        <v>3202</v>
      </c>
      <c r="O971" s="87" t="s">
        <v>377</v>
      </c>
      <c r="P971" s="87" t="s">
        <v>372</v>
      </c>
    </row>
    <row r="972" ht="15.75" customHeight="1">
      <c r="A972" s="87" t="s">
        <v>3203</v>
      </c>
      <c r="B972" s="88">
        <v>1.22E18</v>
      </c>
      <c r="C972" s="87" t="s">
        <v>3204</v>
      </c>
      <c r="D972" s="87" t="s">
        <v>262</v>
      </c>
      <c r="E972" s="87" t="s">
        <v>267</v>
      </c>
      <c r="F972" s="87" t="s">
        <v>3204</v>
      </c>
      <c r="H972" s="87" t="s">
        <v>3200</v>
      </c>
      <c r="I972" s="87" t="s">
        <v>58</v>
      </c>
      <c r="J972" s="87" t="s">
        <v>3205</v>
      </c>
      <c r="K972" s="90">
        <v>0.0</v>
      </c>
      <c r="L972" s="92"/>
      <c r="M972" s="93"/>
      <c r="N972" s="87" t="s">
        <v>3202</v>
      </c>
      <c r="O972" s="87" t="s">
        <v>377</v>
      </c>
      <c r="P972" s="87" t="s">
        <v>372</v>
      </c>
    </row>
    <row r="973" ht="15.75" customHeight="1">
      <c r="A973" s="87" t="s">
        <v>3206</v>
      </c>
      <c r="B973" s="88">
        <v>1.22E18</v>
      </c>
      <c r="C973" s="87" t="s">
        <v>3207</v>
      </c>
      <c r="D973" s="87" t="s">
        <v>262</v>
      </c>
      <c r="E973" s="87" t="s">
        <v>267</v>
      </c>
      <c r="F973" s="87" t="s">
        <v>3207</v>
      </c>
      <c r="H973" s="87" t="s">
        <v>3200</v>
      </c>
      <c r="I973" s="87" t="s">
        <v>58</v>
      </c>
      <c r="J973" s="87" t="s">
        <v>3208</v>
      </c>
      <c r="K973" s="90">
        <v>0.0</v>
      </c>
      <c r="L973" s="92"/>
      <c r="M973" s="93"/>
      <c r="N973" s="87" t="s">
        <v>3202</v>
      </c>
      <c r="O973" s="87" t="s">
        <v>377</v>
      </c>
      <c r="P973" s="87" t="s">
        <v>372</v>
      </c>
    </row>
    <row r="974" ht="15.75" customHeight="1">
      <c r="A974" s="87" t="s">
        <v>3209</v>
      </c>
      <c r="B974" s="88">
        <v>1.22E18</v>
      </c>
      <c r="C974" s="87" t="s">
        <v>3210</v>
      </c>
      <c r="D974" s="87" t="s">
        <v>262</v>
      </c>
      <c r="E974" s="87" t="s">
        <v>267</v>
      </c>
      <c r="F974" s="87" t="s">
        <v>3210</v>
      </c>
      <c r="H974" s="87" t="s">
        <v>3200</v>
      </c>
      <c r="I974" s="87" t="s">
        <v>58</v>
      </c>
      <c r="J974" s="87" t="s">
        <v>3211</v>
      </c>
      <c r="K974" s="90">
        <v>0.0</v>
      </c>
      <c r="L974" s="92"/>
      <c r="M974" s="93"/>
      <c r="N974" s="87" t="s">
        <v>3202</v>
      </c>
      <c r="O974" s="87" t="s">
        <v>377</v>
      </c>
      <c r="P974" s="87" t="s">
        <v>372</v>
      </c>
    </row>
    <row r="975" ht="15.75" customHeight="1">
      <c r="A975" s="87" t="s">
        <v>3212</v>
      </c>
      <c r="B975" s="88">
        <v>1.22E18</v>
      </c>
      <c r="C975" s="87" t="s">
        <v>3213</v>
      </c>
      <c r="D975" s="87" t="s">
        <v>262</v>
      </c>
      <c r="E975" s="87" t="s">
        <v>267</v>
      </c>
      <c r="F975" s="87" t="s">
        <v>3213</v>
      </c>
      <c r="H975" s="87" t="s">
        <v>3200</v>
      </c>
      <c r="I975" s="87" t="s">
        <v>58</v>
      </c>
      <c r="J975" s="87" t="s">
        <v>3214</v>
      </c>
      <c r="K975" s="90">
        <v>0.0</v>
      </c>
      <c r="L975" s="92"/>
      <c r="M975" s="93"/>
      <c r="N975" s="87" t="s">
        <v>3202</v>
      </c>
      <c r="O975" s="87" t="s">
        <v>377</v>
      </c>
      <c r="P975" s="87" t="s">
        <v>372</v>
      </c>
    </row>
    <row r="976" ht="15.75" customHeight="1">
      <c r="A976" s="87" t="s">
        <v>3215</v>
      </c>
      <c r="B976" s="88">
        <v>1.22E18</v>
      </c>
      <c r="C976" s="87" t="s">
        <v>3216</v>
      </c>
      <c r="D976" s="87" t="s">
        <v>262</v>
      </c>
      <c r="E976" s="87" t="s">
        <v>267</v>
      </c>
      <c r="F976" s="87" t="s">
        <v>3216</v>
      </c>
      <c r="H976" s="87" t="s">
        <v>3200</v>
      </c>
      <c r="I976" s="87" t="s">
        <v>58</v>
      </c>
      <c r="J976" s="87" t="s">
        <v>3217</v>
      </c>
      <c r="K976" s="90">
        <v>0.0</v>
      </c>
      <c r="L976" s="92"/>
      <c r="M976" s="93"/>
      <c r="N976" s="87" t="s">
        <v>3202</v>
      </c>
      <c r="O976" s="87" t="s">
        <v>377</v>
      </c>
      <c r="P976" s="87" t="s">
        <v>372</v>
      </c>
    </row>
    <row r="977" ht="15.75" customHeight="1">
      <c r="A977" s="87" t="s">
        <v>3218</v>
      </c>
      <c r="B977" s="88">
        <v>1.22E18</v>
      </c>
      <c r="C977" s="87" t="s">
        <v>3219</v>
      </c>
      <c r="D977" s="87" t="s">
        <v>262</v>
      </c>
      <c r="E977" s="87" t="s">
        <v>267</v>
      </c>
      <c r="F977" s="87" t="s">
        <v>3219</v>
      </c>
      <c r="H977" s="87" t="s">
        <v>2364</v>
      </c>
      <c r="I977" s="87" t="s">
        <v>58</v>
      </c>
      <c r="J977" s="87" t="s">
        <v>3220</v>
      </c>
      <c r="K977" s="90">
        <v>0.0</v>
      </c>
      <c r="L977" s="92"/>
      <c r="M977" s="93"/>
      <c r="N977" s="87" t="s">
        <v>2364</v>
      </c>
      <c r="O977" s="87" t="s">
        <v>377</v>
      </c>
      <c r="P977" s="87" t="s">
        <v>372</v>
      </c>
    </row>
    <row r="978" ht="15.75" customHeight="1">
      <c r="A978" s="87" t="s">
        <v>3221</v>
      </c>
      <c r="B978" s="88">
        <v>1.22E18</v>
      </c>
      <c r="C978" s="87" t="s">
        <v>3222</v>
      </c>
      <c r="D978" s="87" t="s">
        <v>262</v>
      </c>
      <c r="E978" s="87" t="s">
        <v>267</v>
      </c>
      <c r="F978" s="87" t="s">
        <v>3222</v>
      </c>
      <c r="H978" s="87" t="s">
        <v>2364</v>
      </c>
      <c r="I978" s="87" t="s">
        <v>58</v>
      </c>
      <c r="J978" s="87" t="s">
        <v>3223</v>
      </c>
      <c r="K978" s="90">
        <v>0.0</v>
      </c>
      <c r="L978" s="92"/>
      <c r="M978" s="93"/>
      <c r="N978" s="87" t="s">
        <v>2364</v>
      </c>
      <c r="O978" s="87" t="s">
        <v>377</v>
      </c>
      <c r="P978" s="87" t="s">
        <v>372</v>
      </c>
    </row>
    <row r="979" ht="15.75" customHeight="1">
      <c r="A979" s="87" t="s">
        <v>3224</v>
      </c>
      <c r="B979" s="88">
        <v>1.22E18</v>
      </c>
      <c r="C979" s="87" t="s">
        <v>3225</v>
      </c>
      <c r="D979" s="87" t="s">
        <v>262</v>
      </c>
      <c r="E979" s="87" t="s">
        <v>267</v>
      </c>
      <c r="F979" s="87" t="s">
        <v>3225</v>
      </c>
      <c r="H979" s="87" t="s">
        <v>2364</v>
      </c>
      <c r="I979" s="87" t="s">
        <v>58</v>
      </c>
      <c r="J979" s="87" t="s">
        <v>2726</v>
      </c>
      <c r="K979" s="90">
        <v>0.0</v>
      </c>
      <c r="L979" s="92"/>
      <c r="M979" s="93"/>
      <c r="N979" s="87" t="s">
        <v>2364</v>
      </c>
      <c r="O979" s="87" t="s">
        <v>377</v>
      </c>
      <c r="P979" s="87" t="s">
        <v>372</v>
      </c>
    </row>
    <row r="980" ht="15.75" customHeight="1">
      <c r="A980" s="87" t="s">
        <v>3226</v>
      </c>
      <c r="B980" s="88">
        <v>1.22E18</v>
      </c>
      <c r="C980" s="87" t="s">
        <v>3227</v>
      </c>
      <c r="D980" s="87" t="s">
        <v>262</v>
      </c>
      <c r="E980" s="87" t="s">
        <v>267</v>
      </c>
      <c r="F980" s="87" t="s">
        <v>3227</v>
      </c>
      <c r="H980" s="87" t="s">
        <v>2364</v>
      </c>
      <c r="I980" s="87" t="s">
        <v>58</v>
      </c>
      <c r="J980" s="87" t="s">
        <v>3228</v>
      </c>
      <c r="K980" s="90">
        <v>0.0</v>
      </c>
      <c r="L980" s="92"/>
      <c r="M980" s="93"/>
      <c r="N980" s="87" t="s">
        <v>2364</v>
      </c>
      <c r="O980" s="87" t="s">
        <v>377</v>
      </c>
      <c r="P980" s="87" t="s">
        <v>372</v>
      </c>
    </row>
    <row r="981" ht="15.75" customHeight="1">
      <c r="A981" s="87" t="s">
        <v>3229</v>
      </c>
      <c r="B981" s="88">
        <v>1.22E18</v>
      </c>
      <c r="C981" s="87" t="s">
        <v>3230</v>
      </c>
      <c r="D981" s="87" t="s">
        <v>262</v>
      </c>
      <c r="E981" s="87" t="s">
        <v>267</v>
      </c>
      <c r="F981" s="87" t="s">
        <v>3230</v>
      </c>
      <c r="H981" s="87" t="s">
        <v>2364</v>
      </c>
      <c r="I981" s="87" t="s">
        <v>58</v>
      </c>
      <c r="J981" s="87" t="s">
        <v>3231</v>
      </c>
      <c r="K981" s="90">
        <v>0.0</v>
      </c>
      <c r="L981" s="92"/>
      <c r="M981" s="93"/>
      <c r="N981" s="87" t="s">
        <v>2364</v>
      </c>
      <c r="O981" s="87" t="s">
        <v>377</v>
      </c>
      <c r="P981" s="87" t="s">
        <v>372</v>
      </c>
    </row>
    <row r="982" ht="15.75" customHeight="1">
      <c r="A982" s="87" t="s">
        <v>3232</v>
      </c>
      <c r="B982" s="88">
        <v>1.22E18</v>
      </c>
      <c r="C982" s="87" t="s">
        <v>3233</v>
      </c>
      <c r="D982" s="87" t="s">
        <v>262</v>
      </c>
      <c r="E982" s="87" t="s">
        <v>267</v>
      </c>
      <c r="F982" s="87" t="s">
        <v>3233</v>
      </c>
      <c r="H982" s="87" t="s">
        <v>2364</v>
      </c>
      <c r="I982" s="87" t="s">
        <v>58</v>
      </c>
      <c r="J982" s="87" t="s">
        <v>3234</v>
      </c>
      <c r="K982" s="90">
        <v>0.0</v>
      </c>
      <c r="L982" s="92"/>
      <c r="M982" s="93"/>
      <c r="N982" s="87" t="s">
        <v>2364</v>
      </c>
      <c r="O982" s="87" t="s">
        <v>377</v>
      </c>
      <c r="P982" s="87" t="s">
        <v>372</v>
      </c>
    </row>
    <row r="983" ht="15.75" customHeight="1">
      <c r="A983" s="87" t="s">
        <v>3235</v>
      </c>
      <c r="B983" s="88">
        <v>1.22E18</v>
      </c>
      <c r="C983" s="87" t="s">
        <v>3236</v>
      </c>
      <c r="D983" s="87" t="s">
        <v>262</v>
      </c>
      <c r="E983" s="87" t="s">
        <v>267</v>
      </c>
      <c r="F983" s="87" t="s">
        <v>3236</v>
      </c>
      <c r="H983" s="87" t="s">
        <v>2364</v>
      </c>
      <c r="I983" s="87" t="s">
        <v>58</v>
      </c>
      <c r="J983" s="87" t="s">
        <v>3237</v>
      </c>
      <c r="K983" s="90">
        <v>0.0</v>
      </c>
      <c r="L983" s="92"/>
      <c r="M983" s="93"/>
      <c r="N983" s="87" t="s">
        <v>2364</v>
      </c>
      <c r="O983" s="87" t="s">
        <v>377</v>
      </c>
      <c r="P983" s="87" t="s">
        <v>372</v>
      </c>
    </row>
    <row r="984" ht="15.75" customHeight="1">
      <c r="A984" s="87" t="s">
        <v>3238</v>
      </c>
      <c r="B984" s="88">
        <v>1.22E18</v>
      </c>
      <c r="C984" s="87" t="s">
        <v>3239</v>
      </c>
      <c r="D984" s="87" t="s">
        <v>262</v>
      </c>
      <c r="E984" s="87" t="s">
        <v>267</v>
      </c>
      <c r="F984" s="87" t="s">
        <v>3239</v>
      </c>
      <c r="H984" s="87" t="s">
        <v>2364</v>
      </c>
      <c r="I984" s="87" t="s">
        <v>58</v>
      </c>
      <c r="J984" s="87" t="s">
        <v>3240</v>
      </c>
      <c r="K984" s="90">
        <v>0.0</v>
      </c>
      <c r="L984" s="92"/>
      <c r="M984" s="93"/>
      <c r="N984" s="87" t="s">
        <v>2364</v>
      </c>
      <c r="O984" s="87" t="s">
        <v>377</v>
      </c>
      <c r="P984" s="87" t="s">
        <v>372</v>
      </c>
    </row>
    <row r="985" ht="15.75" customHeight="1">
      <c r="A985" s="87" t="s">
        <v>3241</v>
      </c>
      <c r="B985" s="88">
        <v>1.22E18</v>
      </c>
      <c r="C985" s="87" t="s">
        <v>3242</v>
      </c>
      <c r="D985" s="87" t="s">
        <v>87</v>
      </c>
      <c r="E985" s="87" t="s">
        <v>228</v>
      </c>
      <c r="F985" s="87" t="s">
        <v>373</v>
      </c>
      <c r="H985" s="87" t="s">
        <v>408</v>
      </c>
      <c r="I985" s="87" t="s">
        <v>340</v>
      </c>
      <c r="J985" s="87" t="s">
        <v>3243</v>
      </c>
      <c r="K985" s="90">
        <v>4525.0</v>
      </c>
      <c r="L985" s="92"/>
      <c r="M985" s="93"/>
      <c r="N985" s="87" t="s">
        <v>408</v>
      </c>
      <c r="O985" s="87" t="s">
        <v>377</v>
      </c>
      <c r="P985" s="87" t="s">
        <v>372</v>
      </c>
    </row>
    <row r="986" ht="15.75" customHeight="1">
      <c r="A986" s="87" t="s">
        <v>3244</v>
      </c>
      <c r="B986" s="88">
        <v>1.22E18</v>
      </c>
      <c r="C986" s="87" t="s">
        <v>3245</v>
      </c>
      <c r="D986" s="87" t="s">
        <v>87</v>
      </c>
      <c r="E986" s="87" t="s">
        <v>228</v>
      </c>
      <c r="F986" s="87" t="s">
        <v>3245</v>
      </c>
      <c r="H986" s="87" t="s">
        <v>1088</v>
      </c>
      <c r="I986" s="87" t="s">
        <v>340</v>
      </c>
      <c r="J986" s="87" t="s">
        <v>3246</v>
      </c>
      <c r="K986" s="90">
        <v>0.0</v>
      </c>
      <c r="L986" s="92"/>
      <c r="M986" s="93"/>
      <c r="N986" s="87" t="s">
        <v>3247</v>
      </c>
      <c r="O986" s="87" t="s">
        <v>377</v>
      </c>
      <c r="P986" s="87" t="s">
        <v>372</v>
      </c>
    </row>
    <row r="987" ht="15.75" customHeight="1">
      <c r="A987" s="87" t="s">
        <v>3248</v>
      </c>
      <c r="B987" s="88">
        <v>1.22E18</v>
      </c>
      <c r="C987" s="87" t="s">
        <v>3249</v>
      </c>
      <c r="D987" s="87" t="s">
        <v>87</v>
      </c>
      <c r="E987" s="87" t="s">
        <v>88</v>
      </c>
      <c r="F987" s="87" t="s">
        <v>3249</v>
      </c>
      <c r="H987" s="87" t="s">
        <v>369</v>
      </c>
      <c r="I987" s="87" t="s">
        <v>315</v>
      </c>
      <c r="J987" s="87" t="s">
        <v>3250</v>
      </c>
      <c r="K987" s="90">
        <v>85000.0</v>
      </c>
      <c r="L987" s="92"/>
      <c r="M987" s="93"/>
      <c r="N987" s="87" t="s">
        <v>390</v>
      </c>
      <c r="O987" s="87" t="s">
        <v>377</v>
      </c>
      <c r="P987" s="87" t="s">
        <v>372</v>
      </c>
    </row>
    <row r="988" ht="15.75" customHeight="1">
      <c r="A988" s="87" t="s">
        <v>3251</v>
      </c>
      <c r="B988" s="88">
        <v>1.22E18</v>
      </c>
      <c r="C988" s="87" t="s">
        <v>3252</v>
      </c>
      <c r="D988" s="87" t="s">
        <v>87</v>
      </c>
      <c r="E988" s="87" t="s">
        <v>88</v>
      </c>
      <c r="F988" s="87" t="s">
        <v>3252</v>
      </c>
      <c r="H988" s="87" t="s">
        <v>369</v>
      </c>
      <c r="I988" s="87" t="s">
        <v>315</v>
      </c>
      <c r="J988" s="87" t="s">
        <v>3253</v>
      </c>
      <c r="K988" s="90">
        <v>450000.0</v>
      </c>
      <c r="L988" s="92"/>
      <c r="M988" s="93"/>
      <c r="N988" s="87" t="s">
        <v>390</v>
      </c>
      <c r="O988" s="87" t="s">
        <v>377</v>
      </c>
      <c r="P988" s="87" t="s">
        <v>372</v>
      </c>
    </row>
    <row r="989" ht="15.75" customHeight="1">
      <c r="A989" s="87" t="s">
        <v>3254</v>
      </c>
      <c r="B989" s="88">
        <v>1.22E18</v>
      </c>
      <c r="C989" s="87" t="s">
        <v>3255</v>
      </c>
      <c r="D989" s="87" t="s">
        <v>87</v>
      </c>
      <c r="E989" s="87" t="s">
        <v>88</v>
      </c>
      <c r="F989" s="87" t="s">
        <v>3255</v>
      </c>
      <c r="H989" s="87" t="s">
        <v>369</v>
      </c>
      <c r="I989" s="87" t="s">
        <v>1123</v>
      </c>
      <c r="J989" s="87" t="s">
        <v>3256</v>
      </c>
      <c r="K989" s="90">
        <v>900.0</v>
      </c>
      <c r="L989" s="92"/>
      <c r="M989" s="93"/>
      <c r="N989" s="87" t="s">
        <v>390</v>
      </c>
      <c r="O989" s="87" t="s">
        <v>377</v>
      </c>
      <c r="P989" s="87" t="s">
        <v>372</v>
      </c>
    </row>
    <row r="990" ht="15.75" customHeight="1">
      <c r="A990" s="87" t="s">
        <v>3257</v>
      </c>
      <c r="B990" s="88">
        <v>1.22E18</v>
      </c>
      <c r="C990" s="87" t="s">
        <v>3258</v>
      </c>
      <c r="D990" s="87" t="s">
        <v>87</v>
      </c>
      <c r="E990" s="87" t="s">
        <v>88</v>
      </c>
      <c r="F990" s="87" t="s">
        <v>3258</v>
      </c>
      <c r="H990" s="87" t="s">
        <v>369</v>
      </c>
      <c r="I990" s="87" t="s">
        <v>1123</v>
      </c>
      <c r="J990" s="87" t="s">
        <v>3259</v>
      </c>
      <c r="K990" s="90">
        <v>900.0</v>
      </c>
      <c r="L990" s="92"/>
      <c r="M990" s="93"/>
      <c r="N990" s="87" t="s">
        <v>390</v>
      </c>
      <c r="O990" s="87" t="s">
        <v>377</v>
      </c>
      <c r="P990" s="87" t="s">
        <v>372</v>
      </c>
    </row>
    <row r="991" ht="15.75" customHeight="1">
      <c r="A991" s="87" t="s">
        <v>3260</v>
      </c>
      <c r="B991" s="88">
        <v>1.22E18</v>
      </c>
      <c r="C991" s="87" t="s">
        <v>3261</v>
      </c>
      <c r="D991" s="87" t="s">
        <v>87</v>
      </c>
      <c r="E991" s="87" t="s">
        <v>88</v>
      </c>
      <c r="F991" s="87" t="s">
        <v>3261</v>
      </c>
      <c r="H991" s="87" t="s">
        <v>369</v>
      </c>
      <c r="I991" s="87" t="s">
        <v>315</v>
      </c>
      <c r="J991" s="87" t="s">
        <v>3262</v>
      </c>
      <c r="K991" s="90">
        <v>250000.0</v>
      </c>
      <c r="L991" s="92"/>
      <c r="M991" s="93"/>
      <c r="N991" s="87" t="s">
        <v>390</v>
      </c>
      <c r="O991" s="87" t="s">
        <v>377</v>
      </c>
      <c r="P991" s="87" t="s">
        <v>372</v>
      </c>
    </row>
    <row r="992" ht="15.75" customHeight="1">
      <c r="A992" s="87" t="s">
        <v>3263</v>
      </c>
      <c r="B992" s="88">
        <v>1.22E18</v>
      </c>
      <c r="C992" s="87" t="s">
        <v>3264</v>
      </c>
      <c r="D992" s="87" t="s">
        <v>87</v>
      </c>
      <c r="E992" s="87" t="s">
        <v>88</v>
      </c>
      <c r="F992" s="87" t="s">
        <v>3264</v>
      </c>
      <c r="H992" s="87" t="s">
        <v>369</v>
      </c>
      <c r="I992" s="87" t="s">
        <v>315</v>
      </c>
      <c r="J992" s="87" t="s">
        <v>3265</v>
      </c>
      <c r="K992" s="90">
        <v>100000.0</v>
      </c>
      <c r="L992" s="92"/>
      <c r="M992" s="93"/>
      <c r="N992" s="87" t="s">
        <v>390</v>
      </c>
      <c r="O992" s="87" t="s">
        <v>377</v>
      </c>
      <c r="P992" s="87" t="s">
        <v>372</v>
      </c>
    </row>
    <row r="993" ht="15.75" customHeight="1">
      <c r="A993" s="87" t="s">
        <v>3266</v>
      </c>
      <c r="B993" s="88">
        <v>1.22E18</v>
      </c>
      <c r="C993" s="87" t="s">
        <v>3267</v>
      </c>
      <c r="D993" s="87" t="s">
        <v>87</v>
      </c>
      <c r="E993" s="87" t="s">
        <v>88</v>
      </c>
      <c r="F993" s="118" t="s">
        <v>3267</v>
      </c>
      <c r="G993" s="119"/>
      <c r="H993" s="87" t="s">
        <v>3268</v>
      </c>
      <c r="I993" s="87" t="s">
        <v>58</v>
      </c>
      <c r="J993" s="87" t="s">
        <v>3269</v>
      </c>
      <c r="K993" s="90">
        <v>0.0</v>
      </c>
      <c r="L993" s="92"/>
      <c r="M993" s="93"/>
      <c r="N993" s="87" t="s">
        <v>1772</v>
      </c>
      <c r="O993" s="87" t="s">
        <v>377</v>
      </c>
      <c r="P993" s="87" t="s">
        <v>372</v>
      </c>
    </row>
    <row r="994" ht="15.75" customHeight="1">
      <c r="A994" s="87" t="s">
        <v>3270</v>
      </c>
      <c r="B994" s="88">
        <v>1.22E18</v>
      </c>
      <c r="C994" s="87" t="s">
        <v>3271</v>
      </c>
      <c r="D994" s="87" t="s">
        <v>262</v>
      </c>
      <c r="E994" s="87" t="s">
        <v>270</v>
      </c>
      <c r="F994" s="118" t="s">
        <v>3271</v>
      </c>
      <c r="G994" s="119"/>
      <c r="H994" s="87" t="s">
        <v>3272</v>
      </c>
      <c r="I994" s="87" t="s">
        <v>58</v>
      </c>
      <c r="J994" s="87" t="s">
        <v>3273</v>
      </c>
      <c r="K994" s="90">
        <v>0.0</v>
      </c>
      <c r="L994" s="92"/>
      <c r="M994" s="93"/>
      <c r="N994" s="87" t="s">
        <v>1772</v>
      </c>
      <c r="O994" s="87" t="s">
        <v>377</v>
      </c>
      <c r="P994" s="87" t="s">
        <v>372</v>
      </c>
    </row>
    <row r="995" ht="15.75" customHeight="1">
      <c r="A995" s="87" t="s">
        <v>3274</v>
      </c>
      <c r="B995" s="88">
        <v>1.22E18</v>
      </c>
      <c r="C995" s="87" t="s">
        <v>3275</v>
      </c>
      <c r="D995" s="87" t="s">
        <v>57</v>
      </c>
      <c r="E995" s="87" t="s">
        <v>287</v>
      </c>
      <c r="F995" s="118" t="s">
        <v>3275</v>
      </c>
      <c r="G995" s="119"/>
      <c r="H995" s="87" t="s">
        <v>3276</v>
      </c>
      <c r="I995" s="87" t="s">
        <v>58</v>
      </c>
      <c r="J995" s="87" t="s">
        <v>3277</v>
      </c>
      <c r="K995" s="90">
        <v>0.0</v>
      </c>
      <c r="L995" s="92"/>
      <c r="M995" s="93"/>
      <c r="N995" s="87" t="s">
        <v>1772</v>
      </c>
      <c r="O995" s="87" t="s">
        <v>377</v>
      </c>
      <c r="P995" s="87" t="s">
        <v>372</v>
      </c>
    </row>
    <row r="996" ht="15.75" customHeight="1">
      <c r="A996" s="87" t="s">
        <v>3278</v>
      </c>
      <c r="B996" s="88">
        <v>1.22E18</v>
      </c>
      <c r="C996" s="87" t="s">
        <v>3279</v>
      </c>
      <c r="D996" s="87" t="s">
        <v>87</v>
      </c>
      <c r="E996" s="87" t="s">
        <v>88</v>
      </c>
      <c r="F996" s="118" t="s">
        <v>3279</v>
      </c>
      <c r="G996" s="119"/>
      <c r="H996" s="87" t="s">
        <v>3280</v>
      </c>
      <c r="I996" s="87" t="s">
        <v>58</v>
      </c>
      <c r="J996" s="87" t="s">
        <v>3281</v>
      </c>
      <c r="K996" s="90">
        <v>0.0</v>
      </c>
      <c r="L996" s="92"/>
      <c r="M996" s="93"/>
      <c r="N996" s="87" t="s">
        <v>1772</v>
      </c>
      <c r="O996" s="87" t="s">
        <v>377</v>
      </c>
      <c r="P996" s="87" t="s">
        <v>372</v>
      </c>
    </row>
    <row r="997" ht="15.75" customHeight="1">
      <c r="A997" s="87" t="s">
        <v>3282</v>
      </c>
      <c r="B997" s="88">
        <v>1.22E18</v>
      </c>
      <c r="C997" s="87" t="s">
        <v>3283</v>
      </c>
      <c r="D997" s="87" t="s">
        <v>262</v>
      </c>
      <c r="E997" s="87" t="s">
        <v>267</v>
      </c>
      <c r="F997" s="87" t="s">
        <v>1749</v>
      </c>
      <c r="H997" s="87" t="s">
        <v>3284</v>
      </c>
      <c r="I997" s="87" t="s">
        <v>58</v>
      </c>
      <c r="J997" s="87" t="s">
        <v>3285</v>
      </c>
      <c r="K997" s="90">
        <v>0.0</v>
      </c>
      <c r="L997" s="92"/>
      <c r="M997" s="93"/>
      <c r="N997" s="87" t="s">
        <v>1772</v>
      </c>
      <c r="O997" s="87" t="s">
        <v>377</v>
      </c>
      <c r="P997" s="87" t="s">
        <v>372</v>
      </c>
    </row>
    <row r="998" ht="15.75" customHeight="1">
      <c r="A998" s="87" t="s">
        <v>3286</v>
      </c>
      <c r="B998" s="88">
        <v>1.22E18</v>
      </c>
      <c r="C998" s="87" t="s">
        <v>3287</v>
      </c>
      <c r="D998" s="87" t="s">
        <v>87</v>
      </c>
      <c r="E998" s="87" t="s">
        <v>88</v>
      </c>
      <c r="F998" s="118" t="s">
        <v>3287</v>
      </c>
      <c r="G998" s="130"/>
      <c r="H998" s="119"/>
      <c r="I998" s="87" t="s">
        <v>58</v>
      </c>
      <c r="J998" s="87" t="s">
        <v>3288</v>
      </c>
      <c r="K998" s="90">
        <v>0.0</v>
      </c>
      <c r="L998" s="92"/>
      <c r="M998" s="93"/>
      <c r="N998" s="87" t="s">
        <v>1772</v>
      </c>
      <c r="O998" s="87" t="s">
        <v>377</v>
      </c>
      <c r="P998" s="87" t="s">
        <v>372</v>
      </c>
    </row>
    <row r="999" ht="15.75" customHeight="1">
      <c r="A999" s="87" t="s">
        <v>3289</v>
      </c>
      <c r="B999" s="88">
        <v>1.22E18</v>
      </c>
      <c r="C999" s="87" t="s">
        <v>3290</v>
      </c>
      <c r="D999" s="87" t="s">
        <v>262</v>
      </c>
      <c r="E999" s="87" t="s">
        <v>267</v>
      </c>
      <c r="F999" s="118" t="s">
        <v>3290</v>
      </c>
      <c r="G999" s="119"/>
      <c r="H999" s="87" t="s">
        <v>2539</v>
      </c>
      <c r="I999" s="87" t="s">
        <v>58</v>
      </c>
      <c r="J999" s="87" t="s">
        <v>3291</v>
      </c>
      <c r="K999" s="90">
        <v>0.0</v>
      </c>
      <c r="L999" s="92"/>
      <c r="M999" s="93"/>
      <c r="N999" s="93"/>
      <c r="O999" s="87" t="s">
        <v>377</v>
      </c>
      <c r="P999" s="87" t="s">
        <v>372</v>
      </c>
    </row>
    <row r="1000" ht="15.75" customHeight="1">
      <c r="A1000" s="87" t="s">
        <v>3292</v>
      </c>
      <c r="B1000" s="88">
        <v>1.22E18</v>
      </c>
      <c r="C1000" s="87" t="s">
        <v>3293</v>
      </c>
      <c r="D1000" s="87" t="s">
        <v>262</v>
      </c>
      <c r="E1000" s="87" t="s">
        <v>263</v>
      </c>
      <c r="F1000" s="87" t="s">
        <v>415</v>
      </c>
      <c r="G1000" s="93"/>
      <c r="H1000" s="93"/>
      <c r="I1000" s="87" t="s">
        <v>58</v>
      </c>
      <c r="J1000" s="87" t="s">
        <v>3294</v>
      </c>
      <c r="K1000" s="90">
        <v>1.0</v>
      </c>
      <c r="L1000" s="92"/>
      <c r="M1000" s="93"/>
      <c r="N1000" s="87" t="s">
        <v>3295</v>
      </c>
      <c r="O1000" s="87" t="s">
        <v>377</v>
      </c>
      <c r="P1000" s="87" t="s">
        <v>372</v>
      </c>
    </row>
    <row r="1001" ht="15.75" customHeight="1">
      <c r="A1001" s="87" t="s">
        <v>3296</v>
      </c>
      <c r="B1001" s="88">
        <v>1.22E18</v>
      </c>
      <c r="C1001" s="87" t="s">
        <v>3297</v>
      </c>
      <c r="D1001" s="87" t="s">
        <v>87</v>
      </c>
      <c r="E1001" s="87" t="s">
        <v>88</v>
      </c>
      <c r="F1001" s="87" t="s">
        <v>3297</v>
      </c>
      <c r="H1001" s="87" t="s">
        <v>3298</v>
      </c>
      <c r="I1001" s="87" t="s">
        <v>58</v>
      </c>
      <c r="J1001" s="87" t="s">
        <v>3299</v>
      </c>
      <c r="K1001" s="90">
        <v>0.0</v>
      </c>
      <c r="L1001" s="92"/>
      <c r="M1001" s="93"/>
      <c r="N1001" s="87" t="s">
        <v>1789</v>
      </c>
      <c r="O1001" s="87" t="s">
        <v>377</v>
      </c>
      <c r="P1001" s="87" t="s">
        <v>372</v>
      </c>
    </row>
    <row r="1002" ht="15.75" customHeight="1">
      <c r="A1002" s="87" t="s">
        <v>3300</v>
      </c>
      <c r="B1002" s="88">
        <v>1.22E18</v>
      </c>
      <c r="C1002" s="87" t="s">
        <v>3301</v>
      </c>
      <c r="D1002" s="87" t="s">
        <v>87</v>
      </c>
      <c r="E1002" s="87" t="s">
        <v>233</v>
      </c>
      <c r="F1002" s="87" t="s">
        <v>861</v>
      </c>
      <c r="G1002" s="93"/>
      <c r="H1002" s="87" t="s">
        <v>923</v>
      </c>
      <c r="I1002" s="87" t="s">
        <v>340</v>
      </c>
      <c r="J1002" s="87" t="s">
        <v>3302</v>
      </c>
      <c r="K1002" s="90">
        <v>0.0</v>
      </c>
      <c r="L1002" s="92"/>
      <c r="M1002" s="93"/>
      <c r="N1002" s="87" t="s">
        <v>925</v>
      </c>
      <c r="O1002" s="87" t="s">
        <v>377</v>
      </c>
      <c r="P1002" s="87" t="s">
        <v>372</v>
      </c>
    </row>
    <row r="1003" ht="15.75" customHeight="1">
      <c r="A1003" s="87" t="s">
        <v>3303</v>
      </c>
      <c r="B1003" s="88">
        <v>1.22E18</v>
      </c>
      <c r="C1003" s="87" t="s">
        <v>3304</v>
      </c>
      <c r="D1003" s="87" t="s">
        <v>87</v>
      </c>
      <c r="E1003" s="87" t="s">
        <v>88</v>
      </c>
      <c r="F1003" s="87" t="s">
        <v>3304</v>
      </c>
      <c r="H1003" s="93"/>
      <c r="I1003" s="87" t="s">
        <v>58</v>
      </c>
      <c r="J1003" s="87" t="s">
        <v>2095</v>
      </c>
      <c r="K1003" s="90">
        <v>0.0</v>
      </c>
      <c r="L1003" s="92"/>
      <c r="M1003" s="93"/>
      <c r="N1003" s="87" t="s">
        <v>111</v>
      </c>
      <c r="O1003" s="87" t="s">
        <v>377</v>
      </c>
      <c r="P1003" s="87" t="s">
        <v>372</v>
      </c>
    </row>
    <row r="1004" ht="15.75" customHeight="1">
      <c r="A1004" s="87" t="s">
        <v>3305</v>
      </c>
      <c r="B1004" s="88">
        <v>1.22E18</v>
      </c>
      <c r="C1004" s="87" t="s">
        <v>3306</v>
      </c>
      <c r="D1004" s="87" t="s">
        <v>262</v>
      </c>
      <c r="E1004" s="87" t="s">
        <v>278</v>
      </c>
      <c r="F1004" s="87" t="s">
        <v>3306</v>
      </c>
      <c r="H1004" s="93"/>
      <c r="I1004" s="87" t="s">
        <v>103</v>
      </c>
      <c r="J1004" s="87" t="s">
        <v>3307</v>
      </c>
      <c r="L1004" s="92"/>
      <c r="M1004" s="93"/>
      <c r="N1004" s="93"/>
      <c r="O1004" s="87" t="s">
        <v>377</v>
      </c>
      <c r="P1004" s="87" t="s">
        <v>2565</v>
      </c>
    </row>
    <row r="1005" ht="15.75" customHeight="1">
      <c r="A1005" s="87" t="s">
        <v>3308</v>
      </c>
      <c r="B1005" s="88">
        <v>1.22E18</v>
      </c>
      <c r="C1005" s="87" t="s">
        <v>3309</v>
      </c>
      <c r="D1005" s="87" t="s">
        <v>87</v>
      </c>
      <c r="E1005" s="87" t="s">
        <v>88</v>
      </c>
      <c r="F1005" s="87" t="s">
        <v>3309</v>
      </c>
      <c r="H1005" s="93"/>
      <c r="I1005" s="87" t="s">
        <v>58</v>
      </c>
      <c r="J1005" s="87" t="s">
        <v>2101</v>
      </c>
      <c r="K1005" s="90">
        <v>0.0</v>
      </c>
      <c r="L1005" s="92"/>
      <c r="M1005" s="93"/>
      <c r="N1005" s="87" t="s">
        <v>111</v>
      </c>
      <c r="O1005" s="87" t="s">
        <v>377</v>
      </c>
      <c r="P1005" s="87" t="s">
        <v>372</v>
      </c>
    </row>
    <row r="1006" ht="15.75" customHeight="1">
      <c r="A1006" s="87" t="s">
        <v>3310</v>
      </c>
      <c r="B1006" s="88">
        <v>1.22E18</v>
      </c>
      <c r="C1006" s="87" t="s">
        <v>3311</v>
      </c>
      <c r="D1006" s="87" t="s">
        <v>87</v>
      </c>
      <c r="E1006" s="87" t="s">
        <v>88</v>
      </c>
      <c r="F1006" s="87" t="s">
        <v>3311</v>
      </c>
      <c r="I1006" s="87" t="s">
        <v>58</v>
      </c>
      <c r="J1006" s="87" t="s">
        <v>3183</v>
      </c>
      <c r="K1006" s="90">
        <v>0.0</v>
      </c>
      <c r="L1006" s="92"/>
      <c r="M1006" s="93"/>
      <c r="N1006" s="87" t="s">
        <v>111</v>
      </c>
      <c r="O1006" s="87" t="s">
        <v>377</v>
      </c>
      <c r="P1006" s="87" t="s">
        <v>372</v>
      </c>
    </row>
    <row r="1007" ht="15.75" customHeight="1">
      <c r="A1007" s="87" t="s">
        <v>3312</v>
      </c>
      <c r="B1007" s="88">
        <v>1.22E18</v>
      </c>
      <c r="C1007" s="87" t="s">
        <v>3313</v>
      </c>
      <c r="D1007" s="87" t="s">
        <v>87</v>
      </c>
      <c r="E1007" s="87" t="s">
        <v>102</v>
      </c>
      <c r="F1007" s="118" t="s">
        <v>3313</v>
      </c>
      <c r="G1007" s="119"/>
      <c r="H1007" s="87" t="s">
        <v>2227</v>
      </c>
      <c r="I1007" s="87" t="s">
        <v>58</v>
      </c>
      <c r="J1007" s="87" t="s">
        <v>3314</v>
      </c>
      <c r="K1007" s="90">
        <v>1.0</v>
      </c>
      <c r="L1007" s="92"/>
      <c r="M1007" s="93"/>
      <c r="N1007" s="87" t="s">
        <v>3315</v>
      </c>
      <c r="O1007" s="87" t="s">
        <v>377</v>
      </c>
      <c r="P1007" s="87" t="s">
        <v>372</v>
      </c>
    </row>
    <row r="1008" ht="15.75" customHeight="1">
      <c r="A1008" s="87" t="s">
        <v>3316</v>
      </c>
      <c r="B1008" s="88">
        <v>1.22E18</v>
      </c>
      <c r="C1008" s="87" t="s">
        <v>3317</v>
      </c>
      <c r="D1008" s="87" t="s">
        <v>87</v>
      </c>
      <c r="E1008" s="87" t="s">
        <v>102</v>
      </c>
      <c r="F1008" s="118" t="s">
        <v>3317</v>
      </c>
      <c r="G1008" s="119"/>
      <c r="H1008" s="87" t="s">
        <v>2227</v>
      </c>
      <c r="I1008" s="87" t="s">
        <v>58</v>
      </c>
      <c r="J1008" s="87" t="s">
        <v>3314</v>
      </c>
      <c r="K1008" s="90">
        <v>1.0</v>
      </c>
      <c r="L1008" s="92"/>
      <c r="M1008" s="93"/>
      <c r="N1008" s="87" t="s">
        <v>3315</v>
      </c>
      <c r="O1008" s="87" t="s">
        <v>377</v>
      </c>
      <c r="P1008" s="87" t="s">
        <v>372</v>
      </c>
    </row>
    <row r="1009" ht="15.75" customHeight="1">
      <c r="A1009" s="87" t="s">
        <v>3318</v>
      </c>
      <c r="B1009" s="88">
        <v>1.22E18</v>
      </c>
      <c r="C1009" s="87" t="s">
        <v>3319</v>
      </c>
      <c r="D1009" s="87" t="s">
        <v>57</v>
      </c>
      <c r="E1009" s="87" t="s">
        <v>287</v>
      </c>
      <c r="F1009" s="118" t="s">
        <v>3319</v>
      </c>
      <c r="G1009" s="119"/>
      <c r="H1009" s="87" t="s">
        <v>3320</v>
      </c>
      <c r="I1009" s="87" t="s">
        <v>58</v>
      </c>
      <c r="J1009" s="87" t="s">
        <v>3321</v>
      </c>
      <c r="K1009" s="90">
        <v>0.0</v>
      </c>
      <c r="L1009" s="92"/>
      <c r="M1009" s="93"/>
      <c r="N1009" s="87" t="s">
        <v>1772</v>
      </c>
      <c r="O1009" s="87" t="s">
        <v>377</v>
      </c>
      <c r="P1009" s="87" t="s">
        <v>372</v>
      </c>
    </row>
    <row r="1010" ht="15.75" customHeight="1">
      <c r="A1010" s="87" t="s">
        <v>3322</v>
      </c>
      <c r="B1010" s="88">
        <v>1.22E18</v>
      </c>
      <c r="C1010" s="87" t="s">
        <v>3323</v>
      </c>
      <c r="D1010" s="87" t="s">
        <v>87</v>
      </c>
      <c r="E1010" s="87" t="s">
        <v>88</v>
      </c>
      <c r="F1010" s="118" t="s">
        <v>3323</v>
      </c>
      <c r="G1010" s="119"/>
      <c r="H1010" s="87" t="s">
        <v>3324</v>
      </c>
      <c r="I1010" s="87" t="s">
        <v>58</v>
      </c>
      <c r="J1010" s="87" t="s">
        <v>3325</v>
      </c>
      <c r="K1010" s="90">
        <v>0.0</v>
      </c>
      <c r="L1010" s="92"/>
      <c r="M1010" s="93"/>
      <c r="N1010" s="87" t="s">
        <v>1772</v>
      </c>
      <c r="O1010" s="87" t="s">
        <v>377</v>
      </c>
      <c r="P1010" s="87" t="s">
        <v>372</v>
      </c>
    </row>
    <row r="1011" ht="15.75" customHeight="1">
      <c r="A1011" s="87" t="s">
        <v>3326</v>
      </c>
      <c r="B1011" s="88">
        <v>1.22E18</v>
      </c>
      <c r="C1011" s="87" t="s">
        <v>3327</v>
      </c>
      <c r="D1011" s="87" t="s">
        <v>57</v>
      </c>
      <c r="E1011" s="87" t="s">
        <v>287</v>
      </c>
      <c r="F1011" s="118" t="s">
        <v>3327</v>
      </c>
      <c r="G1011" s="119"/>
      <c r="H1011" s="87" t="s">
        <v>3328</v>
      </c>
      <c r="I1011" s="87" t="s">
        <v>1742</v>
      </c>
      <c r="J1011" s="87" t="s">
        <v>3329</v>
      </c>
      <c r="K1011" s="90">
        <v>0.0</v>
      </c>
      <c r="L1011" s="92"/>
      <c r="M1011" s="93"/>
      <c r="N1011" s="87" t="s">
        <v>1772</v>
      </c>
      <c r="O1011" s="87" t="s">
        <v>377</v>
      </c>
      <c r="P1011" s="87" t="s">
        <v>372</v>
      </c>
    </row>
    <row r="1012" ht="15.75" customHeight="1">
      <c r="A1012" s="87" t="s">
        <v>3330</v>
      </c>
      <c r="B1012" s="88">
        <v>1.22E18</v>
      </c>
      <c r="C1012" s="87" t="s">
        <v>3331</v>
      </c>
      <c r="D1012" s="87" t="s">
        <v>87</v>
      </c>
      <c r="E1012" s="87" t="s">
        <v>88</v>
      </c>
      <c r="F1012" s="118" t="s">
        <v>3331</v>
      </c>
      <c r="G1012" s="130"/>
      <c r="H1012" s="119"/>
      <c r="I1012" s="87" t="s">
        <v>58</v>
      </c>
      <c r="J1012" s="87" t="s">
        <v>3321</v>
      </c>
      <c r="K1012" s="90">
        <v>0.0</v>
      </c>
      <c r="L1012" s="92"/>
      <c r="M1012" s="93"/>
      <c r="N1012" s="87" t="s">
        <v>1772</v>
      </c>
      <c r="O1012" s="87" t="s">
        <v>377</v>
      </c>
      <c r="P1012" s="87" t="s">
        <v>372</v>
      </c>
    </row>
    <row r="1013" ht="15.75" customHeight="1">
      <c r="A1013" s="87" t="s">
        <v>3332</v>
      </c>
      <c r="B1013" s="88">
        <v>1.22E18</v>
      </c>
      <c r="C1013" s="87" t="s">
        <v>3333</v>
      </c>
      <c r="D1013" s="87" t="s">
        <v>262</v>
      </c>
      <c r="E1013" s="87" t="s">
        <v>270</v>
      </c>
      <c r="F1013" s="87" t="s">
        <v>415</v>
      </c>
      <c r="G1013" s="93"/>
      <c r="H1013" s="87" t="s">
        <v>3334</v>
      </c>
      <c r="I1013" s="87" t="s">
        <v>58</v>
      </c>
      <c r="J1013" s="87" t="s">
        <v>3335</v>
      </c>
      <c r="K1013" s="90">
        <v>2.0</v>
      </c>
      <c r="L1013" s="92"/>
      <c r="M1013" s="93"/>
      <c r="N1013" s="87" t="s">
        <v>1772</v>
      </c>
      <c r="O1013" s="87" t="s">
        <v>377</v>
      </c>
      <c r="P1013" s="87" t="s">
        <v>372</v>
      </c>
    </row>
    <row r="1014" ht="15.75" customHeight="1">
      <c r="A1014" s="87" t="s">
        <v>3336</v>
      </c>
      <c r="B1014" s="88">
        <v>1.22E18</v>
      </c>
      <c r="C1014" s="87" t="s">
        <v>3337</v>
      </c>
      <c r="D1014" s="87" t="s">
        <v>262</v>
      </c>
      <c r="E1014" s="87" t="s">
        <v>270</v>
      </c>
      <c r="F1014" s="87" t="s">
        <v>415</v>
      </c>
      <c r="G1014" s="93"/>
      <c r="H1014" s="87" t="s">
        <v>3334</v>
      </c>
      <c r="I1014" s="87" t="s">
        <v>58</v>
      </c>
      <c r="J1014" s="87" t="s">
        <v>3338</v>
      </c>
      <c r="K1014" s="90">
        <v>2.0</v>
      </c>
      <c r="L1014" s="92"/>
      <c r="M1014" s="93"/>
      <c r="N1014" s="87" t="s">
        <v>1772</v>
      </c>
      <c r="O1014" s="87" t="s">
        <v>377</v>
      </c>
      <c r="P1014" s="87" t="s">
        <v>372</v>
      </c>
    </row>
    <row r="1015" ht="15.75" customHeight="1">
      <c r="A1015" s="87" t="s">
        <v>3339</v>
      </c>
      <c r="B1015" s="88">
        <v>1.22E18</v>
      </c>
      <c r="C1015" s="87" t="s">
        <v>3340</v>
      </c>
      <c r="D1015" s="87" t="s">
        <v>87</v>
      </c>
      <c r="E1015" s="87" t="s">
        <v>241</v>
      </c>
      <c r="F1015" s="87" t="s">
        <v>415</v>
      </c>
      <c r="G1015" s="93"/>
      <c r="H1015" s="87" t="s">
        <v>3341</v>
      </c>
      <c r="I1015" s="87" t="s">
        <v>58</v>
      </c>
      <c r="J1015" s="87" t="s">
        <v>3342</v>
      </c>
      <c r="K1015" s="90">
        <v>1.0</v>
      </c>
      <c r="L1015" s="92"/>
      <c r="M1015" s="93"/>
      <c r="N1015" s="87" t="s">
        <v>3130</v>
      </c>
      <c r="O1015" s="87" t="s">
        <v>377</v>
      </c>
      <c r="P1015" s="87" t="s">
        <v>372</v>
      </c>
    </row>
    <row r="1016" ht="15.75" customHeight="1">
      <c r="A1016" s="87" t="s">
        <v>3343</v>
      </c>
      <c r="B1016" s="88">
        <v>1.22E18</v>
      </c>
      <c r="C1016" s="87" t="s">
        <v>3344</v>
      </c>
      <c r="D1016" s="87" t="s">
        <v>87</v>
      </c>
      <c r="E1016" s="87" t="s">
        <v>241</v>
      </c>
      <c r="F1016" s="87" t="s">
        <v>3344</v>
      </c>
      <c r="H1016" s="93"/>
      <c r="I1016" s="87" t="s">
        <v>495</v>
      </c>
      <c r="J1016" s="87" t="s">
        <v>2431</v>
      </c>
      <c r="K1016" s="90">
        <v>0.0</v>
      </c>
      <c r="L1016" s="92"/>
      <c r="M1016" s="93"/>
      <c r="N1016" s="87" t="s">
        <v>3130</v>
      </c>
      <c r="O1016" s="87" t="s">
        <v>377</v>
      </c>
      <c r="P1016" s="87" t="s">
        <v>372</v>
      </c>
    </row>
    <row r="1017" ht="15.75" customHeight="1">
      <c r="A1017" s="87" t="s">
        <v>3345</v>
      </c>
      <c r="B1017" s="88">
        <v>1.22E18</v>
      </c>
      <c r="C1017" s="87" t="s">
        <v>3346</v>
      </c>
      <c r="D1017" s="87" t="s">
        <v>87</v>
      </c>
      <c r="E1017" s="87" t="s">
        <v>241</v>
      </c>
      <c r="F1017" s="87" t="s">
        <v>3346</v>
      </c>
      <c r="H1017" s="87" t="s">
        <v>3341</v>
      </c>
      <c r="I1017" s="87" t="s">
        <v>495</v>
      </c>
      <c r="J1017" s="87" t="s">
        <v>2431</v>
      </c>
      <c r="K1017" s="90">
        <v>0.0</v>
      </c>
      <c r="L1017" s="92"/>
      <c r="M1017" s="93"/>
      <c r="N1017" s="87" t="s">
        <v>3130</v>
      </c>
      <c r="O1017" s="87" t="s">
        <v>377</v>
      </c>
      <c r="P1017" s="87" t="s">
        <v>372</v>
      </c>
    </row>
    <row r="1018" ht="15.75" customHeight="1">
      <c r="A1018" s="87" t="s">
        <v>3347</v>
      </c>
      <c r="B1018" s="88">
        <v>1.22E18</v>
      </c>
      <c r="C1018" s="87" t="s">
        <v>3348</v>
      </c>
      <c r="D1018" s="87" t="s">
        <v>87</v>
      </c>
      <c r="E1018" s="87" t="s">
        <v>241</v>
      </c>
      <c r="F1018" s="87" t="s">
        <v>3348</v>
      </c>
      <c r="H1018" s="87" t="s">
        <v>3341</v>
      </c>
      <c r="I1018" s="87" t="s">
        <v>495</v>
      </c>
      <c r="J1018" s="87" t="s">
        <v>2431</v>
      </c>
      <c r="K1018" s="90">
        <v>0.0</v>
      </c>
      <c r="L1018" s="92"/>
      <c r="M1018" s="93"/>
      <c r="N1018" s="87" t="s">
        <v>3130</v>
      </c>
      <c r="O1018" s="87" t="s">
        <v>377</v>
      </c>
      <c r="P1018" s="87" t="s">
        <v>372</v>
      </c>
    </row>
    <row r="1019" ht="15.75" customHeight="1">
      <c r="A1019" s="87" t="s">
        <v>3349</v>
      </c>
      <c r="B1019" s="88">
        <v>1.22E18</v>
      </c>
      <c r="C1019" s="87" t="s">
        <v>3350</v>
      </c>
      <c r="D1019" s="87" t="s">
        <v>87</v>
      </c>
      <c r="E1019" s="87" t="s">
        <v>241</v>
      </c>
      <c r="F1019" s="87" t="s">
        <v>3350</v>
      </c>
      <c r="H1019" s="87" t="s">
        <v>3341</v>
      </c>
      <c r="I1019" s="87" t="s">
        <v>495</v>
      </c>
      <c r="J1019" s="87" t="s">
        <v>1792</v>
      </c>
      <c r="K1019" s="90">
        <v>0.0</v>
      </c>
      <c r="L1019" s="92"/>
      <c r="M1019" s="93"/>
      <c r="N1019" s="87" t="s">
        <v>3130</v>
      </c>
      <c r="O1019" s="87" t="s">
        <v>377</v>
      </c>
      <c r="P1019" s="87" t="s">
        <v>372</v>
      </c>
    </row>
    <row r="1020" ht="15.75" customHeight="1">
      <c r="A1020" s="87" t="s">
        <v>3351</v>
      </c>
      <c r="B1020" s="88">
        <v>1.22E18</v>
      </c>
      <c r="C1020" s="87" t="s">
        <v>3352</v>
      </c>
      <c r="D1020" s="87" t="s">
        <v>87</v>
      </c>
      <c r="E1020" s="87" t="s">
        <v>241</v>
      </c>
      <c r="F1020" s="87" t="s">
        <v>3352</v>
      </c>
      <c r="H1020" s="87" t="s">
        <v>3341</v>
      </c>
      <c r="I1020" s="87" t="s">
        <v>495</v>
      </c>
      <c r="J1020" s="87" t="s">
        <v>1792</v>
      </c>
      <c r="K1020" s="90">
        <v>0.0</v>
      </c>
      <c r="L1020" s="92"/>
      <c r="M1020" s="93"/>
      <c r="N1020" s="87" t="s">
        <v>3130</v>
      </c>
      <c r="O1020" s="87" t="s">
        <v>377</v>
      </c>
      <c r="P1020" s="87" t="s">
        <v>372</v>
      </c>
    </row>
    <row r="1021" ht="15.75" customHeight="1">
      <c r="A1021" s="87" t="s">
        <v>3353</v>
      </c>
      <c r="B1021" s="88">
        <v>1.22E18</v>
      </c>
      <c r="C1021" s="87" t="s">
        <v>3354</v>
      </c>
      <c r="D1021" s="87" t="s">
        <v>87</v>
      </c>
      <c r="E1021" s="87" t="s">
        <v>241</v>
      </c>
      <c r="F1021" s="87" t="s">
        <v>3354</v>
      </c>
      <c r="H1021" s="87" t="s">
        <v>3341</v>
      </c>
      <c r="I1021" s="87" t="s">
        <v>495</v>
      </c>
      <c r="J1021" s="87" t="s">
        <v>3355</v>
      </c>
      <c r="K1021" s="90">
        <v>0.0</v>
      </c>
      <c r="L1021" s="92"/>
      <c r="M1021" s="93"/>
      <c r="N1021" s="87" t="s">
        <v>3130</v>
      </c>
      <c r="O1021" s="87" t="s">
        <v>377</v>
      </c>
      <c r="P1021" s="87" t="s">
        <v>372</v>
      </c>
    </row>
    <row r="1022" ht="15.75" customHeight="1">
      <c r="A1022" s="87" t="s">
        <v>3356</v>
      </c>
      <c r="B1022" s="88">
        <v>1.22E18</v>
      </c>
      <c r="C1022" s="87" t="s">
        <v>3357</v>
      </c>
      <c r="D1022" s="87" t="s">
        <v>87</v>
      </c>
      <c r="E1022" s="87" t="s">
        <v>88</v>
      </c>
      <c r="F1022" s="87" t="s">
        <v>373</v>
      </c>
      <c r="H1022" s="87" t="s">
        <v>597</v>
      </c>
      <c r="I1022" s="87" t="s">
        <v>340</v>
      </c>
      <c r="J1022" s="87" t="s">
        <v>3358</v>
      </c>
      <c r="K1022" s="90">
        <v>0.0</v>
      </c>
      <c r="L1022" s="92"/>
      <c r="M1022" s="93"/>
      <c r="N1022" s="87" t="s">
        <v>3359</v>
      </c>
      <c r="O1022" s="87" t="s">
        <v>377</v>
      </c>
      <c r="P1022" s="87" t="s">
        <v>372</v>
      </c>
    </row>
    <row r="1023" ht="15.75" customHeight="1">
      <c r="A1023" s="87" t="s">
        <v>3360</v>
      </c>
      <c r="B1023" s="88">
        <v>1.22E18</v>
      </c>
      <c r="C1023" s="87" t="s">
        <v>3361</v>
      </c>
      <c r="D1023" s="87" t="s">
        <v>87</v>
      </c>
      <c r="E1023" s="87" t="s">
        <v>88</v>
      </c>
      <c r="F1023" s="87" t="s">
        <v>3361</v>
      </c>
      <c r="I1023" s="87" t="s">
        <v>58</v>
      </c>
      <c r="J1023" s="87" t="s">
        <v>3362</v>
      </c>
      <c r="K1023" s="90">
        <v>0.0</v>
      </c>
      <c r="L1023" s="92"/>
      <c r="M1023" s="93"/>
      <c r="N1023" s="87" t="s">
        <v>2961</v>
      </c>
      <c r="O1023" s="87" t="s">
        <v>377</v>
      </c>
      <c r="P1023" s="87" t="s">
        <v>372</v>
      </c>
    </row>
    <row r="1024" ht="15.75" customHeight="1">
      <c r="A1024" s="87" t="s">
        <v>3363</v>
      </c>
      <c r="B1024" s="88">
        <v>1.22E18</v>
      </c>
      <c r="C1024" s="87" t="s">
        <v>3364</v>
      </c>
      <c r="D1024" s="87" t="s">
        <v>262</v>
      </c>
      <c r="E1024" s="87" t="s">
        <v>267</v>
      </c>
      <c r="F1024" s="87" t="s">
        <v>3364</v>
      </c>
      <c r="H1024" s="87" t="s">
        <v>2539</v>
      </c>
      <c r="I1024" s="87" t="s">
        <v>58</v>
      </c>
      <c r="J1024" s="87" t="s">
        <v>3365</v>
      </c>
      <c r="K1024" s="90">
        <v>0.0</v>
      </c>
      <c r="L1024" s="92"/>
      <c r="M1024" s="93"/>
      <c r="N1024" s="87" t="s">
        <v>2541</v>
      </c>
      <c r="O1024" s="87" t="s">
        <v>377</v>
      </c>
      <c r="P1024" s="87" t="s">
        <v>372</v>
      </c>
    </row>
    <row r="1025" ht="15.75" customHeight="1">
      <c r="A1025" s="87" t="s">
        <v>3366</v>
      </c>
      <c r="B1025" s="88">
        <v>1.22E18</v>
      </c>
      <c r="C1025" s="87" t="s">
        <v>3367</v>
      </c>
      <c r="D1025" s="87" t="s">
        <v>262</v>
      </c>
      <c r="E1025" s="87" t="s">
        <v>267</v>
      </c>
      <c r="F1025" s="87" t="s">
        <v>3367</v>
      </c>
      <c r="H1025" s="87" t="s">
        <v>2539</v>
      </c>
      <c r="I1025" s="87" t="s">
        <v>58</v>
      </c>
      <c r="J1025" s="87" t="s">
        <v>3365</v>
      </c>
      <c r="K1025" s="90">
        <v>0.0</v>
      </c>
      <c r="L1025" s="92"/>
      <c r="M1025" s="93"/>
      <c r="N1025" s="87" t="s">
        <v>2541</v>
      </c>
      <c r="O1025" s="87" t="s">
        <v>377</v>
      </c>
      <c r="P1025" s="87" t="s">
        <v>372</v>
      </c>
    </row>
    <row r="1026" ht="15.75" customHeight="1">
      <c r="A1026" s="87" t="s">
        <v>3368</v>
      </c>
      <c r="B1026" s="88">
        <v>1.22E18</v>
      </c>
      <c r="C1026" s="87" t="s">
        <v>3369</v>
      </c>
      <c r="D1026" s="87" t="s">
        <v>262</v>
      </c>
      <c r="E1026" s="87" t="s">
        <v>270</v>
      </c>
      <c r="F1026" s="87" t="s">
        <v>3369</v>
      </c>
      <c r="I1026" s="87" t="s">
        <v>58</v>
      </c>
      <c r="J1026" s="87" t="s">
        <v>3370</v>
      </c>
      <c r="K1026" s="90">
        <v>0.0</v>
      </c>
      <c r="L1026" s="92"/>
      <c r="M1026" s="93"/>
      <c r="N1026" s="87" t="s">
        <v>2468</v>
      </c>
      <c r="O1026" s="87" t="s">
        <v>377</v>
      </c>
      <c r="P1026" s="87" t="s">
        <v>372</v>
      </c>
    </row>
    <row r="1027" ht="15.75" customHeight="1">
      <c r="A1027" s="87" t="s">
        <v>3371</v>
      </c>
      <c r="B1027" s="88">
        <v>1.22E18</v>
      </c>
      <c r="C1027" s="87" t="s">
        <v>3372</v>
      </c>
      <c r="D1027" s="87" t="s">
        <v>262</v>
      </c>
      <c r="E1027" s="87" t="s">
        <v>263</v>
      </c>
      <c r="F1027" s="118" t="s">
        <v>3372</v>
      </c>
      <c r="G1027" s="130"/>
      <c r="H1027" s="119"/>
      <c r="I1027" s="87" t="s">
        <v>58</v>
      </c>
      <c r="J1027" s="87" t="s">
        <v>3373</v>
      </c>
      <c r="K1027" s="90">
        <v>0.0</v>
      </c>
      <c r="L1027" s="92"/>
      <c r="M1027" s="93"/>
      <c r="N1027" s="87" t="s">
        <v>3374</v>
      </c>
      <c r="O1027" s="87" t="s">
        <v>377</v>
      </c>
      <c r="P1027" s="87" t="s">
        <v>372</v>
      </c>
    </row>
    <row r="1028" ht="15.75" customHeight="1">
      <c r="A1028" s="87" t="s">
        <v>3375</v>
      </c>
      <c r="B1028" s="88">
        <v>1.22E18</v>
      </c>
      <c r="C1028" s="87" t="s">
        <v>3376</v>
      </c>
      <c r="D1028" s="87" t="s">
        <v>262</v>
      </c>
      <c r="E1028" s="87" t="s">
        <v>270</v>
      </c>
      <c r="F1028" s="87" t="s">
        <v>3376</v>
      </c>
      <c r="I1028" s="87" t="s">
        <v>58</v>
      </c>
      <c r="J1028" s="87" t="s">
        <v>3377</v>
      </c>
      <c r="K1028" s="90">
        <v>0.0</v>
      </c>
      <c r="L1028" s="92"/>
      <c r="M1028" s="93"/>
      <c r="N1028" s="87" t="s">
        <v>1808</v>
      </c>
      <c r="O1028" s="87" t="s">
        <v>377</v>
      </c>
      <c r="P1028" s="87" t="s">
        <v>372</v>
      </c>
    </row>
    <row r="1029" ht="15.75" customHeight="1">
      <c r="A1029" s="87" t="s">
        <v>3378</v>
      </c>
      <c r="B1029" s="88">
        <v>1.22E18</v>
      </c>
      <c r="C1029" s="87" t="s">
        <v>3379</v>
      </c>
      <c r="D1029" s="87" t="s">
        <v>262</v>
      </c>
      <c r="E1029" s="87" t="s">
        <v>270</v>
      </c>
      <c r="F1029" s="87" t="s">
        <v>3379</v>
      </c>
      <c r="I1029" s="87" t="s">
        <v>58</v>
      </c>
      <c r="J1029" s="87" t="s">
        <v>3380</v>
      </c>
      <c r="K1029" s="90">
        <v>0.0</v>
      </c>
      <c r="L1029" s="92"/>
      <c r="M1029" s="93"/>
      <c r="N1029" s="87" t="s">
        <v>1808</v>
      </c>
      <c r="O1029" s="87" t="s">
        <v>377</v>
      </c>
      <c r="P1029" s="87" t="s">
        <v>372</v>
      </c>
    </row>
    <row r="1030" ht="15.75" customHeight="1">
      <c r="A1030" s="87" t="s">
        <v>3381</v>
      </c>
      <c r="B1030" s="88">
        <v>1.22E18</v>
      </c>
      <c r="C1030" s="87" t="s">
        <v>3382</v>
      </c>
      <c r="D1030" s="87" t="s">
        <v>262</v>
      </c>
      <c r="E1030" s="87" t="s">
        <v>270</v>
      </c>
      <c r="F1030" s="87" t="s">
        <v>3382</v>
      </c>
      <c r="I1030" s="87" t="s">
        <v>58</v>
      </c>
      <c r="J1030" s="87" t="s">
        <v>3383</v>
      </c>
      <c r="K1030" s="90">
        <v>0.0</v>
      </c>
      <c r="L1030" s="92"/>
      <c r="M1030" s="93"/>
      <c r="N1030" s="87" t="s">
        <v>1808</v>
      </c>
      <c r="O1030" s="87" t="s">
        <v>377</v>
      </c>
      <c r="P1030" s="87" t="s">
        <v>372</v>
      </c>
    </row>
    <row r="1031" ht="15.75" customHeight="1">
      <c r="A1031" s="87" t="s">
        <v>3384</v>
      </c>
      <c r="B1031" s="88">
        <v>1.22E18</v>
      </c>
      <c r="C1031" s="87" t="s">
        <v>3385</v>
      </c>
      <c r="D1031" s="87" t="s">
        <v>262</v>
      </c>
      <c r="E1031" s="87" t="s">
        <v>270</v>
      </c>
      <c r="F1031" s="87" t="s">
        <v>3385</v>
      </c>
      <c r="I1031" s="87" t="s">
        <v>58</v>
      </c>
      <c r="J1031" s="87" t="s">
        <v>3386</v>
      </c>
      <c r="K1031" s="90">
        <v>0.0</v>
      </c>
      <c r="L1031" s="92"/>
      <c r="M1031" s="93"/>
      <c r="N1031" s="87" t="s">
        <v>1808</v>
      </c>
      <c r="O1031" s="87" t="s">
        <v>377</v>
      </c>
      <c r="P1031" s="87" t="s">
        <v>372</v>
      </c>
    </row>
    <row r="1032" ht="15.75" customHeight="1">
      <c r="A1032" s="87" t="s">
        <v>3387</v>
      </c>
      <c r="B1032" s="88">
        <v>1.22E18</v>
      </c>
      <c r="C1032" s="87" t="s">
        <v>3388</v>
      </c>
      <c r="D1032" s="87" t="s">
        <v>262</v>
      </c>
      <c r="E1032" s="87" t="s">
        <v>270</v>
      </c>
      <c r="F1032" s="87" t="s">
        <v>3388</v>
      </c>
      <c r="I1032" s="87" t="s">
        <v>58</v>
      </c>
      <c r="J1032" s="87" t="s">
        <v>3386</v>
      </c>
      <c r="K1032" s="90">
        <v>0.0</v>
      </c>
      <c r="L1032" s="92"/>
      <c r="M1032" s="93"/>
      <c r="N1032" s="87" t="s">
        <v>1808</v>
      </c>
      <c r="O1032" s="87" t="s">
        <v>377</v>
      </c>
      <c r="P1032" s="87" t="s">
        <v>372</v>
      </c>
    </row>
    <row r="1033" ht="15.75" customHeight="1">
      <c r="A1033" s="87" t="s">
        <v>3389</v>
      </c>
      <c r="B1033" s="88">
        <v>1.22E18</v>
      </c>
      <c r="C1033" s="87" t="s">
        <v>3390</v>
      </c>
      <c r="D1033" s="87" t="s">
        <v>262</v>
      </c>
      <c r="E1033" s="87" t="s">
        <v>270</v>
      </c>
      <c r="F1033" s="87" t="s">
        <v>3390</v>
      </c>
      <c r="I1033" s="87" t="s">
        <v>58</v>
      </c>
      <c r="J1033" s="87" t="s">
        <v>3391</v>
      </c>
      <c r="K1033" s="90">
        <v>0.0</v>
      </c>
      <c r="L1033" s="92"/>
      <c r="M1033" s="93"/>
      <c r="N1033" s="87" t="s">
        <v>1808</v>
      </c>
      <c r="O1033" s="87" t="s">
        <v>377</v>
      </c>
      <c r="P1033" s="87" t="s">
        <v>372</v>
      </c>
    </row>
    <row r="1034" ht="15.75" customHeight="1">
      <c r="A1034" s="87" t="s">
        <v>3392</v>
      </c>
      <c r="B1034" s="88">
        <v>1.22E18</v>
      </c>
      <c r="C1034" s="87" t="s">
        <v>3393</v>
      </c>
      <c r="D1034" s="87" t="s">
        <v>262</v>
      </c>
      <c r="E1034" s="87" t="s">
        <v>270</v>
      </c>
      <c r="F1034" s="87" t="s">
        <v>3393</v>
      </c>
      <c r="I1034" s="87" t="s">
        <v>58</v>
      </c>
      <c r="J1034" s="87" t="s">
        <v>3394</v>
      </c>
      <c r="K1034" s="90">
        <v>0.0</v>
      </c>
      <c r="L1034" s="92"/>
      <c r="M1034" s="93"/>
      <c r="N1034" s="87" t="s">
        <v>1808</v>
      </c>
      <c r="O1034" s="87" t="s">
        <v>377</v>
      </c>
      <c r="P1034" s="87" t="s">
        <v>372</v>
      </c>
    </row>
    <row r="1035" ht="15.75" customHeight="1">
      <c r="A1035" s="87" t="s">
        <v>3395</v>
      </c>
      <c r="B1035" s="88">
        <v>1.22E18</v>
      </c>
      <c r="C1035" s="87" t="s">
        <v>3396</v>
      </c>
      <c r="D1035" s="87" t="s">
        <v>262</v>
      </c>
      <c r="E1035" s="87" t="s">
        <v>270</v>
      </c>
      <c r="F1035" s="87" t="s">
        <v>3396</v>
      </c>
      <c r="I1035" s="87" t="s">
        <v>58</v>
      </c>
      <c r="J1035" s="87" t="s">
        <v>1821</v>
      </c>
      <c r="K1035" s="90">
        <v>0.0</v>
      </c>
      <c r="L1035" s="92"/>
      <c r="M1035" s="93"/>
      <c r="N1035" s="87" t="s">
        <v>2468</v>
      </c>
      <c r="O1035" s="87" t="s">
        <v>377</v>
      </c>
      <c r="P1035" s="87" t="s">
        <v>372</v>
      </c>
    </row>
    <row r="1036" ht="15.75" customHeight="1">
      <c r="A1036" s="87" t="s">
        <v>3397</v>
      </c>
      <c r="B1036" s="88">
        <v>1.22E18</v>
      </c>
      <c r="C1036" s="87" t="s">
        <v>3398</v>
      </c>
      <c r="D1036" s="87" t="s">
        <v>57</v>
      </c>
      <c r="E1036" s="87" t="s">
        <v>287</v>
      </c>
      <c r="F1036" s="118" t="s">
        <v>3398</v>
      </c>
      <c r="G1036" s="119"/>
      <c r="H1036" s="87" t="s">
        <v>3399</v>
      </c>
      <c r="I1036" s="87" t="s">
        <v>58</v>
      </c>
      <c r="J1036" s="87" t="s">
        <v>3400</v>
      </c>
      <c r="K1036" s="90">
        <v>0.0</v>
      </c>
      <c r="L1036" s="92"/>
      <c r="M1036" s="93"/>
      <c r="N1036" s="87" t="s">
        <v>1772</v>
      </c>
      <c r="O1036" s="87" t="s">
        <v>377</v>
      </c>
      <c r="P1036" s="87" t="s">
        <v>372</v>
      </c>
    </row>
    <row r="1037" ht="15.75" customHeight="1">
      <c r="A1037" s="87" t="s">
        <v>3401</v>
      </c>
      <c r="B1037" s="88">
        <v>1.22E18</v>
      </c>
      <c r="C1037" s="87" t="s">
        <v>3402</v>
      </c>
      <c r="D1037" s="87" t="s">
        <v>87</v>
      </c>
      <c r="E1037" s="87" t="s">
        <v>88</v>
      </c>
      <c r="F1037" s="118" t="s">
        <v>3402</v>
      </c>
      <c r="G1037" s="119"/>
      <c r="H1037" s="87" t="s">
        <v>3403</v>
      </c>
      <c r="I1037" s="87" t="s">
        <v>58</v>
      </c>
      <c r="J1037" s="87" t="s">
        <v>3404</v>
      </c>
      <c r="K1037" s="90">
        <v>0.0</v>
      </c>
      <c r="L1037" s="92"/>
      <c r="M1037" s="93"/>
      <c r="N1037" s="87" t="s">
        <v>1772</v>
      </c>
      <c r="O1037" s="87" t="s">
        <v>377</v>
      </c>
      <c r="P1037" s="87" t="s">
        <v>372</v>
      </c>
    </row>
    <row r="1038" ht="15.75" customHeight="1">
      <c r="A1038" s="87" t="s">
        <v>3405</v>
      </c>
      <c r="B1038" s="88">
        <v>1.22E18</v>
      </c>
      <c r="C1038" s="87" t="s">
        <v>3406</v>
      </c>
      <c r="D1038" s="87" t="s">
        <v>87</v>
      </c>
      <c r="E1038" s="87" t="s">
        <v>88</v>
      </c>
      <c r="F1038" s="118" t="s">
        <v>3406</v>
      </c>
      <c r="G1038" s="130"/>
      <c r="H1038" s="119"/>
      <c r="I1038" s="87" t="s">
        <v>58</v>
      </c>
      <c r="J1038" s="87" t="s">
        <v>3407</v>
      </c>
      <c r="K1038" s="90">
        <v>0.0</v>
      </c>
      <c r="L1038" s="92"/>
      <c r="M1038" s="93"/>
      <c r="N1038" s="87" t="s">
        <v>1772</v>
      </c>
      <c r="O1038" s="87" t="s">
        <v>377</v>
      </c>
      <c r="P1038" s="87" t="s">
        <v>372</v>
      </c>
    </row>
    <row r="1039" ht="15.75" customHeight="1">
      <c r="A1039" s="87" t="s">
        <v>3408</v>
      </c>
      <c r="B1039" s="88">
        <v>1.22E18</v>
      </c>
      <c r="C1039" s="87" t="s">
        <v>3409</v>
      </c>
      <c r="D1039" s="87" t="s">
        <v>57</v>
      </c>
      <c r="E1039" s="87" t="s">
        <v>287</v>
      </c>
      <c r="F1039" s="118" t="s">
        <v>3409</v>
      </c>
      <c r="G1039" s="130"/>
      <c r="H1039" s="119"/>
      <c r="I1039" s="87" t="s">
        <v>58</v>
      </c>
      <c r="J1039" s="87" t="s">
        <v>3410</v>
      </c>
      <c r="K1039" s="90">
        <v>0.0</v>
      </c>
      <c r="L1039" s="92"/>
      <c r="M1039" s="93"/>
      <c r="N1039" s="87" t="s">
        <v>1772</v>
      </c>
      <c r="O1039" s="87" t="s">
        <v>377</v>
      </c>
      <c r="P1039" s="87" t="s">
        <v>372</v>
      </c>
    </row>
    <row r="1040" ht="15.75" customHeight="1">
      <c r="A1040" s="87" t="s">
        <v>3411</v>
      </c>
      <c r="B1040" s="88">
        <v>1.22E18</v>
      </c>
      <c r="C1040" s="87" t="s">
        <v>3412</v>
      </c>
      <c r="D1040" s="87" t="s">
        <v>57</v>
      </c>
      <c r="E1040" s="87" t="s">
        <v>287</v>
      </c>
      <c r="F1040" s="87" t="s">
        <v>415</v>
      </c>
      <c r="G1040" s="93"/>
      <c r="H1040" s="93"/>
      <c r="I1040" s="87" t="s">
        <v>58</v>
      </c>
      <c r="J1040" s="87" t="s">
        <v>3413</v>
      </c>
      <c r="K1040" s="90">
        <v>2.0</v>
      </c>
      <c r="L1040" s="92"/>
      <c r="M1040" s="93"/>
      <c r="N1040" s="87" t="s">
        <v>1772</v>
      </c>
      <c r="O1040" s="87" t="s">
        <v>377</v>
      </c>
      <c r="P1040" s="87" t="s">
        <v>372</v>
      </c>
    </row>
    <row r="1041" ht="15.75" customHeight="1">
      <c r="A1041" s="87" t="s">
        <v>3414</v>
      </c>
      <c r="B1041" s="88">
        <v>1.22E18</v>
      </c>
      <c r="C1041" s="87" t="s">
        <v>3415</v>
      </c>
      <c r="D1041" s="87" t="s">
        <v>87</v>
      </c>
      <c r="E1041" s="87" t="s">
        <v>88</v>
      </c>
      <c r="F1041" s="118" t="s">
        <v>3415</v>
      </c>
      <c r="G1041" s="130"/>
      <c r="H1041" s="119"/>
      <c r="I1041" s="87" t="s">
        <v>58</v>
      </c>
      <c r="J1041" s="87" t="s">
        <v>3416</v>
      </c>
      <c r="K1041" s="90">
        <v>0.0</v>
      </c>
      <c r="L1041" s="92"/>
      <c r="M1041" s="93"/>
      <c r="N1041" s="87" t="s">
        <v>1772</v>
      </c>
      <c r="O1041" s="87" t="s">
        <v>377</v>
      </c>
      <c r="P1041" s="87" t="s">
        <v>372</v>
      </c>
    </row>
    <row r="1042" ht="15.75" customHeight="1">
      <c r="A1042" s="87" t="s">
        <v>3417</v>
      </c>
      <c r="B1042" s="88">
        <v>1.22E18</v>
      </c>
      <c r="C1042" s="87" t="s">
        <v>3418</v>
      </c>
      <c r="D1042" s="87" t="s">
        <v>262</v>
      </c>
      <c r="E1042" s="87" t="s">
        <v>263</v>
      </c>
      <c r="F1042" s="87" t="s">
        <v>3418</v>
      </c>
      <c r="H1042" s="87" t="s">
        <v>3419</v>
      </c>
      <c r="I1042" s="87" t="s">
        <v>58</v>
      </c>
      <c r="J1042" s="87" t="s">
        <v>3420</v>
      </c>
      <c r="K1042" s="90">
        <v>0.0</v>
      </c>
      <c r="L1042" s="92"/>
      <c r="M1042" s="93"/>
      <c r="N1042" s="87" t="s">
        <v>3421</v>
      </c>
      <c r="O1042" s="87" t="s">
        <v>377</v>
      </c>
      <c r="P1042" s="87" t="s">
        <v>372</v>
      </c>
    </row>
    <row r="1043" ht="15.75" customHeight="1">
      <c r="A1043" s="87" t="s">
        <v>3422</v>
      </c>
      <c r="B1043" s="88">
        <v>1.22E18</v>
      </c>
      <c r="C1043" s="87" t="s">
        <v>3423</v>
      </c>
      <c r="D1043" s="87" t="s">
        <v>56</v>
      </c>
      <c r="E1043" s="87" t="s">
        <v>248</v>
      </c>
      <c r="F1043" s="87" t="s">
        <v>2769</v>
      </c>
      <c r="G1043" s="93"/>
      <c r="H1043" s="93"/>
      <c r="I1043" s="87" t="s">
        <v>58</v>
      </c>
      <c r="J1043" s="87" t="s">
        <v>3424</v>
      </c>
      <c r="K1043" s="90">
        <v>0.0</v>
      </c>
      <c r="L1043" s="92"/>
      <c r="M1043" s="93"/>
      <c r="N1043" s="87" t="s">
        <v>2849</v>
      </c>
      <c r="O1043" s="87" t="s">
        <v>377</v>
      </c>
      <c r="P1043" s="87" t="s">
        <v>372</v>
      </c>
    </row>
    <row r="1044" ht="15.75" customHeight="1">
      <c r="A1044" s="87" t="s">
        <v>274</v>
      </c>
      <c r="B1044" s="88">
        <v>1.22E18</v>
      </c>
      <c r="C1044" s="87" t="s">
        <v>3425</v>
      </c>
      <c r="D1044" s="87" t="s">
        <v>56</v>
      </c>
      <c r="E1044" s="87" t="s">
        <v>248</v>
      </c>
      <c r="F1044" s="87" t="s">
        <v>2769</v>
      </c>
      <c r="G1044" s="93"/>
      <c r="H1044" s="93"/>
      <c r="I1044" s="87" t="s">
        <v>58</v>
      </c>
      <c r="J1044" s="87" t="s">
        <v>3426</v>
      </c>
      <c r="K1044" s="90">
        <v>0.0</v>
      </c>
      <c r="L1044" s="92"/>
      <c r="M1044" s="93"/>
      <c r="N1044" s="87" t="s">
        <v>2849</v>
      </c>
      <c r="O1044" s="87" t="s">
        <v>377</v>
      </c>
      <c r="P1044" s="87" t="s">
        <v>372</v>
      </c>
    </row>
    <row r="1045" ht="15.75" customHeight="1">
      <c r="A1045" s="87" t="s">
        <v>3427</v>
      </c>
      <c r="B1045" s="88">
        <v>1.22E18</v>
      </c>
      <c r="C1045" s="87" t="s">
        <v>3428</v>
      </c>
      <c r="D1045" s="87" t="s">
        <v>262</v>
      </c>
      <c r="E1045" s="87" t="s">
        <v>270</v>
      </c>
      <c r="F1045" s="87" t="s">
        <v>3428</v>
      </c>
      <c r="I1045" s="87" t="s">
        <v>58</v>
      </c>
      <c r="J1045" s="87" t="s">
        <v>3429</v>
      </c>
      <c r="K1045" s="90">
        <v>0.0</v>
      </c>
      <c r="L1045" s="92"/>
      <c r="M1045" s="93"/>
      <c r="N1045" s="87" t="s">
        <v>2849</v>
      </c>
      <c r="O1045" s="87" t="s">
        <v>377</v>
      </c>
      <c r="P1045" s="87" t="s">
        <v>372</v>
      </c>
    </row>
    <row r="1046" ht="15.75" customHeight="1">
      <c r="A1046" s="87" t="s">
        <v>3430</v>
      </c>
      <c r="B1046" s="88">
        <v>1.22E18</v>
      </c>
      <c r="C1046" s="87" t="s">
        <v>3431</v>
      </c>
      <c r="D1046" s="87" t="s">
        <v>56</v>
      </c>
      <c r="E1046" s="87" t="s">
        <v>248</v>
      </c>
      <c r="F1046" s="87" t="s">
        <v>2769</v>
      </c>
      <c r="G1046" s="93"/>
      <c r="H1046" s="93"/>
      <c r="I1046" s="87" t="s">
        <v>58</v>
      </c>
      <c r="J1046" s="87" t="s">
        <v>3432</v>
      </c>
      <c r="K1046" s="90">
        <v>0.0</v>
      </c>
      <c r="L1046" s="92"/>
      <c r="M1046" s="93"/>
      <c r="N1046" s="87" t="s">
        <v>2849</v>
      </c>
      <c r="O1046" s="87" t="s">
        <v>377</v>
      </c>
      <c r="P1046" s="87" t="s">
        <v>372</v>
      </c>
    </row>
    <row r="1047" ht="15.75" customHeight="1">
      <c r="A1047" s="87" t="s">
        <v>3433</v>
      </c>
      <c r="B1047" s="88">
        <v>1.22E18</v>
      </c>
      <c r="C1047" s="87" t="s">
        <v>3434</v>
      </c>
      <c r="D1047" s="87" t="s">
        <v>262</v>
      </c>
      <c r="E1047" s="87" t="s">
        <v>267</v>
      </c>
      <c r="F1047" s="87" t="s">
        <v>3434</v>
      </c>
      <c r="H1047" s="87" t="s">
        <v>3004</v>
      </c>
      <c r="I1047" s="87" t="s">
        <v>58</v>
      </c>
      <c r="J1047" s="87" t="s">
        <v>3435</v>
      </c>
      <c r="K1047" s="90">
        <v>0.0</v>
      </c>
      <c r="L1047" s="92"/>
      <c r="M1047" s="93"/>
      <c r="N1047" s="87" t="s">
        <v>3006</v>
      </c>
      <c r="O1047" s="87" t="s">
        <v>377</v>
      </c>
      <c r="P1047" s="87" t="s">
        <v>372</v>
      </c>
    </row>
    <row r="1048" ht="15.75" customHeight="1">
      <c r="A1048" s="87" t="s">
        <v>3436</v>
      </c>
      <c r="B1048" s="88">
        <v>1.22E18</v>
      </c>
      <c r="C1048" s="87" t="s">
        <v>3437</v>
      </c>
      <c r="D1048" s="87" t="s">
        <v>262</v>
      </c>
      <c r="E1048" s="87" t="s">
        <v>267</v>
      </c>
      <c r="F1048" s="87" t="s">
        <v>3437</v>
      </c>
      <c r="H1048" s="87" t="s">
        <v>3004</v>
      </c>
      <c r="I1048" s="87" t="s">
        <v>58</v>
      </c>
      <c r="J1048" s="87" t="s">
        <v>3435</v>
      </c>
      <c r="K1048" s="90">
        <v>0.0</v>
      </c>
      <c r="L1048" s="92"/>
      <c r="M1048" s="93"/>
      <c r="N1048" s="87" t="s">
        <v>3006</v>
      </c>
      <c r="O1048" s="87" t="s">
        <v>377</v>
      </c>
      <c r="P1048" s="87" t="s">
        <v>372</v>
      </c>
    </row>
    <row r="1049" ht="15.75" customHeight="1">
      <c r="A1049" s="87" t="s">
        <v>3438</v>
      </c>
      <c r="B1049" s="88">
        <v>1.22E18</v>
      </c>
      <c r="C1049" s="87" t="s">
        <v>3439</v>
      </c>
      <c r="D1049" s="87" t="s">
        <v>262</v>
      </c>
      <c r="E1049" s="87" t="s">
        <v>267</v>
      </c>
      <c r="F1049" s="87" t="s">
        <v>3439</v>
      </c>
      <c r="H1049" s="87" t="s">
        <v>3004</v>
      </c>
      <c r="I1049" s="87" t="s">
        <v>58</v>
      </c>
      <c r="J1049" s="87" t="s">
        <v>3435</v>
      </c>
      <c r="K1049" s="90">
        <v>0.0</v>
      </c>
      <c r="L1049" s="92"/>
      <c r="M1049" s="93"/>
      <c r="N1049" s="87" t="s">
        <v>3006</v>
      </c>
      <c r="O1049" s="87" t="s">
        <v>377</v>
      </c>
      <c r="P1049" s="87" t="s">
        <v>372</v>
      </c>
    </row>
    <row r="1050" ht="15.75" customHeight="1">
      <c r="A1050" s="87" t="s">
        <v>3440</v>
      </c>
      <c r="B1050" s="88">
        <v>1.22E18</v>
      </c>
      <c r="C1050" s="87" t="s">
        <v>3441</v>
      </c>
      <c r="D1050" s="87" t="s">
        <v>262</v>
      </c>
      <c r="E1050" s="87" t="s">
        <v>267</v>
      </c>
      <c r="F1050" s="87" t="s">
        <v>3441</v>
      </c>
      <c r="H1050" s="87" t="s">
        <v>3004</v>
      </c>
      <c r="I1050" s="87" t="s">
        <v>58</v>
      </c>
      <c r="J1050" s="87" t="s">
        <v>3435</v>
      </c>
      <c r="K1050" s="90">
        <v>0.0</v>
      </c>
      <c r="L1050" s="92"/>
      <c r="M1050" s="93"/>
      <c r="N1050" s="87" t="s">
        <v>3006</v>
      </c>
      <c r="O1050" s="87" t="s">
        <v>377</v>
      </c>
      <c r="P1050" s="87" t="s">
        <v>372</v>
      </c>
    </row>
    <row r="1051" ht="15.75" customHeight="1">
      <c r="A1051" s="87" t="s">
        <v>3442</v>
      </c>
      <c r="B1051" s="88">
        <v>1.22E18</v>
      </c>
      <c r="C1051" s="87" t="s">
        <v>3443</v>
      </c>
      <c r="D1051" s="87" t="s">
        <v>262</v>
      </c>
      <c r="E1051" s="87" t="s">
        <v>267</v>
      </c>
      <c r="F1051" s="87" t="s">
        <v>3443</v>
      </c>
      <c r="H1051" s="87" t="s">
        <v>3004</v>
      </c>
      <c r="I1051" s="87" t="s">
        <v>58</v>
      </c>
      <c r="J1051" s="87" t="s">
        <v>1625</v>
      </c>
      <c r="K1051" s="90">
        <v>0.0</v>
      </c>
      <c r="L1051" s="92"/>
      <c r="M1051" s="93"/>
      <c r="N1051" s="87" t="s">
        <v>3006</v>
      </c>
      <c r="O1051" s="87" t="s">
        <v>377</v>
      </c>
      <c r="P1051" s="87" t="s">
        <v>372</v>
      </c>
    </row>
    <row r="1052" ht="15.75" customHeight="1">
      <c r="A1052" s="87" t="s">
        <v>3444</v>
      </c>
      <c r="B1052" s="88">
        <v>1.22E18</v>
      </c>
      <c r="C1052" s="87" t="s">
        <v>3445</v>
      </c>
      <c r="D1052" s="87" t="s">
        <v>262</v>
      </c>
      <c r="E1052" s="87" t="s">
        <v>267</v>
      </c>
      <c r="F1052" s="87" t="s">
        <v>3445</v>
      </c>
      <c r="H1052" s="87" t="s">
        <v>3004</v>
      </c>
      <c r="I1052" s="87" t="s">
        <v>58</v>
      </c>
      <c r="J1052" s="87" t="s">
        <v>1625</v>
      </c>
      <c r="K1052" s="90">
        <v>0.0</v>
      </c>
      <c r="L1052" s="92"/>
      <c r="M1052" s="93"/>
      <c r="N1052" s="87" t="s">
        <v>3006</v>
      </c>
      <c r="O1052" s="87" t="s">
        <v>377</v>
      </c>
      <c r="P1052" s="87" t="s">
        <v>372</v>
      </c>
    </row>
    <row r="1053" ht="15.75" customHeight="1">
      <c r="A1053" s="87" t="s">
        <v>3446</v>
      </c>
      <c r="B1053" s="88">
        <v>1.22E18</v>
      </c>
      <c r="C1053" s="87" t="s">
        <v>3447</v>
      </c>
      <c r="D1053" s="87" t="s">
        <v>262</v>
      </c>
      <c r="E1053" s="87" t="s">
        <v>267</v>
      </c>
      <c r="F1053" s="87" t="s">
        <v>3447</v>
      </c>
      <c r="H1053" s="87" t="s">
        <v>3004</v>
      </c>
      <c r="I1053" s="87" t="s">
        <v>58</v>
      </c>
      <c r="J1053" s="87" t="s">
        <v>3448</v>
      </c>
      <c r="K1053" s="90">
        <v>0.0</v>
      </c>
      <c r="L1053" s="92"/>
      <c r="M1053" s="93"/>
      <c r="N1053" s="87" t="s">
        <v>3006</v>
      </c>
      <c r="O1053" s="87" t="s">
        <v>377</v>
      </c>
      <c r="P1053" s="87" t="s">
        <v>372</v>
      </c>
    </row>
    <row r="1054" ht="15.75" customHeight="1">
      <c r="A1054" s="87" t="s">
        <v>3449</v>
      </c>
      <c r="B1054" s="88">
        <v>1.22E18</v>
      </c>
      <c r="C1054" s="87" t="s">
        <v>3450</v>
      </c>
      <c r="D1054" s="87" t="s">
        <v>262</v>
      </c>
      <c r="E1054" s="87" t="s">
        <v>267</v>
      </c>
      <c r="F1054" s="118" t="s">
        <v>3450</v>
      </c>
      <c r="G1054" s="119"/>
      <c r="H1054" s="87" t="s">
        <v>3004</v>
      </c>
      <c r="I1054" s="87" t="s">
        <v>58</v>
      </c>
      <c r="J1054" s="87" t="s">
        <v>2047</v>
      </c>
      <c r="K1054" s="90">
        <v>0.0</v>
      </c>
      <c r="L1054" s="92"/>
      <c r="M1054" s="93"/>
      <c r="N1054" s="87" t="s">
        <v>3006</v>
      </c>
      <c r="O1054" s="87" t="s">
        <v>377</v>
      </c>
      <c r="P1054" s="87" t="s">
        <v>372</v>
      </c>
    </row>
    <row r="1055" ht="15.75" customHeight="1">
      <c r="A1055" s="87" t="s">
        <v>3451</v>
      </c>
      <c r="B1055" s="88">
        <v>1.22E18</v>
      </c>
      <c r="C1055" s="87" t="s">
        <v>3452</v>
      </c>
      <c r="D1055" s="87" t="s">
        <v>262</v>
      </c>
      <c r="E1055" s="87" t="s">
        <v>267</v>
      </c>
      <c r="F1055" s="87" t="s">
        <v>3452</v>
      </c>
      <c r="H1055" s="87" t="s">
        <v>3004</v>
      </c>
      <c r="I1055" s="87" t="s">
        <v>58</v>
      </c>
      <c r="J1055" s="87" t="s">
        <v>610</v>
      </c>
      <c r="K1055" s="90">
        <v>0.0</v>
      </c>
      <c r="L1055" s="92"/>
      <c r="M1055" s="93"/>
      <c r="N1055" s="87" t="s">
        <v>3006</v>
      </c>
      <c r="O1055" s="87" t="s">
        <v>377</v>
      </c>
      <c r="P1055" s="87" t="s">
        <v>372</v>
      </c>
    </row>
    <row r="1056" ht="15.75" customHeight="1">
      <c r="A1056" s="87" t="s">
        <v>3453</v>
      </c>
      <c r="B1056" s="88">
        <v>1.22E18</v>
      </c>
      <c r="C1056" s="87" t="s">
        <v>3454</v>
      </c>
      <c r="D1056" s="87" t="s">
        <v>262</v>
      </c>
      <c r="E1056" s="87" t="s">
        <v>267</v>
      </c>
      <c r="F1056" s="87" t="s">
        <v>3454</v>
      </c>
      <c r="H1056" s="87" t="s">
        <v>3004</v>
      </c>
      <c r="I1056" s="87" t="s">
        <v>58</v>
      </c>
      <c r="J1056" s="87" t="s">
        <v>3455</v>
      </c>
      <c r="K1056" s="90">
        <v>0.0</v>
      </c>
      <c r="L1056" s="92"/>
      <c r="M1056" s="93"/>
      <c r="N1056" s="87" t="s">
        <v>3006</v>
      </c>
      <c r="O1056" s="87" t="s">
        <v>377</v>
      </c>
      <c r="P1056" s="87" t="s">
        <v>372</v>
      </c>
    </row>
    <row r="1057" ht="15.75" customHeight="1">
      <c r="A1057" s="87" t="s">
        <v>3456</v>
      </c>
      <c r="B1057" s="88">
        <v>1.22E18</v>
      </c>
      <c r="C1057" s="87" t="s">
        <v>3457</v>
      </c>
      <c r="D1057" s="87" t="s">
        <v>262</v>
      </c>
      <c r="E1057" s="87" t="s">
        <v>267</v>
      </c>
      <c r="F1057" s="87" t="s">
        <v>3457</v>
      </c>
      <c r="H1057" s="87" t="s">
        <v>3004</v>
      </c>
      <c r="I1057" s="87" t="s">
        <v>58</v>
      </c>
      <c r="J1057" s="87" t="s">
        <v>3455</v>
      </c>
      <c r="K1057" s="90">
        <v>0.0</v>
      </c>
      <c r="L1057" s="92"/>
      <c r="M1057" s="93"/>
      <c r="N1057" s="87" t="s">
        <v>3006</v>
      </c>
      <c r="O1057" s="87" t="s">
        <v>377</v>
      </c>
      <c r="P1057" s="87" t="s">
        <v>372</v>
      </c>
    </row>
    <row r="1058" ht="15.75" customHeight="1">
      <c r="A1058" s="87" t="s">
        <v>3458</v>
      </c>
      <c r="B1058" s="88">
        <v>1.22E18</v>
      </c>
      <c r="C1058" s="87" t="s">
        <v>3459</v>
      </c>
      <c r="D1058" s="87" t="s">
        <v>262</v>
      </c>
      <c r="E1058" s="87" t="s">
        <v>267</v>
      </c>
      <c r="F1058" s="87" t="s">
        <v>3459</v>
      </c>
      <c r="H1058" s="87" t="s">
        <v>3004</v>
      </c>
      <c r="I1058" s="87" t="s">
        <v>58</v>
      </c>
      <c r="J1058" s="87" t="s">
        <v>3460</v>
      </c>
      <c r="K1058" s="90">
        <v>0.0</v>
      </c>
      <c r="L1058" s="92"/>
      <c r="M1058" s="93"/>
      <c r="N1058" s="87" t="s">
        <v>3006</v>
      </c>
      <c r="O1058" s="87" t="s">
        <v>377</v>
      </c>
      <c r="P1058" s="87" t="s">
        <v>372</v>
      </c>
    </row>
    <row r="1059" ht="15.75" customHeight="1">
      <c r="A1059" s="87" t="s">
        <v>3461</v>
      </c>
      <c r="B1059" s="88">
        <v>1.22E18</v>
      </c>
      <c r="C1059" s="87" t="s">
        <v>3462</v>
      </c>
      <c r="D1059" s="87" t="s">
        <v>262</v>
      </c>
      <c r="E1059" s="87" t="s">
        <v>267</v>
      </c>
      <c r="F1059" s="87" t="s">
        <v>3462</v>
      </c>
      <c r="H1059" s="87" t="s">
        <v>3004</v>
      </c>
      <c r="I1059" s="87" t="s">
        <v>58</v>
      </c>
      <c r="J1059" s="87" t="s">
        <v>3435</v>
      </c>
      <c r="K1059" s="90">
        <v>0.0</v>
      </c>
      <c r="L1059" s="92"/>
      <c r="M1059" s="93"/>
      <c r="N1059" s="87" t="s">
        <v>3006</v>
      </c>
      <c r="O1059" s="87" t="s">
        <v>377</v>
      </c>
      <c r="P1059" s="87" t="s">
        <v>372</v>
      </c>
    </row>
    <row r="1060" ht="15.75" customHeight="1">
      <c r="A1060" s="87" t="s">
        <v>3463</v>
      </c>
      <c r="B1060" s="88">
        <v>1.22E18</v>
      </c>
      <c r="C1060" s="87" t="s">
        <v>3464</v>
      </c>
      <c r="D1060" s="87" t="s">
        <v>262</v>
      </c>
      <c r="E1060" s="87" t="s">
        <v>267</v>
      </c>
      <c r="F1060" s="87" t="s">
        <v>3464</v>
      </c>
      <c r="H1060" s="87" t="s">
        <v>3004</v>
      </c>
      <c r="I1060" s="87" t="s">
        <v>58</v>
      </c>
      <c r="J1060" s="87" t="s">
        <v>3465</v>
      </c>
      <c r="K1060" s="90">
        <v>0.0</v>
      </c>
      <c r="L1060" s="92"/>
      <c r="M1060" s="93"/>
      <c r="N1060" s="87" t="s">
        <v>3006</v>
      </c>
      <c r="O1060" s="87" t="s">
        <v>377</v>
      </c>
      <c r="P1060" s="87" t="s">
        <v>372</v>
      </c>
    </row>
    <row r="1061" ht="15.75" customHeight="1">
      <c r="A1061" s="87" t="s">
        <v>3466</v>
      </c>
      <c r="B1061" s="88">
        <v>1.22E18</v>
      </c>
      <c r="C1061" s="87" t="s">
        <v>3467</v>
      </c>
      <c r="D1061" s="87" t="s">
        <v>262</v>
      </c>
      <c r="E1061" s="87" t="s">
        <v>267</v>
      </c>
      <c r="F1061" s="87" t="s">
        <v>3467</v>
      </c>
      <c r="H1061" s="87" t="s">
        <v>3004</v>
      </c>
      <c r="I1061" s="87" t="s">
        <v>58</v>
      </c>
      <c r="J1061" s="87" t="s">
        <v>3468</v>
      </c>
      <c r="K1061" s="90">
        <v>0.0</v>
      </c>
      <c r="L1061" s="92"/>
      <c r="M1061" s="93"/>
      <c r="N1061" s="87" t="s">
        <v>3006</v>
      </c>
      <c r="O1061" s="87" t="s">
        <v>377</v>
      </c>
      <c r="P1061" s="87" t="s">
        <v>372</v>
      </c>
    </row>
    <row r="1062" ht="15.75" customHeight="1">
      <c r="A1062" s="87" t="s">
        <v>3469</v>
      </c>
      <c r="B1062" s="88">
        <v>1.22E18</v>
      </c>
      <c r="C1062" s="87" t="s">
        <v>3470</v>
      </c>
      <c r="D1062" s="87" t="s">
        <v>262</v>
      </c>
      <c r="E1062" s="87" t="s">
        <v>267</v>
      </c>
      <c r="F1062" s="87" t="s">
        <v>3470</v>
      </c>
      <c r="H1062" s="87" t="s">
        <v>3004</v>
      </c>
      <c r="I1062" s="87" t="s">
        <v>58</v>
      </c>
      <c r="J1062" s="87" t="s">
        <v>3471</v>
      </c>
      <c r="K1062" s="90">
        <v>0.0</v>
      </c>
      <c r="L1062" s="92"/>
      <c r="M1062" s="93"/>
      <c r="N1062" s="87" t="s">
        <v>3006</v>
      </c>
      <c r="O1062" s="87" t="s">
        <v>377</v>
      </c>
      <c r="P1062" s="87" t="s">
        <v>372</v>
      </c>
    </row>
    <row r="1063" ht="15.75" customHeight="1">
      <c r="A1063" s="87" t="s">
        <v>3472</v>
      </c>
      <c r="B1063" s="88">
        <v>1.22E18</v>
      </c>
      <c r="C1063" s="87" t="s">
        <v>3473</v>
      </c>
      <c r="D1063" s="87" t="s">
        <v>262</v>
      </c>
      <c r="E1063" s="87" t="s">
        <v>267</v>
      </c>
      <c r="F1063" s="87" t="s">
        <v>3473</v>
      </c>
      <c r="H1063" s="87" t="s">
        <v>3004</v>
      </c>
      <c r="I1063" s="87" t="s">
        <v>58</v>
      </c>
      <c r="J1063" s="87" t="s">
        <v>3474</v>
      </c>
      <c r="K1063" s="90">
        <v>0.0</v>
      </c>
      <c r="L1063" s="92"/>
      <c r="M1063" s="93"/>
      <c r="N1063" s="87" t="s">
        <v>3006</v>
      </c>
      <c r="O1063" s="87" t="s">
        <v>377</v>
      </c>
      <c r="P1063" s="87" t="s">
        <v>372</v>
      </c>
    </row>
    <row r="1064" ht="15.75" customHeight="1">
      <c r="A1064" s="87" t="s">
        <v>3475</v>
      </c>
      <c r="B1064" s="88">
        <v>1.22E18</v>
      </c>
      <c r="C1064" s="87" t="s">
        <v>3476</v>
      </c>
      <c r="D1064" s="87" t="s">
        <v>262</v>
      </c>
      <c r="E1064" s="87" t="s">
        <v>267</v>
      </c>
      <c r="F1064" s="87" t="s">
        <v>3476</v>
      </c>
      <c r="H1064" s="87" t="s">
        <v>3004</v>
      </c>
      <c r="I1064" s="87" t="s">
        <v>58</v>
      </c>
      <c r="J1064" s="87" t="s">
        <v>3477</v>
      </c>
      <c r="K1064" s="90">
        <v>0.0</v>
      </c>
      <c r="L1064" s="92"/>
      <c r="M1064" s="93"/>
      <c r="N1064" s="87" t="s">
        <v>3006</v>
      </c>
      <c r="O1064" s="87" t="s">
        <v>377</v>
      </c>
      <c r="P1064" s="87" t="s">
        <v>372</v>
      </c>
    </row>
    <row r="1065" ht="15.75" customHeight="1">
      <c r="A1065" s="87" t="s">
        <v>3478</v>
      </c>
      <c r="B1065" s="88">
        <v>1.22E18</v>
      </c>
      <c r="C1065" s="87" t="s">
        <v>3479</v>
      </c>
      <c r="D1065" s="87" t="s">
        <v>262</v>
      </c>
      <c r="E1065" s="87" t="s">
        <v>267</v>
      </c>
      <c r="F1065" s="87" t="s">
        <v>3479</v>
      </c>
      <c r="H1065" s="87" t="s">
        <v>3004</v>
      </c>
      <c r="I1065" s="87" t="s">
        <v>58</v>
      </c>
      <c r="J1065" s="87" t="s">
        <v>3480</v>
      </c>
      <c r="K1065" s="90">
        <v>0.0</v>
      </c>
      <c r="L1065" s="92"/>
      <c r="M1065" s="93"/>
      <c r="N1065" s="87" t="s">
        <v>3006</v>
      </c>
      <c r="O1065" s="87" t="s">
        <v>377</v>
      </c>
      <c r="P1065" s="87" t="s">
        <v>372</v>
      </c>
    </row>
    <row r="1066" ht="15.75" customHeight="1">
      <c r="A1066" s="87" t="s">
        <v>3481</v>
      </c>
      <c r="B1066" s="88">
        <v>1.22E18</v>
      </c>
      <c r="C1066" s="87" t="s">
        <v>3482</v>
      </c>
      <c r="D1066" s="87" t="s">
        <v>262</v>
      </c>
      <c r="E1066" s="87" t="s">
        <v>267</v>
      </c>
      <c r="F1066" s="87" t="s">
        <v>3482</v>
      </c>
      <c r="H1066" s="87" t="s">
        <v>3004</v>
      </c>
      <c r="I1066" s="87" t="s">
        <v>58</v>
      </c>
      <c r="J1066" s="87" t="s">
        <v>3483</v>
      </c>
      <c r="K1066" s="90">
        <v>0.0</v>
      </c>
      <c r="L1066" s="92"/>
      <c r="M1066" s="93"/>
      <c r="N1066" s="87" t="s">
        <v>3006</v>
      </c>
      <c r="O1066" s="87" t="s">
        <v>377</v>
      </c>
      <c r="P1066" s="87" t="s">
        <v>372</v>
      </c>
    </row>
    <row r="1067" ht="15.75" customHeight="1">
      <c r="A1067" s="87" t="s">
        <v>3484</v>
      </c>
      <c r="B1067" s="88">
        <v>1.22E18</v>
      </c>
      <c r="C1067" s="87" t="s">
        <v>3485</v>
      </c>
      <c r="D1067" s="87" t="s">
        <v>262</v>
      </c>
      <c r="E1067" s="87" t="s">
        <v>267</v>
      </c>
      <c r="F1067" s="87" t="s">
        <v>3485</v>
      </c>
      <c r="H1067" s="87" t="s">
        <v>3004</v>
      </c>
      <c r="I1067" s="87" t="s">
        <v>58</v>
      </c>
      <c r="J1067" s="87" t="s">
        <v>3435</v>
      </c>
      <c r="K1067" s="90">
        <v>0.0</v>
      </c>
      <c r="L1067" s="92"/>
      <c r="M1067" s="93"/>
      <c r="N1067" s="87" t="s">
        <v>3006</v>
      </c>
      <c r="O1067" s="87" t="s">
        <v>377</v>
      </c>
      <c r="P1067" s="87" t="s">
        <v>372</v>
      </c>
    </row>
    <row r="1068" ht="15.75" customHeight="1">
      <c r="A1068" s="87" t="s">
        <v>3486</v>
      </c>
      <c r="B1068" s="88">
        <v>1.22E18</v>
      </c>
      <c r="C1068" s="87" t="s">
        <v>3487</v>
      </c>
      <c r="D1068" s="87" t="s">
        <v>262</v>
      </c>
      <c r="E1068" s="87" t="s">
        <v>267</v>
      </c>
      <c r="F1068" s="87" t="s">
        <v>3487</v>
      </c>
      <c r="H1068" s="87" t="s">
        <v>3004</v>
      </c>
      <c r="I1068" s="87" t="s">
        <v>58</v>
      </c>
      <c r="J1068" s="87" t="s">
        <v>3435</v>
      </c>
      <c r="K1068" s="90">
        <v>0.0</v>
      </c>
      <c r="L1068" s="92"/>
      <c r="M1068" s="93"/>
      <c r="N1068" s="87" t="s">
        <v>3006</v>
      </c>
      <c r="O1068" s="87" t="s">
        <v>377</v>
      </c>
      <c r="P1068" s="87" t="s">
        <v>372</v>
      </c>
    </row>
    <row r="1069" ht="15.75" customHeight="1">
      <c r="A1069" s="87" t="s">
        <v>3488</v>
      </c>
      <c r="B1069" s="88">
        <v>1.22E18</v>
      </c>
      <c r="C1069" s="87" t="s">
        <v>3489</v>
      </c>
      <c r="D1069" s="87" t="s">
        <v>262</v>
      </c>
      <c r="E1069" s="87" t="s">
        <v>267</v>
      </c>
      <c r="F1069" s="87" t="s">
        <v>3489</v>
      </c>
      <c r="H1069" s="87" t="s">
        <v>3004</v>
      </c>
      <c r="I1069" s="87" t="s">
        <v>58</v>
      </c>
      <c r="J1069" s="87" t="s">
        <v>3435</v>
      </c>
      <c r="K1069" s="90">
        <v>0.0</v>
      </c>
      <c r="L1069" s="92"/>
      <c r="M1069" s="93"/>
      <c r="N1069" s="87" t="s">
        <v>3006</v>
      </c>
      <c r="O1069" s="87" t="s">
        <v>377</v>
      </c>
      <c r="P1069" s="87" t="s">
        <v>372</v>
      </c>
    </row>
    <row r="1070" ht="15.75" customHeight="1">
      <c r="A1070" s="87" t="s">
        <v>3490</v>
      </c>
      <c r="B1070" s="88">
        <v>1.22E18</v>
      </c>
      <c r="C1070" s="87" t="s">
        <v>3491</v>
      </c>
      <c r="D1070" s="87" t="s">
        <v>262</v>
      </c>
      <c r="E1070" s="87" t="s">
        <v>267</v>
      </c>
      <c r="F1070" s="87" t="s">
        <v>3491</v>
      </c>
      <c r="H1070" s="87" t="s">
        <v>3004</v>
      </c>
      <c r="I1070" s="87" t="s">
        <v>58</v>
      </c>
      <c r="J1070" s="87" t="s">
        <v>3460</v>
      </c>
      <c r="K1070" s="90">
        <v>0.0</v>
      </c>
      <c r="L1070" s="92"/>
      <c r="M1070" s="93"/>
      <c r="N1070" s="87" t="s">
        <v>3006</v>
      </c>
      <c r="O1070" s="87" t="s">
        <v>377</v>
      </c>
      <c r="P1070" s="87" t="s">
        <v>372</v>
      </c>
    </row>
    <row r="1071" ht="15.75" customHeight="1">
      <c r="A1071" s="87" t="s">
        <v>3492</v>
      </c>
      <c r="B1071" s="88">
        <v>1.22E18</v>
      </c>
      <c r="C1071" s="87" t="s">
        <v>3493</v>
      </c>
      <c r="D1071" s="87" t="s">
        <v>87</v>
      </c>
      <c r="E1071" s="87" t="s">
        <v>88</v>
      </c>
      <c r="F1071" s="87" t="s">
        <v>3493</v>
      </c>
      <c r="I1071" s="87" t="s">
        <v>315</v>
      </c>
      <c r="J1071" s="87" t="s">
        <v>682</v>
      </c>
      <c r="K1071" s="90">
        <v>0.0</v>
      </c>
      <c r="L1071" s="92"/>
      <c r="M1071" s="93"/>
      <c r="N1071" s="87" t="s">
        <v>387</v>
      </c>
      <c r="O1071" s="87" t="s">
        <v>377</v>
      </c>
      <c r="P1071" s="87" t="s">
        <v>372</v>
      </c>
    </row>
    <row r="1072" ht="15.75" customHeight="1">
      <c r="A1072" s="87" t="s">
        <v>3494</v>
      </c>
      <c r="B1072" s="88">
        <v>1.22E18</v>
      </c>
      <c r="C1072" s="87" t="s">
        <v>3495</v>
      </c>
      <c r="D1072" s="87" t="s">
        <v>87</v>
      </c>
      <c r="E1072" s="87" t="s">
        <v>88</v>
      </c>
      <c r="F1072" s="87" t="s">
        <v>3495</v>
      </c>
      <c r="I1072" s="87" t="s">
        <v>315</v>
      </c>
      <c r="J1072" s="87" t="s">
        <v>1447</v>
      </c>
      <c r="K1072" s="90">
        <v>0.0</v>
      </c>
      <c r="L1072" s="92"/>
      <c r="M1072" s="93"/>
      <c r="N1072" s="87" t="s">
        <v>387</v>
      </c>
      <c r="O1072" s="87" t="s">
        <v>377</v>
      </c>
      <c r="P1072" s="87" t="s">
        <v>372</v>
      </c>
    </row>
    <row r="1073" ht="15.75" customHeight="1">
      <c r="A1073" s="87" t="s">
        <v>3496</v>
      </c>
      <c r="B1073" s="88">
        <v>1.22E18</v>
      </c>
      <c r="C1073" s="87" t="s">
        <v>3497</v>
      </c>
      <c r="D1073" s="87" t="s">
        <v>87</v>
      </c>
      <c r="E1073" s="87" t="s">
        <v>88</v>
      </c>
      <c r="F1073" s="87" t="s">
        <v>3497</v>
      </c>
      <c r="H1073" s="87" t="s">
        <v>3498</v>
      </c>
      <c r="I1073" s="87" t="s">
        <v>495</v>
      </c>
      <c r="J1073" s="87" t="s">
        <v>2183</v>
      </c>
      <c r="K1073" s="90">
        <v>75.0</v>
      </c>
      <c r="L1073" s="92"/>
      <c r="M1073" s="93"/>
      <c r="N1073" s="87" t="s">
        <v>3499</v>
      </c>
      <c r="O1073" s="87" t="s">
        <v>377</v>
      </c>
      <c r="P1073" s="87" t="s">
        <v>372</v>
      </c>
    </row>
    <row r="1074" ht="15.75" customHeight="1">
      <c r="A1074" s="87" t="s">
        <v>3500</v>
      </c>
      <c r="B1074" s="88">
        <v>1.22E18</v>
      </c>
      <c r="C1074" s="87" t="s">
        <v>3501</v>
      </c>
      <c r="D1074" s="87" t="s">
        <v>87</v>
      </c>
      <c r="E1074" s="87" t="s">
        <v>88</v>
      </c>
      <c r="F1074" s="87" t="s">
        <v>3501</v>
      </c>
      <c r="H1074" s="87" t="s">
        <v>3498</v>
      </c>
      <c r="I1074" s="87" t="s">
        <v>495</v>
      </c>
      <c r="J1074" s="87" t="s">
        <v>2183</v>
      </c>
      <c r="K1074" s="90">
        <v>75.0</v>
      </c>
      <c r="L1074" s="92"/>
      <c r="M1074" s="93"/>
      <c r="N1074" s="87" t="s">
        <v>3499</v>
      </c>
      <c r="O1074" s="87" t="s">
        <v>377</v>
      </c>
      <c r="P1074" s="87" t="s">
        <v>372</v>
      </c>
    </row>
    <row r="1075" ht="15.75" customHeight="1">
      <c r="A1075" s="87" t="s">
        <v>3502</v>
      </c>
      <c r="B1075" s="88">
        <v>1.22E18</v>
      </c>
      <c r="C1075" s="87" t="s">
        <v>3503</v>
      </c>
      <c r="D1075" s="87" t="s">
        <v>87</v>
      </c>
      <c r="E1075" s="87" t="s">
        <v>88</v>
      </c>
      <c r="F1075" s="87" t="s">
        <v>379</v>
      </c>
      <c r="G1075" s="93"/>
      <c r="H1075" s="87" t="s">
        <v>3498</v>
      </c>
      <c r="I1075" s="93"/>
      <c r="J1075" s="87" t="s">
        <v>1952</v>
      </c>
      <c r="K1075" s="90">
        <v>75.0</v>
      </c>
      <c r="L1075" s="92"/>
      <c r="M1075" s="93"/>
      <c r="N1075" s="87" t="s">
        <v>3499</v>
      </c>
      <c r="O1075" s="87" t="s">
        <v>377</v>
      </c>
      <c r="P1075" s="87" t="s">
        <v>372</v>
      </c>
    </row>
    <row r="1076" ht="15.75" customHeight="1">
      <c r="A1076" s="87" t="s">
        <v>3504</v>
      </c>
      <c r="B1076" s="88">
        <v>1.22E18</v>
      </c>
      <c r="C1076" s="87" t="s">
        <v>3505</v>
      </c>
      <c r="D1076" s="87" t="s">
        <v>87</v>
      </c>
      <c r="E1076" s="87" t="s">
        <v>88</v>
      </c>
      <c r="F1076" s="87" t="s">
        <v>379</v>
      </c>
      <c r="G1076" s="93"/>
      <c r="H1076" s="87" t="s">
        <v>3498</v>
      </c>
      <c r="I1076" s="93"/>
      <c r="J1076" s="87" t="s">
        <v>3506</v>
      </c>
      <c r="K1076" s="90">
        <v>16.0</v>
      </c>
      <c r="L1076" s="92"/>
      <c r="M1076" s="93"/>
      <c r="N1076" s="87" t="s">
        <v>3499</v>
      </c>
      <c r="O1076" s="87" t="s">
        <v>377</v>
      </c>
      <c r="P1076" s="87" t="s">
        <v>372</v>
      </c>
    </row>
    <row r="1077" ht="15.75" customHeight="1">
      <c r="A1077" s="87" t="s">
        <v>3507</v>
      </c>
      <c r="B1077" s="88">
        <v>1.22E18</v>
      </c>
      <c r="C1077" s="87" t="s">
        <v>3508</v>
      </c>
      <c r="D1077" s="87" t="s">
        <v>87</v>
      </c>
      <c r="E1077" s="87" t="s">
        <v>88</v>
      </c>
      <c r="F1077" s="87" t="s">
        <v>3508</v>
      </c>
      <c r="H1077" s="87" t="s">
        <v>369</v>
      </c>
      <c r="I1077" s="87" t="s">
        <v>327</v>
      </c>
      <c r="J1077" s="87" t="s">
        <v>3509</v>
      </c>
      <c r="K1077" s="90">
        <v>0.0</v>
      </c>
      <c r="L1077" s="92"/>
      <c r="M1077" s="93"/>
      <c r="N1077" s="87" t="s">
        <v>390</v>
      </c>
      <c r="O1077" s="87" t="s">
        <v>377</v>
      </c>
      <c r="P1077" s="87" t="s">
        <v>372</v>
      </c>
    </row>
    <row r="1078" ht="15.75" customHeight="1">
      <c r="A1078" s="87" t="s">
        <v>3510</v>
      </c>
      <c r="B1078" s="88">
        <v>1.22E18</v>
      </c>
      <c r="C1078" s="87" t="s">
        <v>3511</v>
      </c>
      <c r="D1078" s="87" t="s">
        <v>87</v>
      </c>
      <c r="E1078" s="87" t="s">
        <v>88</v>
      </c>
      <c r="F1078" s="118" t="s">
        <v>3511</v>
      </c>
      <c r="G1078" s="119"/>
      <c r="H1078" s="87" t="s">
        <v>369</v>
      </c>
      <c r="I1078" s="87" t="s">
        <v>315</v>
      </c>
      <c r="J1078" s="87" t="s">
        <v>3512</v>
      </c>
      <c r="K1078" s="90">
        <v>225000.0</v>
      </c>
      <c r="L1078" s="92"/>
      <c r="M1078" s="93"/>
      <c r="N1078" s="87" t="s">
        <v>390</v>
      </c>
      <c r="O1078" s="87" t="s">
        <v>377</v>
      </c>
      <c r="P1078" s="87" t="s">
        <v>372</v>
      </c>
    </row>
    <row r="1079" ht="15.75" customHeight="1">
      <c r="A1079" s="87" t="s">
        <v>3513</v>
      </c>
      <c r="B1079" s="88">
        <v>1.22E18</v>
      </c>
      <c r="C1079" s="87" t="s">
        <v>3514</v>
      </c>
      <c r="D1079" s="87" t="s">
        <v>87</v>
      </c>
      <c r="E1079" s="87" t="s">
        <v>228</v>
      </c>
      <c r="F1079" s="87" t="s">
        <v>379</v>
      </c>
      <c r="G1079" s="93"/>
      <c r="H1079" s="87" t="s">
        <v>374</v>
      </c>
      <c r="I1079" s="93"/>
      <c r="J1079" s="87" t="s">
        <v>3515</v>
      </c>
      <c r="K1079" s="90">
        <v>0.0</v>
      </c>
      <c r="L1079" s="92"/>
      <c r="M1079" s="93"/>
      <c r="N1079" s="93"/>
      <c r="O1079" s="87" t="s">
        <v>377</v>
      </c>
      <c r="P1079" s="87" t="s">
        <v>372</v>
      </c>
    </row>
    <row r="1080" ht="15.75" customHeight="1">
      <c r="A1080" s="87" t="s">
        <v>3516</v>
      </c>
      <c r="B1080" s="88">
        <v>1.22E18</v>
      </c>
      <c r="C1080" s="87" t="s">
        <v>3517</v>
      </c>
      <c r="D1080" s="87" t="s">
        <v>262</v>
      </c>
      <c r="E1080" s="87" t="s">
        <v>278</v>
      </c>
      <c r="F1080" s="87" t="s">
        <v>3517</v>
      </c>
      <c r="I1080" s="87" t="s">
        <v>495</v>
      </c>
      <c r="J1080" s="87" t="s">
        <v>3518</v>
      </c>
      <c r="L1080" s="92"/>
      <c r="M1080" s="93"/>
      <c r="N1080" s="93"/>
      <c r="O1080" s="87" t="s">
        <v>377</v>
      </c>
      <c r="P1080" s="87" t="s">
        <v>2565</v>
      </c>
    </row>
    <row r="1081" ht="15.75" customHeight="1">
      <c r="A1081" s="87" t="s">
        <v>3519</v>
      </c>
      <c r="B1081" s="88">
        <v>1.22E18</v>
      </c>
      <c r="C1081" s="87" t="s">
        <v>3520</v>
      </c>
      <c r="D1081" s="87" t="s">
        <v>87</v>
      </c>
      <c r="E1081" s="87" t="s">
        <v>88</v>
      </c>
      <c r="F1081" s="87" t="s">
        <v>3520</v>
      </c>
      <c r="I1081" s="87" t="s">
        <v>58</v>
      </c>
      <c r="J1081" s="87" t="s">
        <v>3521</v>
      </c>
      <c r="K1081" s="90">
        <v>0.0</v>
      </c>
      <c r="L1081" s="92"/>
      <c r="M1081" s="93"/>
      <c r="N1081" s="87" t="s">
        <v>3522</v>
      </c>
      <c r="O1081" s="87" t="s">
        <v>377</v>
      </c>
      <c r="P1081" s="87" t="s">
        <v>372</v>
      </c>
    </row>
    <row r="1082" ht="15.75" customHeight="1">
      <c r="A1082" s="87" t="s">
        <v>3523</v>
      </c>
      <c r="B1082" s="88">
        <v>1.22E18</v>
      </c>
      <c r="C1082" s="87" t="s">
        <v>3524</v>
      </c>
      <c r="D1082" s="87" t="s">
        <v>87</v>
      </c>
      <c r="E1082" s="87" t="s">
        <v>233</v>
      </c>
      <c r="F1082" s="87" t="s">
        <v>3524</v>
      </c>
      <c r="H1082" s="87" t="s">
        <v>1868</v>
      </c>
      <c r="I1082" s="87" t="s">
        <v>315</v>
      </c>
      <c r="J1082" s="87" t="s">
        <v>3183</v>
      </c>
      <c r="K1082" s="90">
        <v>0.0</v>
      </c>
      <c r="L1082" s="92"/>
      <c r="M1082" s="93"/>
      <c r="N1082" s="87" t="s">
        <v>828</v>
      </c>
      <c r="O1082" s="87" t="s">
        <v>377</v>
      </c>
      <c r="P1082" s="87" t="s">
        <v>372</v>
      </c>
    </row>
    <row r="1083" ht="15.75" customHeight="1">
      <c r="A1083" s="87" t="s">
        <v>3525</v>
      </c>
      <c r="B1083" s="88">
        <v>1.22E18</v>
      </c>
      <c r="C1083" s="87" t="s">
        <v>3526</v>
      </c>
      <c r="D1083" s="87" t="s">
        <v>87</v>
      </c>
      <c r="E1083" s="87" t="s">
        <v>88</v>
      </c>
      <c r="F1083" s="87" t="s">
        <v>861</v>
      </c>
      <c r="G1083" s="93"/>
      <c r="H1083" s="93"/>
      <c r="I1083" s="87" t="s">
        <v>103</v>
      </c>
      <c r="J1083" s="87" t="s">
        <v>3527</v>
      </c>
      <c r="K1083" s="90">
        <v>20.0</v>
      </c>
      <c r="L1083" s="92"/>
      <c r="M1083" s="93"/>
      <c r="N1083" s="93"/>
      <c r="O1083" s="87" t="s">
        <v>377</v>
      </c>
      <c r="P1083" s="87" t="s">
        <v>372</v>
      </c>
    </row>
    <row r="1084" ht="15.75" customHeight="1">
      <c r="A1084" s="87" t="s">
        <v>3528</v>
      </c>
      <c r="B1084" s="88">
        <v>1.22E18</v>
      </c>
      <c r="C1084" s="87" t="s">
        <v>3529</v>
      </c>
      <c r="D1084" s="87" t="s">
        <v>87</v>
      </c>
      <c r="E1084" s="87" t="s">
        <v>88</v>
      </c>
      <c r="F1084" s="87" t="s">
        <v>861</v>
      </c>
      <c r="G1084" s="93"/>
      <c r="H1084" s="87" t="s">
        <v>3530</v>
      </c>
      <c r="I1084" s="87" t="s">
        <v>315</v>
      </c>
      <c r="J1084" s="87" t="s">
        <v>3531</v>
      </c>
      <c r="K1084" s="90">
        <v>0.0</v>
      </c>
      <c r="L1084" s="92"/>
      <c r="M1084" s="93"/>
      <c r="N1084" s="87" t="s">
        <v>3532</v>
      </c>
      <c r="O1084" s="87" t="s">
        <v>377</v>
      </c>
      <c r="P1084" s="87" t="s">
        <v>372</v>
      </c>
    </row>
    <row r="1085" ht="15.75" customHeight="1">
      <c r="A1085" s="87" t="s">
        <v>3533</v>
      </c>
      <c r="B1085" s="88">
        <v>1.22E18</v>
      </c>
      <c r="C1085" s="87" t="s">
        <v>3534</v>
      </c>
      <c r="D1085" s="87" t="s">
        <v>87</v>
      </c>
      <c r="E1085" s="87" t="s">
        <v>228</v>
      </c>
      <c r="F1085" s="87" t="s">
        <v>3534</v>
      </c>
      <c r="H1085" s="87" t="s">
        <v>3530</v>
      </c>
      <c r="I1085" s="87" t="s">
        <v>315</v>
      </c>
      <c r="J1085" s="87" t="s">
        <v>3535</v>
      </c>
      <c r="K1085" s="90">
        <v>0.0</v>
      </c>
      <c r="L1085" s="92"/>
      <c r="M1085" s="93"/>
      <c r="N1085" s="87" t="s">
        <v>3536</v>
      </c>
      <c r="O1085" s="87" t="s">
        <v>377</v>
      </c>
      <c r="P1085" s="87" t="s">
        <v>372</v>
      </c>
    </row>
    <row r="1086" ht="15.75" customHeight="1">
      <c r="A1086" s="87" t="s">
        <v>3537</v>
      </c>
      <c r="B1086" s="88">
        <v>1.22E18</v>
      </c>
      <c r="C1086" s="87" t="s">
        <v>3538</v>
      </c>
      <c r="D1086" s="87" t="s">
        <v>87</v>
      </c>
      <c r="E1086" s="87" t="s">
        <v>102</v>
      </c>
      <c r="F1086" s="87" t="s">
        <v>1763</v>
      </c>
      <c r="H1086" s="87" t="s">
        <v>1878</v>
      </c>
      <c r="I1086" s="93"/>
      <c r="J1086" s="87" t="s">
        <v>3539</v>
      </c>
      <c r="K1086" s="90">
        <v>45.0</v>
      </c>
      <c r="L1086" s="92"/>
      <c r="M1086" s="93"/>
      <c r="N1086" s="87" t="s">
        <v>474</v>
      </c>
      <c r="O1086" s="87" t="s">
        <v>377</v>
      </c>
      <c r="P1086" s="87" t="s">
        <v>372</v>
      </c>
    </row>
    <row r="1087" ht="15.75" customHeight="1">
      <c r="A1087" s="87" t="s">
        <v>3540</v>
      </c>
      <c r="B1087" s="88">
        <v>1.22E18</v>
      </c>
      <c r="C1087" s="87" t="s">
        <v>3541</v>
      </c>
      <c r="D1087" s="87" t="s">
        <v>87</v>
      </c>
      <c r="E1087" s="87" t="s">
        <v>102</v>
      </c>
      <c r="F1087" s="87" t="s">
        <v>1763</v>
      </c>
      <c r="H1087" s="87" t="s">
        <v>1878</v>
      </c>
      <c r="I1087" s="93"/>
      <c r="J1087" s="87" t="s">
        <v>3539</v>
      </c>
      <c r="K1087" s="90">
        <v>39.0</v>
      </c>
      <c r="L1087" s="92"/>
      <c r="M1087" s="93"/>
      <c r="N1087" s="87" t="s">
        <v>474</v>
      </c>
      <c r="O1087" s="87" t="s">
        <v>377</v>
      </c>
      <c r="P1087" s="87" t="s">
        <v>372</v>
      </c>
    </row>
    <row r="1088" ht="15.75" customHeight="1">
      <c r="A1088" s="87" t="s">
        <v>3542</v>
      </c>
      <c r="B1088" s="88">
        <v>1.22E18</v>
      </c>
      <c r="C1088" s="87" t="s">
        <v>3543</v>
      </c>
      <c r="D1088" s="87" t="s">
        <v>262</v>
      </c>
      <c r="E1088" s="87" t="s">
        <v>267</v>
      </c>
      <c r="F1088" s="118" t="s">
        <v>3543</v>
      </c>
      <c r="G1088" s="119"/>
      <c r="H1088" s="87" t="s">
        <v>3544</v>
      </c>
      <c r="I1088" s="87" t="s">
        <v>58</v>
      </c>
      <c r="J1088" s="87" t="s">
        <v>3545</v>
      </c>
      <c r="K1088" s="90">
        <v>0.0</v>
      </c>
      <c r="L1088" s="92"/>
      <c r="M1088" s="93"/>
      <c r="N1088" s="87" t="s">
        <v>2345</v>
      </c>
      <c r="O1088" s="87" t="s">
        <v>377</v>
      </c>
      <c r="P1088" s="87" t="s">
        <v>372</v>
      </c>
    </row>
    <row r="1089" ht="15.75" customHeight="1">
      <c r="A1089" s="87" t="s">
        <v>3546</v>
      </c>
      <c r="B1089" s="88">
        <v>1.22E18</v>
      </c>
      <c r="C1089" s="87" t="s">
        <v>3547</v>
      </c>
      <c r="D1089" s="87" t="s">
        <v>262</v>
      </c>
      <c r="E1089" s="87" t="s">
        <v>267</v>
      </c>
      <c r="F1089" s="87" t="s">
        <v>3547</v>
      </c>
      <c r="H1089" s="87" t="s">
        <v>3544</v>
      </c>
      <c r="I1089" s="87" t="s">
        <v>58</v>
      </c>
      <c r="J1089" s="87" t="s">
        <v>3548</v>
      </c>
      <c r="K1089" s="90">
        <v>0.0</v>
      </c>
      <c r="L1089" s="92"/>
      <c r="M1089" s="93"/>
      <c r="N1089" s="87" t="s">
        <v>2345</v>
      </c>
      <c r="O1089" s="87" t="s">
        <v>377</v>
      </c>
      <c r="P1089" s="87" t="s">
        <v>372</v>
      </c>
    </row>
    <row r="1090" ht="15.75" customHeight="1">
      <c r="A1090" s="87" t="s">
        <v>3549</v>
      </c>
      <c r="B1090" s="88">
        <v>1.22E18</v>
      </c>
      <c r="C1090" s="87" t="s">
        <v>3550</v>
      </c>
      <c r="D1090" s="87" t="s">
        <v>262</v>
      </c>
      <c r="E1090" s="87" t="s">
        <v>267</v>
      </c>
      <c r="F1090" s="87" t="s">
        <v>3550</v>
      </c>
      <c r="H1090" s="87" t="s">
        <v>3551</v>
      </c>
      <c r="I1090" s="87" t="s">
        <v>58</v>
      </c>
      <c r="J1090" s="87" t="s">
        <v>3552</v>
      </c>
      <c r="K1090" s="90">
        <v>0.0</v>
      </c>
      <c r="L1090" s="92"/>
      <c r="M1090" s="93"/>
      <c r="N1090" s="87" t="s">
        <v>2345</v>
      </c>
      <c r="O1090" s="87" t="s">
        <v>377</v>
      </c>
      <c r="P1090" s="87" t="s">
        <v>372</v>
      </c>
    </row>
    <row r="1091" ht="15.75" customHeight="1">
      <c r="A1091" s="87" t="s">
        <v>3553</v>
      </c>
      <c r="B1091" s="88">
        <v>1.22E18</v>
      </c>
      <c r="C1091" s="87" t="s">
        <v>3554</v>
      </c>
      <c r="D1091" s="87" t="s">
        <v>262</v>
      </c>
      <c r="E1091" s="87" t="s">
        <v>267</v>
      </c>
      <c r="F1091" s="118" t="s">
        <v>3554</v>
      </c>
      <c r="G1091" s="119"/>
      <c r="H1091" s="87" t="s">
        <v>3555</v>
      </c>
      <c r="I1091" s="87" t="s">
        <v>58</v>
      </c>
      <c r="J1091" s="87" t="s">
        <v>3556</v>
      </c>
      <c r="K1091" s="90">
        <v>0.0</v>
      </c>
      <c r="L1091" s="92"/>
      <c r="M1091" s="93"/>
      <c r="N1091" s="87" t="s">
        <v>2345</v>
      </c>
      <c r="O1091" s="87" t="s">
        <v>377</v>
      </c>
      <c r="P1091" s="87" t="s">
        <v>372</v>
      </c>
    </row>
    <row r="1092" ht="15.75" customHeight="1">
      <c r="A1092" s="87" t="s">
        <v>3557</v>
      </c>
      <c r="B1092" s="88">
        <v>1.22E18</v>
      </c>
      <c r="C1092" s="87" t="s">
        <v>3558</v>
      </c>
      <c r="D1092" s="87" t="s">
        <v>262</v>
      </c>
      <c r="E1092" s="87" t="s">
        <v>267</v>
      </c>
      <c r="F1092" s="118" t="s">
        <v>3558</v>
      </c>
      <c r="G1092" s="119"/>
      <c r="H1092" s="87" t="s">
        <v>3544</v>
      </c>
      <c r="I1092" s="87" t="s">
        <v>58</v>
      </c>
      <c r="J1092" s="87" t="s">
        <v>3559</v>
      </c>
      <c r="K1092" s="90">
        <v>0.0</v>
      </c>
      <c r="L1092" s="92"/>
      <c r="M1092" s="93"/>
      <c r="N1092" s="87" t="s">
        <v>2345</v>
      </c>
      <c r="O1092" s="87" t="s">
        <v>377</v>
      </c>
      <c r="P1092" s="87" t="s">
        <v>372</v>
      </c>
    </row>
    <row r="1093" ht="15.75" customHeight="1">
      <c r="A1093" s="87" t="s">
        <v>3560</v>
      </c>
      <c r="B1093" s="88">
        <v>1.22E18</v>
      </c>
      <c r="C1093" s="87" t="s">
        <v>3561</v>
      </c>
      <c r="D1093" s="87" t="s">
        <v>262</v>
      </c>
      <c r="E1093" s="87" t="s">
        <v>267</v>
      </c>
      <c r="F1093" s="118" t="s">
        <v>3561</v>
      </c>
      <c r="G1093" s="119"/>
      <c r="H1093" s="87" t="s">
        <v>3555</v>
      </c>
      <c r="I1093" s="87" t="s">
        <v>58</v>
      </c>
      <c r="J1093" s="87" t="s">
        <v>3562</v>
      </c>
      <c r="K1093" s="90">
        <v>0.0</v>
      </c>
      <c r="L1093" s="92"/>
      <c r="M1093" s="93"/>
      <c r="N1093" s="87" t="s">
        <v>2345</v>
      </c>
      <c r="O1093" s="87" t="s">
        <v>377</v>
      </c>
      <c r="P1093" s="87" t="s">
        <v>372</v>
      </c>
    </row>
    <row r="1094" ht="15.75" customHeight="1">
      <c r="A1094" s="87" t="s">
        <v>3563</v>
      </c>
      <c r="B1094" s="88">
        <v>1.22E18</v>
      </c>
      <c r="C1094" s="87" t="s">
        <v>3564</v>
      </c>
      <c r="D1094" s="87" t="s">
        <v>262</v>
      </c>
      <c r="E1094" s="87" t="s">
        <v>267</v>
      </c>
      <c r="F1094" s="118" t="s">
        <v>3564</v>
      </c>
      <c r="G1094" s="119"/>
      <c r="H1094" s="87" t="s">
        <v>3565</v>
      </c>
      <c r="I1094" s="87" t="s">
        <v>58</v>
      </c>
      <c r="J1094" s="87" t="s">
        <v>3566</v>
      </c>
      <c r="K1094" s="90">
        <v>0.0</v>
      </c>
      <c r="L1094" s="92"/>
      <c r="M1094" s="93"/>
      <c r="N1094" s="87" t="s">
        <v>2345</v>
      </c>
      <c r="O1094" s="87" t="s">
        <v>377</v>
      </c>
      <c r="P1094" s="87" t="s">
        <v>372</v>
      </c>
    </row>
    <row r="1095" ht="15.75" customHeight="1">
      <c r="A1095" s="87" t="s">
        <v>3567</v>
      </c>
      <c r="B1095" s="88">
        <v>1.22E18</v>
      </c>
      <c r="C1095" s="87" t="s">
        <v>3568</v>
      </c>
      <c r="D1095" s="87" t="s">
        <v>262</v>
      </c>
      <c r="E1095" s="87" t="s">
        <v>267</v>
      </c>
      <c r="F1095" s="118" t="s">
        <v>3568</v>
      </c>
      <c r="G1095" s="119"/>
      <c r="H1095" s="87" t="s">
        <v>3569</v>
      </c>
      <c r="I1095" s="87" t="s">
        <v>58</v>
      </c>
      <c r="J1095" s="87" t="s">
        <v>3570</v>
      </c>
      <c r="K1095" s="90">
        <v>0.0</v>
      </c>
      <c r="L1095" s="92"/>
      <c r="M1095" s="93"/>
      <c r="N1095" s="87" t="s">
        <v>2345</v>
      </c>
      <c r="O1095" s="87" t="s">
        <v>377</v>
      </c>
      <c r="P1095" s="87" t="s">
        <v>372</v>
      </c>
    </row>
    <row r="1096" ht="15.75" customHeight="1">
      <c r="A1096" s="87" t="s">
        <v>3571</v>
      </c>
      <c r="B1096" s="88">
        <v>1.22E18</v>
      </c>
      <c r="C1096" s="87" t="s">
        <v>3572</v>
      </c>
      <c r="D1096" s="87" t="s">
        <v>262</v>
      </c>
      <c r="E1096" s="87" t="s">
        <v>267</v>
      </c>
      <c r="F1096" s="118" t="s">
        <v>3572</v>
      </c>
      <c r="G1096" s="119"/>
      <c r="H1096" s="87" t="s">
        <v>3573</v>
      </c>
      <c r="I1096" s="87" t="s">
        <v>58</v>
      </c>
      <c r="J1096" s="87" t="s">
        <v>3574</v>
      </c>
      <c r="K1096" s="90">
        <v>0.0</v>
      </c>
      <c r="L1096" s="92"/>
      <c r="M1096" s="93"/>
      <c r="N1096" s="87" t="s">
        <v>2345</v>
      </c>
      <c r="O1096" s="87" t="s">
        <v>377</v>
      </c>
      <c r="P1096" s="87" t="s">
        <v>372</v>
      </c>
    </row>
    <row r="1097" ht="15.75" customHeight="1">
      <c r="A1097" s="87" t="s">
        <v>3575</v>
      </c>
      <c r="B1097" s="88">
        <v>1.22E18</v>
      </c>
      <c r="C1097" s="87" t="s">
        <v>3576</v>
      </c>
      <c r="D1097" s="87" t="s">
        <v>262</v>
      </c>
      <c r="E1097" s="87" t="s">
        <v>267</v>
      </c>
      <c r="F1097" s="118" t="s">
        <v>3576</v>
      </c>
      <c r="G1097" s="119"/>
      <c r="H1097" s="87" t="s">
        <v>3569</v>
      </c>
      <c r="I1097" s="87" t="s">
        <v>58</v>
      </c>
      <c r="J1097" s="87" t="s">
        <v>3577</v>
      </c>
      <c r="K1097" s="90">
        <v>0.0</v>
      </c>
      <c r="L1097" s="92"/>
      <c r="M1097" s="93"/>
      <c r="N1097" s="87" t="s">
        <v>2345</v>
      </c>
      <c r="O1097" s="87" t="s">
        <v>377</v>
      </c>
      <c r="P1097" s="87" t="s">
        <v>372</v>
      </c>
    </row>
    <row r="1098" ht="15.75" customHeight="1">
      <c r="A1098" s="87" t="s">
        <v>3578</v>
      </c>
      <c r="B1098" s="88">
        <v>1.22E18</v>
      </c>
      <c r="C1098" s="87" t="s">
        <v>3579</v>
      </c>
      <c r="D1098" s="87" t="s">
        <v>262</v>
      </c>
      <c r="E1098" s="87" t="s">
        <v>267</v>
      </c>
      <c r="F1098" s="118" t="s">
        <v>3579</v>
      </c>
      <c r="G1098" s="119"/>
      <c r="H1098" s="87" t="s">
        <v>3555</v>
      </c>
      <c r="I1098" s="87" t="s">
        <v>58</v>
      </c>
      <c r="J1098" s="87" t="s">
        <v>1991</v>
      </c>
      <c r="K1098" s="90">
        <v>0.0</v>
      </c>
      <c r="L1098" s="92"/>
      <c r="M1098" s="93"/>
      <c r="N1098" s="87" t="s">
        <v>2345</v>
      </c>
      <c r="O1098" s="87" t="s">
        <v>377</v>
      </c>
      <c r="P1098" s="87" t="s">
        <v>372</v>
      </c>
    </row>
    <row r="1099" ht="15.75" customHeight="1">
      <c r="A1099" s="87" t="s">
        <v>3580</v>
      </c>
      <c r="B1099" s="88">
        <v>1.22E18</v>
      </c>
      <c r="C1099" s="87" t="s">
        <v>3581</v>
      </c>
      <c r="D1099" s="87" t="s">
        <v>262</v>
      </c>
      <c r="E1099" s="87" t="s">
        <v>267</v>
      </c>
      <c r="F1099" s="118" t="s">
        <v>3581</v>
      </c>
      <c r="G1099" s="119"/>
      <c r="H1099" s="87" t="s">
        <v>3582</v>
      </c>
      <c r="I1099" s="87" t="s">
        <v>58</v>
      </c>
      <c r="J1099" s="87" t="s">
        <v>3583</v>
      </c>
      <c r="K1099" s="90">
        <v>0.0</v>
      </c>
      <c r="L1099" s="92"/>
      <c r="M1099" s="93"/>
      <c r="N1099" s="87" t="s">
        <v>2345</v>
      </c>
      <c r="O1099" s="87" t="s">
        <v>377</v>
      </c>
      <c r="P1099" s="87" t="s">
        <v>372</v>
      </c>
    </row>
    <row r="1100" ht="15.75" customHeight="1">
      <c r="A1100" s="87" t="s">
        <v>3584</v>
      </c>
      <c r="B1100" s="88">
        <v>1.22E18</v>
      </c>
      <c r="C1100" s="87" t="s">
        <v>3585</v>
      </c>
      <c r="D1100" s="87" t="s">
        <v>262</v>
      </c>
      <c r="E1100" s="87" t="s">
        <v>267</v>
      </c>
      <c r="F1100" s="118" t="s">
        <v>3585</v>
      </c>
      <c r="G1100" s="119"/>
      <c r="H1100" s="87" t="s">
        <v>3586</v>
      </c>
      <c r="I1100" s="87" t="s">
        <v>58</v>
      </c>
      <c r="J1100" s="87" t="s">
        <v>3587</v>
      </c>
      <c r="K1100" s="90">
        <v>0.0</v>
      </c>
      <c r="L1100" s="92"/>
      <c r="M1100" s="93"/>
      <c r="N1100" s="87" t="s">
        <v>2345</v>
      </c>
      <c r="O1100" s="87" t="s">
        <v>377</v>
      </c>
      <c r="P1100" s="87" t="s">
        <v>372</v>
      </c>
    </row>
    <row r="1101" ht="15.75" customHeight="1">
      <c r="A1101" s="87" t="s">
        <v>3588</v>
      </c>
      <c r="B1101" s="88">
        <v>1.22E18</v>
      </c>
      <c r="C1101" s="87" t="s">
        <v>3589</v>
      </c>
      <c r="D1101" s="87" t="s">
        <v>262</v>
      </c>
      <c r="E1101" s="87" t="s">
        <v>267</v>
      </c>
      <c r="F1101" s="118" t="s">
        <v>3589</v>
      </c>
      <c r="G1101" s="119"/>
      <c r="H1101" s="87" t="s">
        <v>3586</v>
      </c>
      <c r="I1101" s="87" t="s">
        <v>58</v>
      </c>
      <c r="J1101" s="87" t="s">
        <v>3590</v>
      </c>
      <c r="K1101" s="90">
        <v>0.0</v>
      </c>
      <c r="L1101" s="92"/>
      <c r="M1101" s="93"/>
      <c r="N1101" s="87" t="s">
        <v>2345</v>
      </c>
      <c r="O1101" s="87" t="s">
        <v>377</v>
      </c>
      <c r="P1101" s="87" t="s">
        <v>372</v>
      </c>
    </row>
    <row r="1102" ht="15.75" customHeight="1">
      <c r="A1102" s="87" t="s">
        <v>3591</v>
      </c>
      <c r="B1102" s="88">
        <v>1.22E18</v>
      </c>
      <c r="C1102" s="87" t="s">
        <v>3592</v>
      </c>
      <c r="D1102" s="87" t="s">
        <v>262</v>
      </c>
      <c r="E1102" s="87" t="s">
        <v>267</v>
      </c>
      <c r="F1102" s="118" t="s">
        <v>3592</v>
      </c>
      <c r="G1102" s="119"/>
      <c r="H1102" s="87" t="s">
        <v>3569</v>
      </c>
      <c r="I1102" s="87" t="s">
        <v>58</v>
      </c>
      <c r="J1102" s="87" t="s">
        <v>3593</v>
      </c>
      <c r="K1102" s="90">
        <v>0.0</v>
      </c>
      <c r="L1102" s="92"/>
      <c r="M1102" s="93"/>
      <c r="N1102" s="87" t="s">
        <v>2345</v>
      </c>
      <c r="O1102" s="87" t="s">
        <v>377</v>
      </c>
      <c r="P1102" s="87" t="s">
        <v>372</v>
      </c>
    </row>
    <row r="1103" ht="15.75" customHeight="1">
      <c r="A1103" s="87" t="s">
        <v>3594</v>
      </c>
      <c r="B1103" s="88">
        <v>1.22E18</v>
      </c>
      <c r="C1103" s="87" t="s">
        <v>3595</v>
      </c>
      <c r="D1103" s="87" t="s">
        <v>262</v>
      </c>
      <c r="E1103" s="87" t="s">
        <v>267</v>
      </c>
      <c r="F1103" s="118" t="s">
        <v>3595</v>
      </c>
      <c r="G1103" s="119"/>
      <c r="H1103" s="87" t="s">
        <v>3596</v>
      </c>
      <c r="I1103" s="87" t="s">
        <v>58</v>
      </c>
      <c r="J1103" s="87" t="s">
        <v>3597</v>
      </c>
      <c r="K1103" s="90">
        <v>0.0</v>
      </c>
      <c r="L1103" s="92"/>
      <c r="M1103" s="93"/>
      <c r="N1103" s="87" t="s">
        <v>2345</v>
      </c>
      <c r="O1103" s="87" t="s">
        <v>377</v>
      </c>
      <c r="P1103" s="87" t="s">
        <v>372</v>
      </c>
    </row>
    <row r="1104" ht="15.75" customHeight="1">
      <c r="A1104" s="87" t="s">
        <v>3598</v>
      </c>
      <c r="B1104" s="88">
        <v>1.22E18</v>
      </c>
      <c r="C1104" s="87" t="s">
        <v>3599</v>
      </c>
      <c r="D1104" s="87" t="s">
        <v>262</v>
      </c>
      <c r="E1104" s="87" t="s">
        <v>267</v>
      </c>
      <c r="F1104" s="118" t="s">
        <v>3599</v>
      </c>
      <c r="G1104" s="119"/>
      <c r="H1104" s="87" t="s">
        <v>3586</v>
      </c>
      <c r="I1104" s="87" t="s">
        <v>58</v>
      </c>
      <c r="J1104" s="87" t="s">
        <v>3600</v>
      </c>
      <c r="K1104" s="90">
        <v>0.0</v>
      </c>
      <c r="L1104" s="92"/>
      <c r="M1104" s="93"/>
      <c r="N1104" s="87" t="s">
        <v>2345</v>
      </c>
      <c r="O1104" s="87" t="s">
        <v>377</v>
      </c>
      <c r="P1104" s="87" t="s">
        <v>372</v>
      </c>
    </row>
    <row r="1105" ht="15.75" customHeight="1">
      <c r="A1105" s="87" t="s">
        <v>3601</v>
      </c>
      <c r="B1105" s="88">
        <v>1.22E18</v>
      </c>
      <c r="C1105" s="87" t="s">
        <v>3602</v>
      </c>
      <c r="D1105" s="87" t="s">
        <v>262</v>
      </c>
      <c r="E1105" s="87" t="s">
        <v>267</v>
      </c>
      <c r="F1105" s="87" t="s">
        <v>3602</v>
      </c>
      <c r="H1105" s="87" t="s">
        <v>3603</v>
      </c>
      <c r="I1105" s="87" t="s">
        <v>58</v>
      </c>
      <c r="J1105" s="87" t="s">
        <v>3604</v>
      </c>
      <c r="K1105" s="90">
        <v>0.0</v>
      </c>
      <c r="L1105" s="92"/>
      <c r="M1105" s="93"/>
      <c r="N1105" s="87" t="s">
        <v>2345</v>
      </c>
      <c r="O1105" s="87" t="s">
        <v>377</v>
      </c>
      <c r="P1105" s="87" t="s">
        <v>372</v>
      </c>
    </row>
    <row r="1106" ht="15.75" customHeight="1">
      <c r="A1106" s="87" t="s">
        <v>3605</v>
      </c>
      <c r="B1106" s="88">
        <v>1.22E18</v>
      </c>
      <c r="C1106" s="87" t="s">
        <v>3606</v>
      </c>
      <c r="D1106" s="87" t="s">
        <v>262</v>
      </c>
      <c r="E1106" s="87" t="s">
        <v>267</v>
      </c>
      <c r="F1106" s="87" t="s">
        <v>3606</v>
      </c>
      <c r="H1106" s="87" t="s">
        <v>3603</v>
      </c>
      <c r="I1106" s="87" t="s">
        <v>58</v>
      </c>
      <c r="J1106" s="87" t="s">
        <v>3607</v>
      </c>
      <c r="K1106" s="90">
        <v>0.0</v>
      </c>
      <c r="L1106" s="92"/>
      <c r="M1106" s="93"/>
      <c r="N1106" s="87" t="s">
        <v>2345</v>
      </c>
      <c r="O1106" s="87" t="s">
        <v>377</v>
      </c>
      <c r="P1106" s="87" t="s">
        <v>372</v>
      </c>
    </row>
    <row r="1107" ht="15.75" customHeight="1">
      <c r="A1107" s="87" t="s">
        <v>3608</v>
      </c>
      <c r="B1107" s="88">
        <v>1.22E18</v>
      </c>
      <c r="C1107" s="87" t="s">
        <v>3609</v>
      </c>
      <c r="D1107" s="87" t="s">
        <v>262</v>
      </c>
      <c r="E1107" s="87" t="s">
        <v>267</v>
      </c>
      <c r="F1107" s="118" t="s">
        <v>3609</v>
      </c>
      <c r="G1107" s="119"/>
      <c r="H1107" s="87" t="s">
        <v>3603</v>
      </c>
      <c r="I1107" s="87" t="s">
        <v>58</v>
      </c>
      <c r="J1107" s="87" t="s">
        <v>3610</v>
      </c>
      <c r="K1107" s="90">
        <v>0.0</v>
      </c>
      <c r="L1107" s="92"/>
      <c r="M1107" s="93"/>
      <c r="N1107" s="87" t="s">
        <v>2345</v>
      </c>
      <c r="O1107" s="87" t="s">
        <v>377</v>
      </c>
      <c r="P1107" s="87" t="s">
        <v>372</v>
      </c>
    </row>
    <row r="1108" ht="15.75" customHeight="1">
      <c r="A1108" s="87" t="s">
        <v>3611</v>
      </c>
      <c r="B1108" s="88">
        <v>1.22E18</v>
      </c>
      <c r="C1108" s="87" t="s">
        <v>3612</v>
      </c>
      <c r="D1108" s="87" t="s">
        <v>262</v>
      </c>
      <c r="E1108" s="87" t="s">
        <v>267</v>
      </c>
      <c r="F1108" s="87" t="s">
        <v>3612</v>
      </c>
      <c r="H1108" s="87" t="s">
        <v>3613</v>
      </c>
      <c r="I1108" s="87" t="s">
        <v>58</v>
      </c>
      <c r="J1108" s="87" t="s">
        <v>3614</v>
      </c>
      <c r="K1108" s="90">
        <v>0.0</v>
      </c>
      <c r="L1108" s="92"/>
      <c r="M1108" s="93"/>
      <c r="N1108" s="87" t="s">
        <v>2345</v>
      </c>
      <c r="O1108" s="87" t="s">
        <v>377</v>
      </c>
      <c r="P1108" s="87" t="s">
        <v>372</v>
      </c>
    </row>
    <row r="1109" ht="15.75" customHeight="1">
      <c r="A1109" s="87" t="s">
        <v>3615</v>
      </c>
      <c r="B1109" s="88">
        <v>1.22E18</v>
      </c>
      <c r="C1109" s="87" t="s">
        <v>3616</v>
      </c>
      <c r="D1109" s="87" t="s">
        <v>262</v>
      </c>
      <c r="E1109" s="87" t="s">
        <v>267</v>
      </c>
      <c r="F1109" s="118" t="s">
        <v>3616</v>
      </c>
      <c r="G1109" s="119"/>
      <c r="H1109" s="87" t="s">
        <v>3617</v>
      </c>
      <c r="I1109" s="87" t="s">
        <v>58</v>
      </c>
      <c r="J1109" s="87" t="s">
        <v>3618</v>
      </c>
      <c r="K1109" s="90">
        <v>0.0</v>
      </c>
      <c r="L1109" s="92"/>
      <c r="M1109" s="93"/>
      <c r="N1109" s="87" t="s">
        <v>2345</v>
      </c>
      <c r="O1109" s="87" t="s">
        <v>377</v>
      </c>
      <c r="P1109" s="87" t="s">
        <v>372</v>
      </c>
    </row>
    <row r="1110" ht="15.75" customHeight="1">
      <c r="A1110" s="87" t="s">
        <v>3619</v>
      </c>
      <c r="B1110" s="88">
        <v>1.22E18</v>
      </c>
      <c r="C1110" s="87" t="s">
        <v>3620</v>
      </c>
      <c r="D1110" s="87" t="s">
        <v>262</v>
      </c>
      <c r="E1110" s="87" t="s">
        <v>270</v>
      </c>
      <c r="F1110" s="87" t="s">
        <v>3620</v>
      </c>
      <c r="I1110" s="87" t="s">
        <v>58</v>
      </c>
      <c r="J1110" s="87" t="s">
        <v>3621</v>
      </c>
      <c r="K1110" s="90">
        <v>0.0</v>
      </c>
      <c r="L1110" s="92"/>
      <c r="M1110" s="93"/>
      <c r="N1110" s="87" t="s">
        <v>3622</v>
      </c>
      <c r="O1110" s="87" t="s">
        <v>377</v>
      </c>
      <c r="P1110" s="87" t="s">
        <v>372</v>
      </c>
    </row>
    <row r="1111" ht="15.75" customHeight="1">
      <c r="A1111" s="87" t="s">
        <v>3623</v>
      </c>
      <c r="B1111" s="88">
        <v>1.22E18</v>
      </c>
      <c r="C1111" s="87" t="s">
        <v>3624</v>
      </c>
      <c r="D1111" s="87" t="s">
        <v>262</v>
      </c>
      <c r="E1111" s="87" t="s">
        <v>270</v>
      </c>
      <c r="F1111" s="118" t="s">
        <v>3624</v>
      </c>
      <c r="G1111" s="119"/>
      <c r="H1111" s="87" t="s">
        <v>2315</v>
      </c>
      <c r="I1111" s="87" t="s">
        <v>58</v>
      </c>
      <c r="J1111" s="87" t="s">
        <v>3625</v>
      </c>
      <c r="K1111" s="90">
        <v>0.0</v>
      </c>
      <c r="L1111" s="92"/>
      <c r="M1111" s="93"/>
      <c r="N1111" s="87" t="s">
        <v>2315</v>
      </c>
      <c r="O1111" s="87" t="s">
        <v>377</v>
      </c>
      <c r="P1111" s="87" t="s">
        <v>372</v>
      </c>
    </row>
    <row r="1112" ht="15.75" customHeight="1">
      <c r="A1112" s="87" t="s">
        <v>3626</v>
      </c>
      <c r="B1112" s="88">
        <v>1.22E18</v>
      </c>
      <c r="C1112" s="87" t="s">
        <v>3627</v>
      </c>
      <c r="D1112" s="87" t="s">
        <v>262</v>
      </c>
      <c r="E1112" s="87" t="s">
        <v>270</v>
      </c>
      <c r="F1112" s="118" t="s">
        <v>3627</v>
      </c>
      <c r="G1112" s="130"/>
      <c r="H1112" s="119"/>
      <c r="I1112" s="87" t="s">
        <v>58</v>
      </c>
      <c r="J1112" s="87" t="s">
        <v>3625</v>
      </c>
      <c r="K1112" s="90">
        <v>0.0</v>
      </c>
      <c r="L1112" s="92"/>
      <c r="M1112" s="93"/>
      <c r="N1112" s="87" t="s">
        <v>2315</v>
      </c>
      <c r="O1112" s="87" t="s">
        <v>377</v>
      </c>
      <c r="P1112" s="87" t="s">
        <v>372</v>
      </c>
    </row>
    <row r="1113" ht="15.75" customHeight="1">
      <c r="A1113" s="87" t="s">
        <v>3628</v>
      </c>
      <c r="B1113" s="88">
        <v>1.22E18</v>
      </c>
      <c r="C1113" s="87" t="s">
        <v>3629</v>
      </c>
      <c r="D1113" s="87" t="s">
        <v>87</v>
      </c>
      <c r="E1113" s="87" t="s">
        <v>88</v>
      </c>
      <c r="F1113" s="87" t="s">
        <v>3629</v>
      </c>
      <c r="I1113" s="87" t="s">
        <v>58</v>
      </c>
      <c r="J1113" s="87" t="s">
        <v>3630</v>
      </c>
      <c r="K1113" s="90">
        <v>0.0</v>
      </c>
      <c r="L1113" s="92"/>
      <c r="M1113" s="93"/>
      <c r="N1113" s="87" t="s">
        <v>3631</v>
      </c>
      <c r="O1113" s="87" t="s">
        <v>377</v>
      </c>
      <c r="P1113" s="87" t="s">
        <v>372</v>
      </c>
    </row>
    <row r="1114" ht="15.75" customHeight="1">
      <c r="A1114" s="87" t="s">
        <v>3632</v>
      </c>
      <c r="B1114" s="88">
        <v>1.22E18</v>
      </c>
      <c r="C1114" s="87" t="s">
        <v>3633</v>
      </c>
      <c r="D1114" s="87" t="s">
        <v>57</v>
      </c>
      <c r="E1114" s="87" t="s">
        <v>287</v>
      </c>
      <c r="F1114" s="87" t="s">
        <v>415</v>
      </c>
      <c r="G1114" s="93"/>
      <c r="H1114" s="93"/>
      <c r="I1114" s="87" t="s">
        <v>58</v>
      </c>
      <c r="J1114" s="87" t="s">
        <v>3634</v>
      </c>
      <c r="K1114" s="90">
        <v>3.0</v>
      </c>
      <c r="L1114" s="92"/>
      <c r="M1114" s="93"/>
      <c r="N1114" s="87" t="s">
        <v>1772</v>
      </c>
      <c r="O1114" s="87" t="s">
        <v>377</v>
      </c>
      <c r="P1114" s="87" t="s">
        <v>372</v>
      </c>
    </row>
    <row r="1115" ht="15.75" customHeight="1">
      <c r="A1115" s="87" t="s">
        <v>3635</v>
      </c>
      <c r="B1115" s="88">
        <v>1.22E18</v>
      </c>
      <c r="C1115" s="87" t="s">
        <v>3636</v>
      </c>
      <c r="D1115" s="87" t="s">
        <v>57</v>
      </c>
      <c r="E1115" s="87" t="s">
        <v>281</v>
      </c>
      <c r="F1115" s="87" t="s">
        <v>3636</v>
      </c>
      <c r="I1115" s="87" t="s">
        <v>58</v>
      </c>
      <c r="J1115" s="87" t="s">
        <v>3637</v>
      </c>
      <c r="K1115" s="90">
        <v>0.0</v>
      </c>
      <c r="L1115" s="92"/>
      <c r="M1115" s="93"/>
      <c r="N1115" s="87" t="s">
        <v>1772</v>
      </c>
      <c r="O1115" s="87" t="s">
        <v>377</v>
      </c>
      <c r="P1115" s="87" t="s">
        <v>372</v>
      </c>
    </row>
    <row r="1116" ht="15.75" customHeight="1">
      <c r="A1116" s="87" t="s">
        <v>3638</v>
      </c>
      <c r="B1116" s="88">
        <v>1.22E18</v>
      </c>
      <c r="C1116" s="87" t="s">
        <v>3639</v>
      </c>
      <c r="D1116" s="87" t="s">
        <v>87</v>
      </c>
      <c r="E1116" s="87" t="s">
        <v>88</v>
      </c>
      <c r="F1116" s="87" t="s">
        <v>3639</v>
      </c>
      <c r="I1116" s="87" t="s">
        <v>58</v>
      </c>
      <c r="J1116" s="87" t="s">
        <v>3640</v>
      </c>
      <c r="K1116" s="90">
        <v>0.0</v>
      </c>
      <c r="L1116" s="92"/>
      <c r="M1116" s="93"/>
      <c r="N1116" s="87" t="s">
        <v>1772</v>
      </c>
      <c r="O1116" s="87" t="s">
        <v>377</v>
      </c>
      <c r="P1116" s="87" t="s">
        <v>372</v>
      </c>
    </row>
    <row r="1117" ht="15.75" customHeight="1">
      <c r="A1117" s="87" t="s">
        <v>3641</v>
      </c>
      <c r="B1117" s="88">
        <v>1.22E18</v>
      </c>
      <c r="C1117" s="87" t="s">
        <v>3642</v>
      </c>
      <c r="D1117" s="87" t="s">
        <v>57</v>
      </c>
      <c r="E1117" s="87" t="s">
        <v>281</v>
      </c>
      <c r="F1117" s="118" t="s">
        <v>3642</v>
      </c>
      <c r="G1117" s="130"/>
      <c r="H1117" s="119"/>
      <c r="I1117" s="87" t="s">
        <v>58</v>
      </c>
      <c r="J1117" s="87" t="s">
        <v>3643</v>
      </c>
      <c r="K1117" s="90">
        <v>0.0</v>
      </c>
      <c r="L1117" s="92"/>
      <c r="M1117" s="93"/>
      <c r="N1117" s="87" t="s">
        <v>1772</v>
      </c>
      <c r="O1117" s="87" t="s">
        <v>377</v>
      </c>
      <c r="P1117" s="87" t="s">
        <v>372</v>
      </c>
    </row>
    <row r="1118" ht="15.75" customHeight="1">
      <c r="A1118" s="87" t="s">
        <v>3644</v>
      </c>
      <c r="B1118" s="88">
        <v>1.22E18</v>
      </c>
      <c r="C1118" s="87" t="s">
        <v>3645</v>
      </c>
      <c r="D1118" s="87" t="s">
        <v>262</v>
      </c>
      <c r="E1118" s="87" t="s">
        <v>270</v>
      </c>
      <c r="F1118" s="87" t="s">
        <v>1749</v>
      </c>
      <c r="H1118" s="93"/>
      <c r="I1118" s="87" t="s">
        <v>58</v>
      </c>
      <c r="J1118" s="87" t="s">
        <v>3646</v>
      </c>
      <c r="K1118" s="90">
        <v>0.0</v>
      </c>
      <c r="L1118" s="92"/>
      <c r="M1118" s="93"/>
      <c r="N1118" s="87" t="s">
        <v>1772</v>
      </c>
      <c r="O1118" s="87" t="s">
        <v>377</v>
      </c>
      <c r="P1118" s="87" t="s">
        <v>372</v>
      </c>
    </row>
    <row r="1119" ht="15.75" customHeight="1">
      <c r="A1119" s="87" t="s">
        <v>3647</v>
      </c>
      <c r="B1119" s="88">
        <v>1.22E18</v>
      </c>
      <c r="C1119" s="87" t="s">
        <v>3648</v>
      </c>
      <c r="D1119" s="87" t="s">
        <v>87</v>
      </c>
      <c r="E1119" s="87" t="s">
        <v>102</v>
      </c>
      <c r="F1119" s="118" t="s">
        <v>3648</v>
      </c>
      <c r="G1119" s="130"/>
      <c r="H1119" s="119"/>
      <c r="I1119" s="87" t="s">
        <v>58</v>
      </c>
      <c r="J1119" s="87" t="s">
        <v>3649</v>
      </c>
      <c r="K1119" s="90">
        <v>0.0</v>
      </c>
      <c r="L1119" s="92"/>
      <c r="M1119" s="93"/>
      <c r="N1119" s="87" t="s">
        <v>1772</v>
      </c>
      <c r="O1119" s="87" t="s">
        <v>377</v>
      </c>
      <c r="P1119" s="87" t="s">
        <v>372</v>
      </c>
    </row>
    <row r="1120" ht="15.75" customHeight="1">
      <c r="A1120" s="87" t="s">
        <v>3650</v>
      </c>
      <c r="B1120" s="88">
        <v>1.22E18</v>
      </c>
      <c r="C1120" s="87" t="s">
        <v>3651</v>
      </c>
      <c r="D1120" s="87" t="s">
        <v>262</v>
      </c>
      <c r="E1120" s="87" t="s">
        <v>270</v>
      </c>
      <c r="F1120" s="118" t="s">
        <v>3651</v>
      </c>
      <c r="G1120" s="130"/>
      <c r="H1120" s="119"/>
      <c r="I1120" s="87" t="s">
        <v>1742</v>
      </c>
      <c r="J1120" s="87" t="s">
        <v>3652</v>
      </c>
      <c r="K1120" s="90">
        <v>0.0</v>
      </c>
      <c r="L1120" s="92"/>
      <c r="M1120" s="93"/>
      <c r="N1120" s="87" t="s">
        <v>1772</v>
      </c>
      <c r="O1120" s="87" t="s">
        <v>377</v>
      </c>
      <c r="P1120" s="87" t="s">
        <v>372</v>
      </c>
    </row>
    <row r="1121" ht="15.75" customHeight="1">
      <c r="A1121" s="87" t="s">
        <v>3653</v>
      </c>
      <c r="B1121" s="88">
        <v>1.22E18</v>
      </c>
      <c r="C1121" s="87" t="s">
        <v>3654</v>
      </c>
      <c r="D1121" s="87" t="s">
        <v>262</v>
      </c>
      <c r="E1121" s="87" t="s">
        <v>270</v>
      </c>
      <c r="F1121" s="118" t="s">
        <v>3654</v>
      </c>
      <c r="G1121" s="130"/>
      <c r="H1121" s="119"/>
      <c r="I1121" s="87" t="s">
        <v>58</v>
      </c>
      <c r="J1121" s="87" t="s">
        <v>3655</v>
      </c>
      <c r="K1121" s="90">
        <v>0.0</v>
      </c>
      <c r="L1121" s="92"/>
      <c r="M1121" s="93"/>
      <c r="N1121" s="87" t="s">
        <v>1772</v>
      </c>
      <c r="O1121" s="87" t="s">
        <v>377</v>
      </c>
      <c r="P1121" s="87" t="s">
        <v>372</v>
      </c>
    </row>
    <row r="1122" ht="15.75" customHeight="1">
      <c r="A1122" s="87" t="s">
        <v>3656</v>
      </c>
      <c r="B1122" s="88">
        <v>1.22E18</v>
      </c>
      <c r="C1122" s="87" t="s">
        <v>3657</v>
      </c>
      <c r="D1122" s="87" t="s">
        <v>262</v>
      </c>
      <c r="E1122" s="87" t="s">
        <v>270</v>
      </c>
      <c r="F1122" s="118" t="s">
        <v>3657</v>
      </c>
      <c r="G1122" s="130"/>
      <c r="H1122" s="119"/>
      <c r="I1122" s="87" t="s">
        <v>2365</v>
      </c>
      <c r="J1122" s="87" t="s">
        <v>2957</v>
      </c>
      <c r="K1122" s="90">
        <v>0.0</v>
      </c>
      <c r="L1122" s="92"/>
      <c r="M1122" s="93"/>
      <c r="N1122" s="87" t="s">
        <v>1772</v>
      </c>
      <c r="O1122" s="87" t="s">
        <v>377</v>
      </c>
      <c r="P1122" s="87" t="s">
        <v>372</v>
      </c>
    </row>
    <row r="1123" ht="15.75" customHeight="1">
      <c r="A1123" s="87" t="s">
        <v>3658</v>
      </c>
      <c r="B1123" s="88">
        <v>1.22E18</v>
      </c>
      <c r="C1123" s="87" t="s">
        <v>3659</v>
      </c>
      <c r="D1123" s="87" t="s">
        <v>87</v>
      </c>
      <c r="E1123" s="87" t="s">
        <v>88</v>
      </c>
      <c r="F1123" s="118" t="s">
        <v>3659</v>
      </c>
      <c r="G1123" s="130"/>
      <c r="H1123" s="119"/>
      <c r="I1123" s="87" t="s">
        <v>58</v>
      </c>
      <c r="J1123" s="87" t="s">
        <v>3660</v>
      </c>
      <c r="K1123" s="90">
        <v>0.0</v>
      </c>
      <c r="L1123" s="92"/>
      <c r="M1123" s="93"/>
      <c r="N1123" s="87" t="s">
        <v>2835</v>
      </c>
      <c r="O1123" s="87" t="s">
        <v>377</v>
      </c>
      <c r="P1123" s="87" t="s">
        <v>372</v>
      </c>
    </row>
    <row r="1124" ht="15.75" customHeight="1">
      <c r="A1124" s="87" t="s">
        <v>3661</v>
      </c>
      <c r="B1124" s="88">
        <v>1.22E18</v>
      </c>
      <c r="C1124" s="87" t="s">
        <v>3662</v>
      </c>
      <c r="D1124" s="87" t="s">
        <v>262</v>
      </c>
      <c r="E1124" s="87" t="s">
        <v>267</v>
      </c>
      <c r="F1124" s="87" t="s">
        <v>3662</v>
      </c>
      <c r="H1124" s="87" t="s">
        <v>2364</v>
      </c>
      <c r="I1124" s="87" t="s">
        <v>58</v>
      </c>
      <c r="J1124" s="87" t="s">
        <v>3663</v>
      </c>
      <c r="K1124" s="90">
        <v>0.0</v>
      </c>
      <c r="L1124" s="92"/>
      <c r="M1124" s="93"/>
      <c r="N1124" s="87" t="s">
        <v>2364</v>
      </c>
      <c r="O1124" s="87" t="s">
        <v>377</v>
      </c>
      <c r="P1124" s="87" t="s">
        <v>372</v>
      </c>
    </row>
    <row r="1125" ht="15.75" customHeight="1">
      <c r="A1125" s="87" t="s">
        <v>3664</v>
      </c>
      <c r="B1125" s="88">
        <v>1.22E18</v>
      </c>
      <c r="C1125" s="87" t="s">
        <v>3665</v>
      </c>
      <c r="D1125" s="87" t="s">
        <v>87</v>
      </c>
      <c r="E1125" s="87" t="s">
        <v>88</v>
      </c>
      <c r="F1125" s="87" t="s">
        <v>3665</v>
      </c>
      <c r="H1125" s="93"/>
      <c r="I1125" s="87" t="s">
        <v>495</v>
      </c>
      <c r="J1125" s="87" t="s">
        <v>2050</v>
      </c>
      <c r="K1125" s="90">
        <v>80.0</v>
      </c>
      <c r="L1125" s="92"/>
      <c r="M1125" s="93"/>
      <c r="N1125" s="87" t="s">
        <v>497</v>
      </c>
      <c r="O1125" s="87" t="s">
        <v>377</v>
      </c>
      <c r="P1125" s="87" t="s">
        <v>372</v>
      </c>
    </row>
    <row r="1126" ht="15.75" customHeight="1">
      <c r="A1126" s="87" t="s">
        <v>3666</v>
      </c>
      <c r="B1126" s="88">
        <v>1.22E18</v>
      </c>
      <c r="C1126" s="87" t="s">
        <v>3667</v>
      </c>
      <c r="D1126" s="87" t="s">
        <v>87</v>
      </c>
      <c r="E1126" s="87" t="s">
        <v>241</v>
      </c>
      <c r="F1126" s="87" t="s">
        <v>3667</v>
      </c>
      <c r="H1126" s="93"/>
      <c r="I1126" s="87" t="s">
        <v>495</v>
      </c>
      <c r="J1126" s="87" t="s">
        <v>2030</v>
      </c>
      <c r="K1126" s="90">
        <v>0.0</v>
      </c>
      <c r="L1126" s="92"/>
      <c r="M1126" s="93"/>
      <c r="N1126" s="87" t="s">
        <v>497</v>
      </c>
      <c r="O1126" s="87" t="s">
        <v>377</v>
      </c>
      <c r="P1126" s="87" t="s">
        <v>372</v>
      </c>
    </row>
    <row r="1127" ht="15.75" customHeight="1">
      <c r="A1127" s="87" t="s">
        <v>3668</v>
      </c>
      <c r="B1127" s="88">
        <v>1.22E18</v>
      </c>
      <c r="C1127" s="87" t="s">
        <v>3669</v>
      </c>
      <c r="D1127" s="87" t="s">
        <v>262</v>
      </c>
      <c r="E1127" s="87" t="s">
        <v>263</v>
      </c>
      <c r="F1127" s="87" t="s">
        <v>415</v>
      </c>
      <c r="G1127" s="93"/>
      <c r="H1127" s="93"/>
      <c r="I1127" s="87" t="s">
        <v>58</v>
      </c>
      <c r="J1127" s="87" t="s">
        <v>3670</v>
      </c>
      <c r="K1127" s="90">
        <v>1.0</v>
      </c>
      <c r="L1127" s="92"/>
      <c r="M1127" s="93"/>
      <c r="N1127" s="87" t="s">
        <v>3671</v>
      </c>
      <c r="O1127" s="87" t="s">
        <v>377</v>
      </c>
      <c r="P1127" s="87" t="s">
        <v>372</v>
      </c>
    </row>
    <row r="1128" ht="15.75" customHeight="1">
      <c r="A1128" s="87" t="s">
        <v>3672</v>
      </c>
      <c r="B1128" s="88">
        <v>1.22E18</v>
      </c>
      <c r="C1128" s="87" t="s">
        <v>3673</v>
      </c>
      <c r="D1128" s="87" t="s">
        <v>87</v>
      </c>
      <c r="E1128" s="87" t="s">
        <v>88</v>
      </c>
      <c r="F1128" s="87" t="s">
        <v>3673</v>
      </c>
      <c r="I1128" s="87" t="s">
        <v>58</v>
      </c>
      <c r="J1128" s="87" t="s">
        <v>3674</v>
      </c>
      <c r="K1128" s="90">
        <v>0.0</v>
      </c>
      <c r="L1128" s="92"/>
      <c r="M1128" s="93"/>
      <c r="N1128" s="87" t="s">
        <v>3675</v>
      </c>
      <c r="O1128" s="87" t="s">
        <v>377</v>
      </c>
      <c r="P1128" s="87" t="s">
        <v>372</v>
      </c>
    </row>
    <row r="1129" ht="15.75" customHeight="1">
      <c r="A1129" s="87" t="s">
        <v>3676</v>
      </c>
      <c r="B1129" s="88">
        <v>1.22E18</v>
      </c>
      <c r="C1129" s="87" t="s">
        <v>3677</v>
      </c>
      <c r="D1129" s="87" t="s">
        <v>87</v>
      </c>
      <c r="E1129" s="87" t="s">
        <v>88</v>
      </c>
      <c r="F1129" s="87" t="s">
        <v>3677</v>
      </c>
      <c r="I1129" s="87" t="s">
        <v>2770</v>
      </c>
      <c r="J1129" s="87" t="s">
        <v>3678</v>
      </c>
      <c r="K1129" s="90">
        <v>0.0</v>
      </c>
      <c r="L1129" s="92"/>
      <c r="M1129" s="93"/>
      <c r="N1129" s="93"/>
      <c r="O1129" s="87" t="s">
        <v>377</v>
      </c>
      <c r="P1129" s="87" t="s">
        <v>372</v>
      </c>
    </row>
    <row r="1130" ht="15.75" customHeight="1">
      <c r="A1130" s="87" t="s">
        <v>3679</v>
      </c>
      <c r="B1130" s="88">
        <v>1.22E18</v>
      </c>
      <c r="C1130" s="87" t="s">
        <v>3680</v>
      </c>
      <c r="D1130" s="87" t="s">
        <v>57</v>
      </c>
      <c r="E1130" s="87" t="s">
        <v>287</v>
      </c>
      <c r="F1130" s="87" t="s">
        <v>415</v>
      </c>
      <c r="G1130" s="93"/>
      <c r="H1130" s="93"/>
      <c r="I1130" s="87" t="s">
        <v>58</v>
      </c>
      <c r="J1130" s="87" t="s">
        <v>3681</v>
      </c>
      <c r="K1130" s="90">
        <v>1.0</v>
      </c>
      <c r="L1130" s="92"/>
      <c r="M1130" s="93"/>
      <c r="N1130" s="93"/>
      <c r="O1130" s="87" t="s">
        <v>377</v>
      </c>
      <c r="P1130" s="87" t="s">
        <v>372</v>
      </c>
    </row>
    <row r="1131" ht="15.75" customHeight="1">
      <c r="A1131" s="87" t="s">
        <v>3682</v>
      </c>
      <c r="B1131" s="88">
        <v>1.22E18</v>
      </c>
      <c r="C1131" s="87" t="s">
        <v>3683</v>
      </c>
      <c r="D1131" s="87" t="s">
        <v>57</v>
      </c>
      <c r="E1131" s="87" t="s">
        <v>281</v>
      </c>
      <c r="F1131" s="118" t="s">
        <v>3683</v>
      </c>
      <c r="G1131" s="130"/>
      <c r="H1131" s="119"/>
      <c r="I1131" s="87" t="s">
        <v>2010</v>
      </c>
      <c r="J1131" s="87" t="s">
        <v>3684</v>
      </c>
      <c r="K1131" s="90">
        <v>0.0</v>
      </c>
      <c r="L1131" s="92"/>
      <c r="M1131" s="93"/>
      <c r="N1131" s="93"/>
      <c r="O1131" s="87" t="s">
        <v>377</v>
      </c>
      <c r="P1131" s="87" t="s">
        <v>372</v>
      </c>
    </row>
    <row r="1132" ht="15.75" customHeight="1">
      <c r="A1132" s="87" t="s">
        <v>3685</v>
      </c>
      <c r="B1132" s="88">
        <v>1.22E18</v>
      </c>
      <c r="C1132" s="87" t="s">
        <v>3686</v>
      </c>
      <c r="D1132" s="87" t="s">
        <v>87</v>
      </c>
      <c r="E1132" s="87" t="s">
        <v>88</v>
      </c>
      <c r="F1132" s="118" t="s">
        <v>3686</v>
      </c>
      <c r="G1132" s="130"/>
      <c r="H1132" s="119"/>
      <c r="I1132" s="87" t="s">
        <v>2010</v>
      </c>
      <c r="J1132" s="87" t="s">
        <v>3687</v>
      </c>
      <c r="K1132" s="90">
        <v>0.0</v>
      </c>
      <c r="L1132" s="92"/>
      <c r="M1132" s="93"/>
      <c r="N1132" s="93"/>
      <c r="O1132" s="87" t="s">
        <v>377</v>
      </c>
      <c r="P1132" s="87" t="s">
        <v>372</v>
      </c>
    </row>
    <row r="1133" ht="15.75" customHeight="1">
      <c r="A1133" s="87" t="s">
        <v>3688</v>
      </c>
      <c r="B1133" s="88">
        <v>1.22E18</v>
      </c>
      <c r="C1133" s="87" t="s">
        <v>3689</v>
      </c>
      <c r="D1133" s="87" t="s">
        <v>57</v>
      </c>
      <c r="E1133" s="87" t="s">
        <v>287</v>
      </c>
      <c r="F1133" s="87" t="s">
        <v>415</v>
      </c>
      <c r="G1133" s="93"/>
      <c r="H1133" s="93"/>
      <c r="I1133" s="87" t="s">
        <v>58</v>
      </c>
      <c r="J1133" s="87" t="s">
        <v>3690</v>
      </c>
      <c r="K1133" s="90">
        <v>1.0</v>
      </c>
      <c r="L1133" s="92"/>
      <c r="M1133" s="93"/>
      <c r="N1133" s="87" t="s">
        <v>3691</v>
      </c>
      <c r="O1133" s="87" t="s">
        <v>377</v>
      </c>
      <c r="P1133" s="87" t="s">
        <v>372</v>
      </c>
    </row>
    <row r="1134" ht="15.75" customHeight="1">
      <c r="A1134" s="87" t="s">
        <v>3692</v>
      </c>
      <c r="B1134" s="88">
        <v>1.22E18</v>
      </c>
      <c r="C1134" s="87" t="s">
        <v>3693</v>
      </c>
      <c r="D1134" s="87" t="s">
        <v>87</v>
      </c>
      <c r="E1134" s="87" t="s">
        <v>102</v>
      </c>
      <c r="F1134" s="87" t="s">
        <v>1763</v>
      </c>
      <c r="H1134" s="87" t="s">
        <v>369</v>
      </c>
      <c r="I1134" s="93"/>
      <c r="J1134" s="87" t="s">
        <v>3694</v>
      </c>
      <c r="K1134" s="90">
        <v>8.0</v>
      </c>
      <c r="L1134" s="92"/>
      <c r="M1134" s="87" t="s">
        <v>1883</v>
      </c>
      <c r="O1134" s="87" t="s">
        <v>377</v>
      </c>
      <c r="P1134" s="87" t="s">
        <v>372</v>
      </c>
    </row>
    <row r="1135" ht="15.75" customHeight="1">
      <c r="A1135" s="87" t="s">
        <v>3695</v>
      </c>
      <c r="B1135" s="88">
        <v>1.22E18</v>
      </c>
      <c r="C1135" s="87" t="s">
        <v>3696</v>
      </c>
      <c r="D1135" s="87" t="s">
        <v>87</v>
      </c>
      <c r="E1135" s="87" t="s">
        <v>88</v>
      </c>
      <c r="F1135" s="87" t="s">
        <v>3696</v>
      </c>
      <c r="I1135" s="87" t="s">
        <v>58</v>
      </c>
      <c r="J1135" s="87" t="s">
        <v>3697</v>
      </c>
      <c r="K1135" s="90">
        <v>0.0</v>
      </c>
      <c r="L1135" s="92"/>
      <c r="M1135" s="93"/>
      <c r="N1135" s="93"/>
      <c r="O1135" s="87" t="s">
        <v>377</v>
      </c>
      <c r="P1135" s="87" t="s">
        <v>372</v>
      </c>
    </row>
    <row r="1136" ht="15.75" customHeight="1">
      <c r="A1136" s="87" t="s">
        <v>3698</v>
      </c>
      <c r="B1136" s="88">
        <v>1.22E18</v>
      </c>
      <c r="C1136" s="87" t="s">
        <v>3699</v>
      </c>
      <c r="D1136" s="87" t="s">
        <v>87</v>
      </c>
      <c r="E1136" s="87" t="s">
        <v>88</v>
      </c>
      <c r="F1136" s="118" t="s">
        <v>3699</v>
      </c>
      <c r="G1136" s="130"/>
      <c r="H1136" s="119"/>
      <c r="I1136" s="87" t="s">
        <v>58</v>
      </c>
      <c r="J1136" s="87" t="s">
        <v>3700</v>
      </c>
      <c r="K1136" s="90">
        <v>0.0</v>
      </c>
      <c r="L1136" s="92"/>
      <c r="M1136" s="93"/>
      <c r="N1136" s="87" t="s">
        <v>2345</v>
      </c>
      <c r="O1136" s="87" t="s">
        <v>377</v>
      </c>
      <c r="P1136" s="87" t="s">
        <v>372</v>
      </c>
    </row>
    <row r="1137" ht="15.75" customHeight="1">
      <c r="A1137" s="87" t="s">
        <v>3701</v>
      </c>
      <c r="B1137" s="88">
        <v>1.22E18</v>
      </c>
      <c r="C1137" s="87" t="s">
        <v>3702</v>
      </c>
      <c r="D1137" s="87" t="s">
        <v>262</v>
      </c>
      <c r="E1137" s="87" t="s">
        <v>270</v>
      </c>
      <c r="F1137" s="87" t="s">
        <v>3702</v>
      </c>
      <c r="I1137" s="87" t="s">
        <v>58</v>
      </c>
      <c r="J1137" s="87" t="s">
        <v>3703</v>
      </c>
      <c r="K1137" s="90">
        <v>0.0</v>
      </c>
      <c r="L1137" s="92"/>
      <c r="M1137" s="93"/>
      <c r="N1137" s="93"/>
      <c r="O1137" s="87" t="s">
        <v>377</v>
      </c>
      <c r="P1137" s="87" t="s">
        <v>372</v>
      </c>
    </row>
    <row r="1138" ht="15.75" customHeight="1">
      <c r="A1138" s="87" t="s">
        <v>3704</v>
      </c>
      <c r="B1138" s="88">
        <v>1.22E18</v>
      </c>
      <c r="C1138" s="87" t="s">
        <v>3705</v>
      </c>
      <c r="D1138" s="87" t="s">
        <v>262</v>
      </c>
      <c r="E1138" s="87" t="s">
        <v>270</v>
      </c>
      <c r="F1138" s="87" t="s">
        <v>3705</v>
      </c>
      <c r="I1138" s="87" t="s">
        <v>58</v>
      </c>
      <c r="J1138" s="87" t="s">
        <v>2801</v>
      </c>
      <c r="K1138" s="90">
        <v>0.0</v>
      </c>
      <c r="L1138" s="92"/>
      <c r="M1138" s="93"/>
      <c r="N1138" s="87" t="s">
        <v>1808</v>
      </c>
      <c r="O1138" s="87" t="s">
        <v>377</v>
      </c>
      <c r="P1138" s="87" t="s">
        <v>372</v>
      </c>
    </row>
    <row r="1139" ht="15.75" customHeight="1">
      <c r="A1139" s="87" t="s">
        <v>3706</v>
      </c>
      <c r="B1139" s="88">
        <v>1.22E18</v>
      </c>
      <c r="C1139" s="87" t="s">
        <v>3707</v>
      </c>
      <c r="D1139" s="87" t="s">
        <v>262</v>
      </c>
      <c r="E1139" s="87" t="s">
        <v>270</v>
      </c>
      <c r="F1139" s="87" t="s">
        <v>3707</v>
      </c>
      <c r="I1139" s="87" t="s">
        <v>58</v>
      </c>
      <c r="J1139" s="87" t="s">
        <v>3708</v>
      </c>
      <c r="K1139" s="90">
        <v>0.0</v>
      </c>
      <c r="L1139" s="92"/>
      <c r="M1139" s="93"/>
      <c r="N1139" s="87" t="s">
        <v>1808</v>
      </c>
      <c r="O1139" s="87" t="s">
        <v>377</v>
      </c>
      <c r="P1139" s="87" t="s">
        <v>372</v>
      </c>
    </row>
    <row r="1140" ht="15.75" customHeight="1">
      <c r="A1140" s="87" t="s">
        <v>3709</v>
      </c>
      <c r="B1140" s="88">
        <v>1.22E18</v>
      </c>
      <c r="C1140" s="87" t="s">
        <v>3710</v>
      </c>
      <c r="D1140" s="87" t="s">
        <v>262</v>
      </c>
      <c r="E1140" s="87" t="s">
        <v>270</v>
      </c>
      <c r="F1140" s="87" t="s">
        <v>3710</v>
      </c>
      <c r="I1140" s="87" t="s">
        <v>58</v>
      </c>
      <c r="J1140" s="87" t="s">
        <v>3711</v>
      </c>
      <c r="K1140" s="90">
        <v>0.0</v>
      </c>
      <c r="L1140" s="92"/>
      <c r="M1140" s="93"/>
      <c r="N1140" s="87" t="s">
        <v>1808</v>
      </c>
      <c r="O1140" s="87" t="s">
        <v>377</v>
      </c>
      <c r="P1140" s="87" t="s">
        <v>372</v>
      </c>
    </row>
    <row r="1141" ht="15.75" customHeight="1">
      <c r="A1141" s="87" t="s">
        <v>3712</v>
      </c>
      <c r="B1141" s="88">
        <v>1.22E18</v>
      </c>
      <c r="C1141" s="87" t="s">
        <v>3713</v>
      </c>
      <c r="D1141" s="87" t="s">
        <v>262</v>
      </c>
      <c r="E1141" s="87" t="s">
        <v>270</v>
      </c>
      <c r="F1141" s="87" t="s">
        <v>3713</v>
      </c>
      <c r="I1141" s="87" t="s">
        <v>58</v>
      </c>
      <c r="J1141" s="87" t="s">
        <v>2801</v>
      </c>
      <c r="K1141" s="90">
        <v>0.0</v>
      </c>
      <c r="L1141" s="92"/>
      <c r="M1141" s="93"/>
      <c r="N1141" s="87" t="s">
        <v>1808</v>
      </c>
      <c r="O1141" s="87" t="s">
        <v>377</v>
      </c>
      <c r="P1141" s="87" t="s">
        <v>372</v>
      </c>
    </row>
    <row r="1142" ht="15.75" customHeight="1">
      <c r="A1142" s="87" t="s">
        <v>3714</v>
      </c>
      <c r="B1142" s="88">
        <v>1.22E18</v>
      </c>
      <c r="C1142" s="87" t="s">
        <v>3715</v>
      </c>
      <c r="D1142" s="87" t="s">
        <v>262</v>
      </c>
      <c r="E1142" s="87" t="s">
        <v>270</v>
      </c>
      <c r="F1142" s="87" t="s">
        <v>3715</v>
      </c>
      <c r="I1142" s="87" t="s">
        <v>58</v>
      </c>
      <c r="J1142" s="87" t="s">
        <v>3716</v>
      </c>
      <c r="K1142" s="90">
        <v>0.0</v>
      </c>
      <c r="L1142" s="92"/>
      <c r="M1142" s="93"/>
      <c r="N1142" s="87" t="s">
        <v>1808</v>
      </c>
      <c r="O1142" s="87" t="s">
        <v>377</v>
      </c>
      <c r="P1142" s="87" t="s">
        <v>372</v>
      </c>
    </row>
    <row r="1143" ht="15.75" customHeight="1">
      <c r="A1143" s="87" t="s">
        <v>3717</v>
      </c>
      <c r="B1143" s="88">
        <v>1.22E18</v>
      </c>
      <c r="C1143" s="87" t="s">
        <v>3718</v>
      </c>
      <c r="D1143" s="87" t="s">
        <v>262</v>
      </c>
      <c r="E1143" s="87" t="s">
        <v>270</v>
      </c>
      <c r="F1143" s="87" t="s">
        <v>3718</v>
      </c>
      <c r="I1143" s="87" t="s">
        <v>58</v>
      </c>
      <c r="J1143" s="87" t="s">
        <v>3377</v>
      </c>
      <c r="K1143" s="90">
        <v>0.0</v>
      </c>
      <c r="L1143" s="92"/>
      <c r="M1143" s="93"/>
      <c r="N1143" s="87" t="s">
        <v>1808</v>
      </c>
      <c r="O1143" s="87" t="s">
        <v>377</v>
      </c>
      <c r="P1143" s="87" t="s">
        <v>372</v>
      </c>
    </row>
    <row r="1144" ht="15.75" customHeight="1">
      <c r="A1144" s="87" t="s">
        <v>3719</v>
      </c>
      <c r="B1144" s="88">
        <v>1.22E18</v>
      </c>
      <c r="C1144" s="87" t="s">
        <v>3720</v>
      </c>
      <c r="D1144" s="87" t="s">
        <v>262</v>
      </c>
      <c r="E1144" s="87" t="s">
        <v>270</v>
      </c>
      <c r="F1144" s="87" t="s">
        <v>3720</v>
      </c>
      <c r="I1144" s="87" t="s">
        <v>58</v>
      </c>
      <c r="J1144" s="87" t="s">
        <v>3721</v>
      </c>
      <c r="K1144" s="90">
        <v>0.0</v>
      </c>
      <c r="L1144" s="92"/>
      <c r="M1144" s="93"/>
      <c r="N1144" s="87" t="s">
        <v>1808</v>
      </c>
      <c r="O1144" s="87" t="s">
        <v>377</v>
      </c>
      <c r="P1144" s="87" t="s">
        <v>372</v>
      </c>
    </row>
    <row r="1145" ht="15.75" customHeight="1">
      <c r="A1145" s="87" t="s">
        <v>3722</v>
      </c>
      <c r="B1145" s="88">
        <v>1.22E18</v>
      </c>
      <c r="C1145" s="87" t="s">
        <v>3723</v>
      </c>
      <c r="D1145" s="87" t="s">
        <v>262</v>
      </c>
      <c r="E1145" s="87" t="s">
        <v>270</v>
      </c>
      <c r="F1145" s="87" t="s">
        <v>3723</v>
      </c>
      <c r="I1145" s="87" t="s">
        <v>58</v>
      </c>
      <c r="J1145" s="87" t="s">
        <v>3721</v>
      </c>
      <c r="K1145" s="90">
        <v>0.0</v>
      </c>
      <c r="L1145" s="92"/>
      <c r="M1145" s="93"/>
      <c r="N1145" s="87" t="s">
        <v>1808</v>
      </c>
      <c r="O1145" s="87" t="s">
        <v>377</v>
      </c>
      <c r="P1145" s="87" t="s">
        <v>372</v>
      </c>
    </row>
    <row r="1146" ht="15.75" customHeight="1">
      <c r="A1146" s="87" t="s">
        <v>3724</v>
      </c>
      <c r="B1146" s="88">
        <v>1.22E18</v>
      </c>
      <c r="C1146" s="87" t="s">
        <v>3725</v>
      </c>
      <c r="D1146" s="87" t="s">
        <v>262</v>
      </c>
      <c r="E1146" s="87" t="s">
        <v>270</v>
      </c>
      <c r="F1146" s="87" t="s">
        <v>3725</v>
      </c>
      <c r="I1146" s="87" t="s">
        <v>58</v>
      </c>
      <c r="J1146" s="87" t="s">
        <v>3726</v>
      </c>
      <c r="K1146" s="90">
        <v>0.0</v>
      </c>
      <c r="L1146" s="92"/>
      <c r="M1146" s="93"/>
      <c r="N1146" s="87" t="s">
        <v>1808</v>
      </c>
      <c r="O1146" s="87" t="s">
        <v>377</v>
      </c>
      <c r="P1146" s="87" t="s">
        <v>372</v>
      </c>
    </row>
    <row r="1147" ht="15.75" customHeight="1">
      <c r="A1147" s="87" t="s">
        <v>3727</v>
      </c>
      <c r="B1147" s="88">
        <v>1.22E18</v>
      </c>
      <c r="C1147" s="87" t="s">
        <v>3728</v>
      </c>
      <c r="D1147" s="87" t="s">
        <v>262</v>
      </c>
      <c r="E1147" s="87" t="s">
        <v>270</v>
      </c>
      <c r="F1147" s="87" t="s">
        <v>3728</v>
      </c>
      <c r="I1147" s="87" t="s">
        <v>58</v>
      </c>
      <c r="J1147" s="87" t="s">
        <v>3729</v>
      </c>
      <c r="K1147" s="90">
        <v>0.0</v>
      </c>
      <c r="L1147" s="92"/>
      <c r="M1147" s="93"/>
      <c r="N1147" s="87" t="s">
        <v>1808</v>
      </c>
      <c r="O1147" s="87" t="s">
        <v>377</v>
      </c>
      <c r="P1147" s="87" t="s">
        <v>372</v>
      </c>
    </row>
    <row r="1148" ht="15.75" customHeight="1">
      <c r="A1148" s="87" t="s">
        <v>3730</v>
      </c>
      <c r="B1148" s="88">
        <v>1.22E18</v>
      </c>
      <c r="C1148" s="87" t="s">
        <v>3731</v>
      </c>
      <c r="D1148" s="87" t="s">
        <v>262</v>
      </c>
      <c r="E1148" s="87" t="s">
        <v>270</v>
      </c>
      <c r="F1148" s="87" t="s">
        <v>3731</v>
      </c>
      <c r="I1148" s="87" t="s">
        <v>58</v>
      </c>
      <c r="J1148" s="87" t="s">
        <v>2957</v>
      </c>
      <c r="K1148" s="90">
        <v>0.0</v>
      </c>
      <c r="L1148" s="92"/>
      <c r="M1148" s="93"/>
      <c r="N1148" s="87" t="s">
        <v>1808</v>
      </c>
      <c r="O1148" s="87" t="s">
        <v>377</v>
      </c>
      <c r="P1148" s="87" t="s">
        <v>372</v>
      </c>
    </row>
    <row r="1149" ht="15.75" customHeight="1">
      <c r="A1149" s="87" t="s">
        <v>3732</v>
      </c>
      <c r="B1149" s="88">
        <v>1.22E18</v>
      </c>
      <c r="C1149" s="87" t="s">
        <v>3733</v>
      </c>
      <c r="D1149" s="87" t="s">
        <v>262</v>
      </c>
      <c r="E1149" s="87" t="s">
        <v>270</v>
      </c>
      <c r="F1149" s="87" t="s">
        <v>3733</v>
      </c>
      <c r="I1149" s="87" t="s">
        <v>58</v>
      </c>
      <c r="J1149" s="87" t="s">
        <v>3377</v>
      </c>
      <c r="K1149" s="90">
        <v>0.0</v>
      </c>
      <c r="L1149" s="92"/>
      <c r="M1149" s="93"/>
      <c r="N1149" s="87" t="s">
        <v>1808</v>
      </c>
      <c r="O1149" s="87" t="s">
        <v>377</v>
      </c>
      <c r="P1149" s="87" t="s">
        <v>372</v>
      </c>
    </row>
    <row r="1150" ht="15.75" customHeight="1">
      <c r="A1150" s="87" t="s">
        <v>3734</v>
      </c>
      <c r="B1150" s="88">
        <v>1.22E18</v>
      </c>
      <c r="C1150" s="87" t="s">
        <v>3735</v>
      </c>
      <c r="D1150" s="87" t="s">
        <v>262</v>
      </c>
      <c r="E1150" s="87" t="s">
        <v>270</v>
      </c>
      <c r="F1150" s="87" t="s">
        <v>3735</v>
      </c>
      <c r="I1150" s="87" t="s">
        <v>58</v>
      </c>
      <c r="J1150" s="87" t="s">
        <v>3377</v>
      </c>
      <c r="K1150" s="90">
        <v>0.0</v>
      </c>
      <c r="L1150" s="92"/>
      <c r="M1150" s="93"/>
      <c r="N1150" s="87" t="s">
        <v>1808</v>
      </c>
      <c r="O1150" s="87" t="s">
        <v>377</v>
      </c>
      <c r="P1150" s="87" t="s">
        <v>372</v>
      </c>
    </row>
    <row r="1151" ht="15.75" customHeight="1">
      <c r="A1151" s="87" t="s">
        <v>3736</v>
      </c>
      <c r="B1151" s="88">
        <v>1.22E18</v>
      </c>
      <c r="C1151" s="87" t="s">
        <v>3737</v>
      </c>
      <c r="D1151" s="87" t="s">
        <v>262</v>
      </c>
      <c r="E1151" s="87" t="s">
        <v>278</v>
      </c>
      <c r="F1151" s="87" t="s">
        <v>3737</v>
      </c>
      <c r="I1151" s="87" t="s">
        <v>58</v>
      </c>
      <c r="J1151" s="87" t="s">
        <v>3738</v>
      </c>
      <c r="L1151" s="92"/>
      <c r="M1151" s="93"/>
      <c r="N1151" s="87" t="s">
        <v>1808</v>
      </c>
      <c r="O1151" s="87" t="s">
        <v>377</v>
      </c>
      <c r="P1151" s="87" t="s">
        <v>2565</v>
      </c>
    </row>
    <row r="1152" ht="15.75" customHeight="1">
      <c r="A1152" s="87" t="s">
        <v>3739</v>
      </c>
      <c r="B1152" s="88">
        <v>1.22E18</v>
      </c>
      <c r="C1152" s="87" t="s">
        <v>3740</v>
      </c>
      <c r="D1152" s="87" t="s">
        <v>87</v>
      </c>
      <c r="E1152" s="87" t="s">
        <v>88</v>
      </c>
      <c r="F1152" s="87" t="s">
        <v>3740</v>
      </c>
      <c r="H1152" s="93"/>
      <c r="I1152" s="87" t="s">
        <v>1123</v>
      </c>
      <c r="J1152" s="87" t="s">
        <v>3741</v>
      </c>
      <c r="K1152" s="90">
        <v>0.0</v>
      </c>
      <c r="L1152" s="92"/>
      <c r="M1152" s="93"/>
      <c r="N1152" s="87" t="s">
        <v>2835</v>
      </c>
      <c r="O1152" s="87" t="s">
        <v>377</v>
      </c>
      <c r="P1152" s="87" t="s">
        <v>372</v>
      </c>
    </row>
    <row r="1153" ht="15.75" customHeight="1">
      <c r="A1153" s="87" t="s">
        <v>3742</v>
      </c>
      <c r="B1153" s="88">
        <v>1.22E18</v>
      </c>
      <c r="C1153" s="87" t="s">
        <v>3743</v>
      </c>
      <c r="D1153" s="87" t="s">
        <v>87</v>
      </c>
      <c r="E1153" s="87" t="s">
        <v>88</v>
      </c>
      <c r="F1153" s="118" t="s">
        <v>3743</v>
      </c>
      <c r="G1153" s="130"/>
      <c r="H1153" s="119"/>
      <c r="I1153" s="87" t="s">
        <v>58</v>
      </c>
      <c r="J1153" s="87" t="s">
        <v>3744</v>
      </c>
      <c r="K1153" s="90">
        <v>0.0</v>
      </c>
      <c r="L1153" s="92"/>
      <c r="M1153" s="93"/>
      <c r="N1153" s="87" t="s">
        <v>1772</v>
      </c>
      <c r="O1153" s="87" t="s">
        <v>377</v>
      </c>
      <c r="P1153" s="87" t="s">
        <v>372</v>
      </c>
    </row>
    <row r="1154" ht="15.75" customHeight="1">
      <c r="A1154" s="87" t="s">
        <v>3745</v>
      </c>
      <c r="B1154" s="88">
        <v>1.22E18</v>
      </c>
      <c r="C1154" s="87" t="s">
        <v>3746</v>
      </c>
      <c r="D1154" s="87" t="s">
        <v>87</v>
      </c>
      <c r="E1154" s="87" t="s">
        <v>88</v>
      </c>
      <c r="F1154" s="118" t="s">
        <v>3746</v>
      </c>
      <c r="G1154" s="130"/>
      <c r="H1154" s="119"/>
      <c r="I1154" s="87" t="s">
        <v>58</v>
      </c>
      <c r="J1154" s="87" t="s">
        <v>3747</v>
      </c>
      <c r="K1154" s="90">
        <v>0.0</v>
      </c>
      <c r="L1154" s="92"/>
      <c r="M1154" s="93"/>
      <c r="N1154" s="87" t="s">
        <v>1772</v>
      </c>
      <c r="O1154" s="87" t="s">
        <v>377</v>
      </c>
      <c r="P1154" s="87" t="s">
        <v>372</v>
      </c>
    </row>
    <row r="1155" ht="15.75" customHeight="1">
      <c r="A1155" s="87" t="s">
        <v>3748</v>
      </c>
      <c r="B1155" s="88">
        <v>1.22E18</v>
      </c>
      <c r="C1155" s="87" t="s">
        <v>3749</v>
      </c>
      <c r="D1155" s="87" t="s">
        <v>262</v>
      </c>
      <c r="E1155" s="87" t="s">
        <v>263</v>
      </c>
      <c r="F1155" s="87" t="s">
        <v>415</v>
      </c>
      <c r="G1155" s="93"/>
      <c r="H1155" s="93"/>
      <c r="I1155" s="87" t="s">
        <v>58</v>
      </c>
      <c r="J1155" s="87" t="s">
        <v>3750</v>
      </c>
      <c r="K1155" s="90">
        <v>1.0</v>
      </c>
      <c r="L1155" s="92"/>
      <c r="M1155" s="93"/>
      <c r="N1155" s="87" t="s">
        <v>1772</v>
      </c>
      <c r="O1155" s="87" t="s">
        <v>377</v>
      </c>
      <c r="P1155" s="87" t="s">
        <v>372</v>
      </c>
    </row>
    <row r="1156" ht="15.75" customHeight="1">
      <c r="A1156" s="87" t="s">
        <v>3751</v>
      </c>
      <c r="B1156" s="88">
        <v>1.22E18</v>
      </c>
      <c r="C1156" s="87" t="s">
        <v>3752</v>
      </c>
      <c r="D1156" s="87" t="s">
        <v>262</v>
      </c>
      <c r="E1156" s="87" t="s">
        <v>270</v>
      </c>
      <c r="F1156" s="87" t="s">
        <v>3752</v>
      </c>
      <c r="I1156" s="87" t="s">
        <v>2365</v>
      </c>
      <c r="J1156" s="87" t="s">
        <v>3753</v>
      </c>
      <c r="K1156" s="90">
        <v>0.0</v>
      </c>
      <c r="L1156" s="92"/>
      <c r="M1156" s="93"/>
      <c r="N1156" s="87" t="s">
        <v>1772</v>
      </c>
      <c r="O1156" s="87" t="s">
        <v>377</v>
      </c>
      <c r="P1156" s="87" t="s">
        <v>372</v>
      </c>
    </row>
    <row r="1157" ht="15.75" customHeight="1">
      <c r="A1157" s="87" t="s">
        <v>3754</v>
      </c>
      <c r="B1157" s="88">
        <v>1.22E18</v>
      </c>
      <c r="C1157" s="87" t="s">
        <v>3755</v>
      </c>
      <c r="D1157" s="87" t="s">
        <v>262</v>
      </c>
      <c r="E1157" s="87" t="s">
        <v>270</v>
      </c>
      <c r="F1157" s="87" t="s">
        <v>3755</v>
      </c>
      <c r="I1157" s="87" t="s">
        <v>58</v>
      </c>
      <c r="J1157" s="87" t="s">
        <v>3756</v>
      </c>
      <c r="K1157" s="90">
        <v>0.0</v>
      </c>
      <c r="L1157" s="92"/>
      <c r="M1157" s="93"/>
      <c r="N1157" s="87" t="s">
        <v>3622</v>
      </c>
      <c r="O1157" s="87" t="s">
        <v>377</v>
      </c>
      <c r="P1157" s="87" t="s">
        <v>372</v>
      </c>
    </row>
    <row r="1158" ht="15.75" customHeight="1">
      <c r="A1158" s="87" t="s">
        <v>3757</v>
      </c>
      <c r="B1158" s="88">
        <v>1.22E18</v>
      </c>
      <c r="C1158" s="87" t="s">
        <v>3758</v>
      </c>
      <c r="D1158" s="87" t="s">
        <v>262</v>
      </c>
      <c r="E1158" s="87" t="s">
        <v>270</v>
      </c>
      <c r="F1158" s="87" t="s">
        <v>3758</v>
      </c>
      <c r="I1158" s="87" t="s">
        <v>58</v>
      </c>
      <c r="J1158" s="87" t="s">
        <v>2309</v>
      </c>
      <c r="K1158" s="90">
        <v>0.0</v>
      </c>
      <c r="L1158" s="92"/>
      <c r="M1158" s="93"/>
      <c r="N1158" s="87" t="s">
        <v>3622</v>
      </c>
      <c r="O1158" s="87" t="s">
        <v>377</v>
      </c>
      <c r="P1158" s="87" t="s">
        <v>372</v>
      </c>
    </row>
    <row r="1159" ht="15.75" customHeight="1">
      <c r="A1159" s="87" t="s">
        <v>3759</v>
      </c>
      <c r="B1159" s="88">
        <v>1.22E18</v>
      </c>
      <c r="C1159" s="87" t="s">
        <v>3760</v>
      </c>
      <c r="D1159" s="87" t="s">
        <v>262</v>
      </c>
      <c r="E1159" s="87" t="s">
        <v>270</v>
      </c>
      <c r="F1159" s="87" t="s">
        <v>3760</v>
      </c>
      <c r="I1159" s="87" t="s">
        <v>58</v>
      </c>
      <c r="J1159" s="87" t="s">
        <v>3761</v>
      </c>
      <c r="K1159" s="90">
        <v>0.0</v>
      </c>
      <c r="L1159" s="92"/>
      <c r="M1159" s="93"/>
      <c r="N1159" s="87" t="s">
        <v>3622</v>
      </c>
      <c r="O1159" s="87" t="s">
        <v>377</v>
      </c>
      <c r="P1159" s="87" t="s">
        <v>372</v>
      </c>
    </row>
    <row r="1160" ht="15.75" customHeight="1">
      <c r="A1160" s="87" t="s">
        <v>3762</v>
      </c>
      <c r="B1160" s="88">
        <v>1.22E18</v>
      </c>
      <c r="C1160" s="87" t="s">
        <v>3763</v>
      </c>
      <c r="D1160" s="87" t="s">
        <v>262</v>
      </c>
      <c r="E1160" s="87" t="s">
        <v>270</v>
      </c>
      <c r="F1160" s="87" t="s">
        <v>3763</v>
      </c>
      <c r="I1160" s="87" t="s">
        <v>58</v>
      </c>
      <c r="J1160" s="87" t="s">
        <v>3764</v>
      </c>
      <c r="K1160" s="90">
        <v>0.0</v>
      </c>
      <c r="L1160" s="92"/>
      <c r="M1160" s="93"/>
      <c r="N1160" s="87" t="s">
        <v>3622</v>
      </c>
      <c r="O1160" s="87" t="s">
        <v>377</v>
      </c>
      <c r="P1160" s="87" t="s">
        <v>372</v>
      </c>
    </row>
    <row r="1161" ht="15.75" customHeight="1">
      <c r="A1161" s="87" t="s">
        <v>3765</v>
      </c>
      <c r="B1161" s="88">
        <v>1.22E18</v>
      </c>
      <c r="C1161" s="87" t="s">
        <v>3766</v>
      </c>
      <c r="D1161" s="87" t="s">
        <v>262</v>
      </c>
      <c r="E1161" s="87" t="s">
        <v>270</v>
      </c>
      <c r="F1161" s="87" t="s">
        <v>3766</v>
      </c>
      <c r="I1161" s="87" t="s">
        <v>58</v>
      </c>
      <c r="J1161" s="87" t="s">
        <v>3767</v>
      </c>
      <c r="K1161" s="90">
        <v>0.0</v>
      </c>
      <c r="L1161" s="92"/>
      <c r="M1161" s="93"/>
      <c r="N1161" s="93"/>
      <c r="O1161" s="87" t="s">
        <v>377</v>
      </c>
      <c r="P1161" s="87" t="s">
        <v>372</v>
      </c>
    </row>
    <row r="1162" ht="15.75" customHeight="1">
      <c r="A1162" s="87" t="s">
        <v>3768</v>
      </c>
      <c r="B1162" s="88">
        <v>1.22E18</v>
      </c>
      <c r="C1162" s="87" t="s">
        <v>3769</v>
      </c>
      <c r="D1162" s="87" t="s">
        <v>262</v>
      </c>
      <c r="E1162" s="87" t="s">
        <v>270</v>
      </c>
      <c r="F1162" s="87" t="s">
        <v>3769</v>
      </c>
      <c r="I1162" s="87" t="s">
        <v>58</v>
      </c>
      <c r="J1162" s="87" t="s">
        <v>3770</v>
      </c>
      <c r="K1162" s="90">
        <v>0.0</v>
      </c>
      <c r="L1162" s="92"/>
      <c r="M1162" s="93"/>
      <c r="N1162" s="87" t="s">
        <v>3622</v>
      </c>
      <c r="O1162" s="87" t="s">
        <v>377</v>
      </c>
      <c r="P1162" s="87" t="s">
        <v>372</v>
      </c>
    </row>
    <row r="1163" ht="15.75" customHeight="1">
      <c r="A1163" s="87" t="s">
        <v>3771</v>
      </c>
      <c r="B1163" s="88">
        <v>1.22E18</v>
      </c>
      <c r="C1163" s="87" t="s">
        <v>3772</v>
      </c>
      <c r="D1163" s="87" t="s">
        <v>262</v>
      </c>
      <c r="E1163" s="87" t="s">
        <v>270</v>
      </c>
      <c r="F1163" s="87" t="s">
        <v>3772</v>
      </c>
      <c r="I1163" s="87" t="s">
        <v>58</v>
      </c>
      <c r="J1163" s="87" t="s">
        <v>3377</v>
      </c>
      <c r="K1163" s="90">
        <v>0.0</v>
      </c>
      <c r="L1163" s="92"/>
      <c r="M1163" s="93"/>
      <c r="N1163" s="93"/>
      <c r="O1163" s="87" t="s">
        <v>377</v>
      </c>
      <c r="P1163" s="87" t="s">
        <v>372</v>
      </c>
    </row>
    <row r="1164" ht="15.75" customHeight="1">
      <c r="A1164" s="87" t="s">
        <v>3773</v>
      </c>
      <c r="B1164" s="88">
        <v>1.22E18</v>
      </c>
      <c r="C1164" s="87" t="s">
        <v>3774</v>
      </c>
      <c r="D1164" s="87" t="s">
        <v>262</v>
      </c>
      <c r="E1164" s="87" t="s">
        <v>270</v>
      </c>
      <c r="F1164" s="87" t="s">
        <v>3774</v>
      </c>
      <c r="I1164" s="87" t="s">
        <v>58</v>
      </c>
      <c r="J1164" s="87" t="s">
        <v>3775</v>
      </c>
      <c r="K1164" s="90">
        <v>0.0</v>
      </c>
      <c r="L1164" s="92"/>
      <c r="M1164" s="93"/>
      <c r="N1164" s="87" t="s">
        <v>3622</v>
      </c>
      <c r="O1164" s="87" t="s">
        <v>377</v>
      </c>
      <c r="P1164" s="87" t="s">
        <v>372</v>
      </c>
    </row>
    <row r="1165" ht="15.75" customHeight="1">
      <c r="A1165" s="87" t="s">
        <v>3776</v>
      </c>
      <c r="B1165" s="88">
        <v>1.22E18</v>
      </c>
      <c r="C1165" s="87" t="s">
        <v>3777</v>
      </c>
      <c r="D1165" s="87" t="s">
        <v>262</v>
      </c>
      <c r="E1165" s="87" t="s">
        <v>270</v>
      </c>
      <c r="F1165" s="87" t="s">
        <v>3777</v>
      </c>
      <c r="I1165" s="87" t="s">
        <v>58</v>
      </c>
      <c r="J1165" s="87" t="s">
        <v>3778</v>
      </c>
      <c r="K1165" s="90">
        <v>0.0</v>
      </c>
      <c r="L1165" s="92"/>
      <c r="M1165" s="93"/>
      <c r="N1165" s="87" t="s">
        <v>3622</v>
      </c>
      <c r="O1165" s="87" t="s">
        <v>377</v>
      </c>
      <c r="P1165" s="87" t="s">
        <v>372</v>
      </c>
    </row>
    <row r="1166" ht="15.75" customHeight="1">
      <c r="A1166" s="87" t="s">
        <v>3779</v>
      </c>
      <c r="B1166" s="88">
        <v>1.22E18</v>
      </c>
      <c r="C1166" s="87" t="s">
        <v>3780</v>
      </c>
      <c r="D1166" s="87" t="s">
        <v>262</v>
      </c>
      <c r="E1166" s="87" t="s">
        <v>270</v>
      </c>
      <c r="F1166" s="87" t="s">
        <v>3780</v>
      </c>
      <c r="I1166" s="87" t="s">
        <v>58</v>
      </c>
      <c r="J1166" s="87" t="s">
        <v>3781</v>
      </c>
      <c r="K1166" s="90">
        <v>0.0</v>
      </c>
      <c r="L1166" s="92"/>
      <c r="M1166" s="93"/>
      <c r="N1166" s="87" t="s">
        <v>3622</v>
      </c>
      <c r="O1166" s="87" t="s">
        <v>377</v>
      </c>
      <c r="P1166" s="87" t="s">
        <v>372</v>
      </c>
    </row>
    <row r="1167" ht="15.75" customHeight="1">
      <c r="A1167" s="87" t="s">
        <v>3782</v>
      </c>
      <c r="B1167" s="88">
        <v>1.22E18</v>
      </c>
      <c r="C1167" s="87" t="s">
        <v>3783</v>
      </c>
      <c r="D1167" s="87" t="s">
        <v>262</v>
      </c>
      <c r="E1167" s="87" t="s">
        <v>270</v>
      </c>
      <c r="F1167" s="87" t="s">
        <v>3783</v>
      </c>
      <c r="I1167" s="87" t="s">
        <v>3784</v>
      </c>
      <c r="J1167" s="87" t="s">
        <v>3726</v>
      </c>
      <c r="K1167" s="90">
        <v>0.0</v>
      </c>
      <c r="L1167" s="92"/>
      <c r="M1167" s="93"/>
      <c r="N1167" s="87" t="s">
        <v>3622</v>
      </c>
      <c r="O1167" s="87" t="s">
        <v>377</v>
      </c>
      <c r="P1167" s="87" t="s">
        <v>372</v>
      </c>
    </row>
    <row r="1168" ht="15.75" customHeight="1">
      <c r="A1168" s="87" t="s">
        <v>3785</v>
      </c>
      <c r="B1168" s="88">
        <v>1.22E18</v>
      </c>
      <c r="C1168" s="87" t="s">
        <v>3786</v>
      </c>
      <c r="D1168" s="87" t="s">
        <v>262</v>
      </c>
      <c r="E1168" s="87" t="s">
        <v>270</v>
      </c>
      <c r="F1168" s="87" t="s">
        <v>3786</v>
      </c>
      <c r="I1168" s="87" t="s">
        <v>58</v>
      </c>
      <c r="J1168" s="87" t="s">
        <v>3787</v>
      </c>
      <c r="K1168" s="90">
        <v>0.0</v>
      </c>
      <c r="L1168" s="92"/>
      <c r="M1168" s="93"/>
      <c r="N1168" s="87" t="s">
        <v>3622</v>
      </c>
      <c r="O1168" s="87" t="s">
        <v>377</v>
      </c>
      <c r="P1168" s="87" t="s">
        <v>372</v>
      </c>
    </row>
    <row r="1169" ht="15.75" customHeight="1">
      <c r="A1169" s="87" t="s">
        <v>3788</v>
      </c>
      <c r="B1169" s="88">
        <v>1.22E18</v>
      </c>
      <c r="C1169" s="87" t="s">
        <v>3789</v>
      </c>
      <c r="D1169" s="87" t="s">
        <v>262</v>
      </c>
      <c r="E1169" s="87" t="s">
        <v>270</v>
      </c>
      <c r="F1169" s="87" t="s">
        <v>3789</v>
      </c>
      <c r="I1169" s="87" t="s">
        <v>58</v>
      </c>
      <c r="J1169" s="87" t="s">
        <v>3377</v>
      </c>
      <c r="K1169" s="90">
        <v>0.0</v>
      </c>
      <c r="L1169" s="92"/>
      <c r="M1169" s="93"/>
      <c r="N1169" s="87" t="s">
        <v>3622</v>
      </c>
      <c r="O1169" s="87" t="s">
        <v>377</v>
      </c>
      <c r="P1169" s="87" t="s">
        <v>372</v>
      </c>
    </row>
    <row r="1170" ht="15.75" customHeight="1">
      <c r="A1170" s="87" t="s">
        <v>3790</v>
      </c>
      <c r="B1170" s="88">
        <v>1.22E18</v>
      </c>
      <c r="C1170" s="87" t="s">
        <v>3791</v>
      </c>
      <c r="D1170" s="87" t="s">
        <v>262</v>
      </c>
      <c r="E1170" s="87" t="s">
        <v>270</v>
      </c>
      <c r="F1170" s="87" t="s">
        <v>3791</v>
      </c>
      <c r="I1170" s="87" t="s">
        <v>58</v>
      </c>
      <c r="J1170" s="87" t="s">
        <v>3377</v>
      </c>
      <c r="K1170" s="90">
        <v>0.0</v>
      </c>
      <c r="L1170" s="92"/>
      <c r="M1170" s="93"/>
      <c r="N1170" s="87" t="s">
        <v>3622</v>
      </c>
      <c r="O1170" s="87" t="s">
        <v>377</v>
      </c>
      <c r="P1170" s="87" t="s">
        <v>372</v>
      </c>
    </row>
    <row r="1171" ht="15.75" customHeight="1">
      <c r="A1171" s="87" t="s">
        <v>3792</v>
      </c>
      <c r="B1171" s="88">
        <v>1.22E18</v>
      </c>
      <c r="C1171" s="87" t="s">
        <v>3793</v>
      </c>
      <c r="D1171" s="87" t="s">
        <v>262</v>
      </c>
      <c r="E1171" s="87" t="s">
        <v>270</v>
      </c>
      <c r="F1171" s="87" t="s">
        <v>3793</v>
      </c>
      <c r="I1171" s="87" t="s">
        <v>58</v>
      </c>
      <c r="J1171" s="87" t="s">
        <v>3794</v>
      </c>
      <c r="K1171" s="90">
        <v>0.0</v>
      </c>
      <c r="L1171" s="92"/>
      <c r="M1171" s="93"/>
      <c r="N1171" s="93"/>
      <c r="O1171" s="87" t="s">
        <v>377</v>
      </c>
      <c r="P1171" s="87" t="s">
        <v>372</v>
      </c>
    </row>
    <row r="1172" ht="15.75" customHeight="1">
      <c r="A1172" s="87" t="s">
        <v>3795</v>
      </c>
      <c r="B1172" s="88">
        <v>1.22E18</v>
      </c>
      <c r="C1172" s="87" t="s">
        <v>3796</v>
      </c>
      <c r="D1172" s="87" t="s">
        <v>262</v>
      </c>
      <c r="E1172" s="87" t="s">
        <v>270</v>
      </c>
      <c r="F1172" s="87" t="s">
        <v>3796</v>
      </c>
      <c r="I1172" s="87" t="s">
        <v>58</v>
      </c>
      <c r="J1172" s="87" t="s">
        <v>3794</v>
      </c>
      <c r="K1172" s="90">
        <v>0.0</v>
      </c>
      <c r="L1172" s="92"/>
      <c r="M1172" s="93"/>
      <c r="N1172" s="87" t="s">
        <v>2541</v>
      </c>
      <c r="O1172" s="87" t="s">
        <v>377</v>
      </c>
      <c r="P1172" s="87" t="s">
        <v>372</v>
      </c>
    </row>
    <row r="1173" ht="15.75" customHeight="1">
      <c r="A1173" s="87" t="s">
        <v>3797</v>
      </c>
      <c r="B1173" s="88">
        <v>1.22E18</v>
      </c>
      <c r="C1173" s="87" t="s">
        <v>3798</v>
      </c>
      <c r="D1173" s="87" t="s">
        <v>56</v>
      </c>
      <c r="E1173" s="87" t="s">
        <v>248</v>
      </c>
      <c r="F1173" s="87" t="s">
        <v>2769</v>
      </c>
      <c r="G1173" s="93"/>
      <c r="H1173" s="93"/>
      <c r="I1173" s="87" t="s">
        <v>58</v>
      </c>
      <c r="J1173" s="87" t="s">
        <v>3518</v>
      </c>
      <c r="K1173" s="90">
        <v>0.0</v>
      </c>
      <c r="L1173" s="92"/>
      <c r="M1173" s="93"/>
      <c r="N1173" s="87" t="s">
        <v>2771</v>
      </c>
      <c r="O1173" s="87" t="s">
        <v>377</v>
      </c>
      <c r="P1173" s="87" t="s">
        <v>372</v>
      </c>
    </row>
    <row r="1174" ht="15.75" customHeight="1">
      <c r="A1174" s="87" t="s">
        <v>3799</v>
      </c>
      <c r="B1174" s="88">
        <v>1.22E18</v>
      </c>
      <c r="C1174" s="87" t="s">
        <v>3800</v>
      </c>
      <c r="D1174" s="87" t="s">
        <v>56</v>
      </c>
      <c r="E1174" s="87" t="s">
        <v>248</v>
      </c>
      <c r="F1174" s="87" t="s">
        <v>2769</v>
      </c>
      <c r="G1174" s="93"/>
      <c r="H1174" s="93"/>
      <c r="I1174" s="87" t="s">
        <v>58</v>
      </c>
      <c r="J1174" s="87" t="s">
        <v>3801</v>
      </c>
      <c r="K1174" s="90">
        <v>0.0</v>
      </c>
      <c r="L1174" s="92"/>
      <c r="M1174" s="93"/>
      <c r="N1174" s="87" t="s">
        <v>2771</v>
      </c>
      <c r="O1174" s="87" t="s">
        <v>377</v>
      </c>
      <c r="P1174" s="87" t="s">
        <v>372</v>
      </c>
    </row>
    <row r="1175" ht="15.75" customHeight="1">
      <c r="A1175" s="87" t="s">
        <v>3802</v>
      </c>
      <c r="B1175" s="88">
        <v>1.22E18</v>
      </c>
      <c r="C1175" s="87" t="s">
        <v>3803</v>
      </c>
      <c r="D1175" s="87" t="s">
        <v>262</v>
      </c>
      <c r="E1175" s="87" t="s">
        <v>270</v>
      </c>
      <c r="F1175" s="87" t="s">
        <v>3803</v>
      </c>
      <c r="I1175" s="87" t="s">
        <v>58</v>
      </c>
      <c r="J1175" s="87" t="s">
        <v>3518</v>
      </c>
      <c r="K1175" s="90">
        <v>0.0</v>
      </c>
      <c r="L1175" s="92"/>
      <c r="M1175" s="93"/>
      <c r="N1175" s="87" t="s">
        <v>2771</v>
      </c>
      <c r="O1175" s="87" t="s">
        <v>377</v>
      </c>
      <c r="P1175" s="87" t="s">
        <v>372</v>
      </c>
    </row>
    <row r="1176" ht="15.75" customHeight="1">
      <c r="A1176" s="87" t="s">
        <v>3804</v>
      </c>
      <c r="B1176" s="88">
        <v>1.22E18</v>
      </c>
      <c r="C1176" s="87" t="s">
        <v>3805</v>
      </c>
      <c r="D1176" s="87" t="s">
        <v>262</v>
      </c>
      <c r="E1176" s="87" t="s">
        <v>270</v>
      </c>
      <c r="F1176" s="87" t="s">
        <v>3805</v>
      </c>
      <c r="I1176" s="87" t="s">
        <v>58</v>
      </c>
      <c r="J1176" s="87" t="s">
        <v>3806</v>
      </c>
      <c r="K1176" s="90">
        <v>0.0</v>
      </c>
      <c r="L1176" s="92"/>
      <c r="M1176" s="93"/>
      <c r="N1176" s="87" t="s">
        <v>2771</v>
      </c>
      <c r="O1176" s="87" t="s">
        <v>377</v>
      </c>
      <c r="P1176" s="87" t="s">
        <v>372</v>
      </c>
    </row>
    <row r="1177" ht="15.75" customHeight="1">
      <c r="A1177" s="87" t="s">
        <v>3807</v>
      </c>
      <c r="B1177" s="88">
        <v>1.22E18</v>
      </c>
      <c r="C1177" s="87" t="s">
        <v>3808</v>
      </c>
      <c r="D1177" s="87" t="s">
        <v>262</v>
      </c>
      <c r="E1177" s="87" t="s">
        <v>270</v>
      </c>
      <c r="F1177" s="87" t="s">
        <v>3808</v>
      </c>
      <c r="H1177" s="93"/>
      <c r="I1177" s="87" t="s">
        <v>58</v>
      </c>
      <c r="J1177" s="87" t="s">
        <v>3806</v>
      </c>
      <c r="K1177" s="90">
        <v>0.0</v>
      </c>
      <c r="L1177" s="92"/>
      <c r="M1177" s="93"/>
      <c r="N1177" s="87" t="s">
        <v>2771</v>
      </c>
      <c r="O1177" s="87" t="s">
        <v>377</v>
      </c>
      <c r="P1177" s="87" t="s">
        <v>372</v>
      </c>
    </row>
    <row r="1178" ht="15.75" customHeight="1">
      <c r="A1178" s="87" t="s">
        <v>3809</v>
      </c>
      <c r="B1178" s="88">
        <v>1.22E18</v>
      </c>
      <c r="C1178" s="87" t="s">
        <v>3810</v>
      </c>
      <c r="D1178" s="87" t="s">
        <v>262</v>
      </c>
      <c r="E1178" s="87" t="s">
        <v>270</v>
      </c>
      <c r="F1178" s="87" t="s">
        <v>3810</v>
      </c>
      <c r="H1178" s="93"/>
      <c r="I1178" s="87" t="s">
        <v>58</v>
      </c>
      <c r="J1178" s="87" t="s">
        <v>3811</v>
      </c>
      <c r="K1178" s="90">
        <v>0.0</v>
      </c>
      <c r="L1178" s="92"/>
      <c r="M1178" s="93"/>
      <c r="N1178" s="87" t="s">
        <v>2771</v>
      </c>
      <c r="O1178" s="87" t="s">
        <v>377</v>
      </c>
      <c r="P1178" s="87" t="s">
        <v>372</v>
      </c>
    </row>
    <row r="1179" ht="15.75" customHeight="1">
      <c r="A1179" s="87" t="s">
        <v>3812</v>
      </c>
      <c r="B1179" s="88">
        <v>1.22E18</v>
      </c>
      <c r="C1179" s="87" t="s">
        <v>3813</v>
      </c>
      <c r="D1179" s="87" t="s">
        <v>262</v>
      </c>
      <c r="E1179" s="87" t="s">
        <v>270</v>
      </c>
      <c r="F1179" s="87" t="s">
        <v>3813</v>
      </c>
      <c r="H1179" s="93"/>
      <c r="I1179" s="87" t="s">
        <v>58</v>
      </c>
      <c r="J1179" s="87" t="s">
        <v>3811</v>
      </c>
      <c r="K1179" s="90">
        <v>0.0</v>
      </c>
      <c r="L1179" s="92"/>
      <c r="M1179" s="93"/>
      <c r="N1179" s="87" t="s">
        <v>2771</v>
      </c>
      <c r="O1179" s="87" t="s">
        <v>377</v>
      </c>
      <c r="P1179" s="87" t="s">
        <v>372</v>
      </c>
    </row>
    <row r="1180" ht="15.75" customHeight="1">
      <c r="A1180" s="87" t="s">
        <v>3814</v>
      </c>
      <c r="B1180" s="88">
        <v>1.22E18</v>
      </c>
      <c r="C1180" s="87" t="s">
        <v>3815</v>
      </c>
      <c r="D1180" s="87" t="s">
        <v>56</v>
      </c>
      <c r="E1180" s="87" t="s">
        <v>248</v>
      </c>
      <c r="F1180" s="87" t="s">
        <v>2769</v>
      </c>
      <c r="G1180" s="93"/>
      <c r="H1180" s="93"/>
      <c r="I1180" s="87" t="s">
        <v>58</v>
      </c>
      <c r="J1180" s="87" t="s">
        <v>3816</v>
      </c>
      <c r="K1180" s="90">
        <v>0.0</v>
      </c>
      <c r="L1180" s="92"/>
      <c r="M1180" s="93"/>
      <c r="N1180" s="87" t="s">
        <v>2771</v>
      </c>
      <c r="O1180" s="87" t="s">
        <v>377</v>
      </c>
      <c r="P1180" s="87" t="s">
        <v>372</v>
      </c>
    </row>
    <row r="1181" ht="15.75" customHeight="1">
      <c r="A1181" s="87" t="s">
        <v>3817</v>
      </c>
      <c r="B1181" s="88">
        <v>1.22E18</v>
      </c>
      <c r="C1181" s="87" t="s">
        <v>3818</v>
      </c>
      <c r="D1181" s="87" t="s">
        <v>262</v>
      </c>
      <c r="E1181" s="87" t="s">
        <v>270</v>
      </c>
      <c r="F1181" s="87" t="s">
        <v>3818</v>
      </c>
      <c r="H1181" s="93"/>
      <c r="I1181" s="87" t="s">
        <v>58</v>
      </c>
      <c r="J1181" s="87" t="s">
        <v>3787</v>
      </c>
      <c r="K1181" s="90">
        <v>0.0</v>
      </c>
      <c r="L1181" s="92"/>
      <c r="M1181" s="93"/>
      <c r="N1181" s="87" t="s">
        <v>2771</v>
      </c>
      <c r="O1181" s="87" t="s">
        <v>377</v>
      </c>
      <c r="P1181" s="87" t="s">
        <v>372</v>
      </c>
    </row>
    <row r="1182" ht="15.75" customHeight="1">
      <c r="A1182" s="87" t="s">
        <v>3819</v>
      </c>
      <c r="B1182" s="88">
        <v>1.22E18</v>
      </c>
      <c r="C1182" s="87" t="s">
        <v>3820</v>
      </c>
      <c r="D1182" s="87" t="s">
        <v>87</v>
      </c>
      <c r="E1182" s="87" t="s">
        <v>88</v>
      </c>
      <c r="F1182" s="87" t="s">
        <v>3820</v>
      </c>
      <c r="I1182" s="87" t="s">
        <v>58</v>
      </c>
      <c r="J1182" s="87" t="s">
        <v>3518</v>
      </c>
      <c r="K1182" s="90">
        <v>0.0</v>
      </c>
      <c r="L1182" s="92"/>
      <c r="M1182" s="93"/>
      <c r="N1182" s="87" t="s">
        <v>2771</v>
      </c>
      <c r="O1182" s="87" t="s">
        <v>377</v>
      </c>
      <c r="P1182" s="87" t="s">
        <v>372</v>
      </c>
    </row>
    <row r="1183" ht="15.75" customHeight="1">
      <c r="A1183" s="87" t="s">
        <v>3821</v>
      </c>
      <c r="B1183" s="88">
        <v>1.22E18</v>
      </c>
      <c r="C1183" s="87" t="s">
        <v>3822</v>
      </c>
      <c r="D1183" s="87" t="s">
        <v>87</v>
      </c>
      <c r="E1183" s="87" t="s">
        <v>88</v>
      </c>
      <c r="F1183" s="87" t="s">
        <v>3822</v>
      </c>
      <c r="I1183" s="87" t="s">
        <v>58</v>
      </c>
      <c r="J1183" s="87" t="s">
        <v>3823</v>
      </c>
      <c r="K1183" s="90">
        <v>0.0</v>
      </c>
      <c r="L1183" s="92"/>
      <c r="M1183" s="93"/>
      <c r="N1183" s="87" t="s">
        <v>1772</v>
      </c>
      <c r="O1183" s="87" t="s">
        <v>377</v>
      </c>
      <c r="P1183" s="87" t="s">
        <v>372</v>
      </c>
    </row>
    <row r="1184" ht="15.75" customHeight="1">
      <c r="A1184" s="87" t="s">
        <v>3824</v>
      </c>
      <c r="B1184" s="88">
        <v>1.22E18</v>
      </c>
      <c r="C1184" s="87" t="s">
        <v>3825</v>
      </c>
      <c r="D1184" s="87" t="s">
        <v>87</v>
      </c>
      <c r="E1184" s="87" t="s">
        <v>88</v>
      </c>
      <c r="F1184" s="87" t="s">
        <v>3825</v>
      </c>
      <c r="I1184" s="87" t="s">
        <v>58</v>
      </c>
      <c r="J1184" s="87" t="s">
        <v>3826</v>
      </c>
      <c r="K1184" s="90">
        <v>0.0</v>
      </c>
      <c r="L1184" s="92"/>
      <c r="M1184" s="93"/>
      <c r="N1184" s="87" t="s">
        <v>1772</v>
      </c>
      <c r="O1184" s="87" t="s">
        <v>377</v>
      </c>
      <c r="P1184" s="87" t="s">
        <v>372</v>
      </c>
    </row>
    <row r="1185" ht="15.75" customHeight="1">
      <c r="A1185" s="87" t="s">
        <v>3827</v>
      </c>
      <c r="B1185" s="88">
        <v>1.22E18</v>
      </c>
      <c r="C1185" s="87" t="s">
        <v>3828</v>
      </c>
      <c r="D1185" s="87" t="s">
        <v>87</v>
      </c>
      <c r="E1185" s="87" t="s">
        <v>88</v>
      </c>
      <c r="F1185" s="87" t="s">
        <v>3828</v>
      </c>
      <c r="I1185" s="87" t="s">
        <v>2333</v>
      </c>
      <c r="J1185" s="87" t="s">
        <v>2309</v>
      </c>
      <c r="K1185" s="90">
        <v>0.0</v>
      </c>
      <c r="L1185" s="92"/>
      <c r="M1185" s="93"/>
      <c r="N1185" s="87" t="s">
        <v>474</v>
      </c>
      <c r="O1185" s="87" t="s">
        <v>377</v>
      </c>
      <c r="P1185" s="87" t="s">
        <v>372</v>
      </c>
    </row>
    <row r="1186" ht="15.75" customHeight="1">
      <c r="A1186" s="87" t="s">
        <v>3829</v>
      </c>
      <c r="B1186" s="88">
        <v>1.22E18</v>
      </c>
      <c r="C1186" s="87" t="s">
        <v>3830</v>
      </c>
      <c r="D1186" s="87" t="s">
        <v>262</v>
      </c>
      <c r="E1186" s="87" t="s">
        <v>263</v>
      </c>
      <c r="F1186" s="87" t="s">
        <v>3830</v>
      </c>
      <c r="I1186" s="87" t="s">
        <v>58</v>
      </c>
      <c r="J1186" s="87" t="s">
        <v>3831</v>
      </c>
      <c r="K1186" s="90">
        <v>0.0</v>
      </c>
      <c r="L1186" s="92"/>
      <c r="M1186" s="93"/>
      <c r="N1186" s="87" t="s">
        <v>3832</v>
      </c>
      <c r="O1186" s="87" t="s">
        <v>377</v>
      </c>
      <c r="P1186" s="87" t="s">
        <v>372</v>
      </c>
    </row>
    <row r="1187" ht="15.75" customHeight="1">
      <c r="A1187" s="87" t="s">
        <v>3833</v>
      </c>
      <c r="B1187" s="88">
        <v>1.22E18</v>
      </c>
      <c r="C1187" s="87" t="s">
        <v>3834</v>
      </c>
      <c r="D1187" s="87" t="s">
        <v>262</v>
      </c>
      <c r="E1187" s="87" t="s">
        <v>263</v>
      </c>
      <c r="F1187" s="87" t="s">
        <v>415</v>
      </c>
      <c r="G1187" s="93"/>
      <c r="H1187" s="93"/>
      <c r="I1187" s="87" t="s">
        <v>58</v>
      </c>
      <c r="J1187" s="87" t="s">
        <v>3835</v>
      </c>
      <c r="K1187" s="90">
        <v>1.0</v>
      </c>
      <c r="L1187" s="92"/>
      <c r="M1187" s="93"/>
      <c r="N1187" s="87" t="s">
        <v>2541</v>
      </c>
      <c r="O1187" s="87" t="s">
        <v>377</v>
      </c>
      <c r="P1187" s="87" t="s">
        <v>372</v>
      </c>
    </row>
    <row r="1188" ht="15.75" customHeight="1">
      <c r="A1188" s="87" t="s">
        <v>3836</v>
      </c>
      <c r="B1188" s="88">
        <v>1.22E18</v>
      </c>
      <c r="C1188" s="87" t="s">
        <v>3837</v>
      </c>
      <c r="D1188" s="87" t="s">
        <v>87</v>
      </c>
      <c r="E1188" s="87" t="s">
        <v>88</v>
      </c>
      <c r="F1188" s="118" t="s">
        <v>3837</v>
      </c>
      <c r="G1188" s="130"/>
      <c r="H1188" s="119"/>
      <c r="I1188" s="87" t="s">
        <v>58</v>
      </c>
      <c r="J1188" s="87" t="s">
        <v>1978</v>
      </c>
      <c r="K1188" s="90">
        <v>0.0</v>
      </c>
      <c r="L1188" s="92"/>
      <c r="M1188" s="93"/>
      <c r="N1188" s="87" t="s">
        <v>1772</v>
      </c>
      <c r="O1188" s="87" t="s">
        <v>377</v>
      </c>
      <c r="P1188" s="87" t="s">
        <v>372</v>
      </c>
    </row>
    <row r="1189" ht="15.75" customHeight="1">
      <c r="A1189" s="87" t="s">
        <v>3838</v>
      </c>
      <c r="B1189" s="88">
        <v>1.22E18</v>
      </c>
      <c r="C1189" s="87" t="s">
        <v>3839</v>
      </c>
      <c r="D1189" s="87" t="s">
        <v>87</v>
      </c>
      <c r="E1189" s="87" t="s">
        <v>88</v>
      </c>
      <c r="F1189" s="87" t="s">
        <v>3839</v>
      </c>
      <c r="I1189" s="87" t="s">
        <v>495</v>
      </c>
      <c r="J1189" s="87" t="s">
        <v>3840</v>
      </c>
      <c r="K1189" s="90">
        <v>125.0</v>
      </c>
      <c r="L1189" s="92"/>
      <c r="M1189" s="93"/>
      <c r="N1189" s="87" t="s">
        <v>3499</v>
      </c>
      <c r="O1189" s="87" t="s">
        <v>377</v>
      </c>
      <c r="P1189" s="87" t="s">
        <v>372</v>
      </c>
    </row>
    <row r="1190" ht="15.75" customHeight="1">
      <c r="A1190" s="87" t="s">
        <v>3841</v>
      </c>
      <c r="B1190" s="88">
        <v>1.22E18</v>
      </c>
      <c r="C1190" s="87" t="s">
        <v>3842</v>
      </c>
      <c r="D1190" s="87" t="s">
        <v>87</v>
      </c>
      <c r="E1190" s="87" t="s">
        <v>88</v>
      </c>
      <c r="F1190" s="87" t="s">
        <v>3842</v>
      </c>
      <c r="I1190" s="87" t="s">
        <v>58</v>
      </c>
      <c r="J1190" s="87" t="s">
        <v>3843</v>
      </c>
      <c r="K1190" s="90">
        <v>0.0</v>
      </c>
      <c r="L1190" s="92"/>
      <c r="M1190" s="93"/>
      <c r="N1190" s="93"/>
      <c r="O1190" s="87" t="s">
        <v>377</v>
      </c>
      <c r="P1190" s="87" t="s">
        <v>372</v>
      </c>
    </row>
    <row r="1191" ht="15.75" customHeight="1">
      <c r="A1191" s="87" t="s">
        <v>3844</v>
      </c>
      <c r="B1191" s="88">
        <v>1.22E18</v>
      </c>
      <c r="C1191" s="87" t="s">
        <v>3845</v>
      </c>
      <c r="D1191" s="87" t="s">
        <v>87</v>
      </c>
      <c r="E1191" s="87" t="s">
        <v>88</v>
      </c>
      <c r="F1191" s="87" t="s">
        <v>3845</v>
      </c>
      <c r="H1191" s="93"/>
      <c r="I1191" s="87" t="s">
        <v>58</v>
      </c>
      <c r="J1191" s="87" t="s">
        <v>3175</v>
      </c>
      <c r="K1191" s="90">
        <v>0.0</v>
      </c>
      <c r="L1191" s="92"/>
      <c r="M1191" s="93"/>
      <c r="N1191" s="87" t="s">
        <v>3846</v>
      </c>
      <c r="O1191" s="87" t="s">
        <v>377</v>
      </c>
      <c r="P1191" s="87" t="s">
        <v>372</v>
      </c>
    </row>
    <row r="1192" ht="15.75" customHeight="1">
      <c r="A1192" s="87" t="s">
        <v>3847</v>
      </c>
      <c r="B1192" s="88">
        <v>1.22E18</v>
      </c>
      <c r="C1192" s="87" t="s">
        <v>3848</v>
      </c>
      <c r="D1192" s="87" t="s">
        <v>87</v>
      </c>
      <c r="E1192" s="87" t="s">
        <v>88</v>
      </c>
      <c r="F1192" s="87" t="s">
        <v>3848</v>
      </c>
      <c r="H1192" s="93"/>
      <c r="I1192" s="87" t="s">
        <v>58</v>
      </c>
      <c r="J1192" s="87" t="s">
        <v>3849</v>
      </c>
      <c r="K1192" s="90">
        <v>0.0</v>
      </c>
      <c r="L1192" s="92"/>
      <c r="M1192" s="93"/>
      <c r="N1192" s="87" t="s">
        <v>3846</v>
      </c>
      <c r="O1192" s="87" t="s">
        <v>377</v>
      </c>
      <c r="P1192" s="87" t="s">
        <v>372</v>
      </c>
    </row>
    <row r="1193" ht="15.75" customHeight="1">
      <c r="A1193" s="87" t="s">
        <v>3850</v>
      </c>
      <c r="B1193" s="88">
        <v>1.22E18</v>
      </c>
      <c r="C1193" s="87" t="s">
        <v>3851</v>
      </c>
      <c r="D1193" s="87" t="s">
        <v>87</v>
      </c>
      <c r="E1193" s="87" t="s">
        <v>88</v>
      </c>
      <c r="F1193" s="87" t="s">
        <v>3851</v>
      </c>
      <c r="H1193" s="93"/>
      <c r="I1193" s="87" t="s">
        <v>58</v>
      </c>
      <c r="J1193" s="87" t="s">
        <v>3852</v>
      </c>
      <c r="K1193" s="90">
        <v>0.0</v>
      </c>
      <c r="L1193" s="92"/>
      <c r="M1193" s="93"/>
      <c r="N1193" s="87" t="s">
        <v>3846</v>
      </c>
      <c r="O1193" s="87" t="s">
        <v>377</v>
      </c>
      <c r="P1193" s="87" t="s">
        <v>372</v>
      </c>
    </row>
    <row r="1194" ht="15.75" customHeight="1">
      <c r="A1194" s="87" t="s">
        <v>3853</v>
      </c>
      <c r="B1194" s="88">
        <v>1.22E18</v>
      </c>
      <c r="C1194" s="87" t="s">
        <v>3854</v>
      </c>
      <c r="D1194" s="87" t="s">
        <v>262</v>
      </c>
      <c r="E1194" s="87" t="s">
        <v>275</v>
      </c>
      <c r="F1194" s="87" t="s">
        <v>415</v>
      </c>
      <c r="G1194" s="93"/>
      <c r="H1194" s="87" t="s">
        <v>1753</v>
      </c>
      <c r="I1194" s="87" t="s">
        <v>58</v>
      </c>
      <c r="J1194" s="87" t="s">
        <v>3855</v>
      </c>
      <c r="K1194" s="90">
        <v>1.0</v>
      </c>
      <c r="L1194" s="92"/>
      <c r="M1194" s="93"/>
      <c r="N1194" s="87" t="s">
        <v>1753</v>
      </c>
      <c r="O1194" s="87" t="s">
        <v>377</v>
      </c>
      <c r="P1194" s="87" t="s">
        <v>372</v>
      </c>
    </row>
    <row r="1195" ht="15.75" customHeight="1">
      <c r="A1195" s="87" t="s">
        <v>3856</v>
      </c>
      <c r="B1195" s="88">
        <v>1.22E18</v>
      </c>
      <c r="C1195" s="87" t="s">
        <v>3857</v>
      </c>
      <c r="D1195" s="87" t="s">
        <v>262</v>
      </c>
      <c r="E1195" s="87" t="s">
        <v>275</v>
      </c>
      <c r="F1195" s="87" t="s">
        <v>3857</v>
      </c>
      <c r="H1195" s="87" t="s">
        <v>1753</v>
      </c>
      <c r="I1195" s="87" t="s">
        <v>58</v>
      </c>
      <c r="J1195" s="87" t="s">
        <v>3858</v>
      </c>
      <c r="K1195" s="90">
        <v>0.0</v>
      </c>
      <c r="L1195" s="92"/>
      <c r="M1195" s="93"/>
      <c r="N1195" s="87" t="s">
        <v>1753</v>
      </c>
      <c r="O1195" s="87" t="s">
        <v>377</v>
      </c>
      <c r="P1195" s="87" t="s">
        <v>372</v>
      </c>
    </row>
    <row r="1196" ht="15.75" customHeight="1">
      <c r="A1196" s="87" t="s">
        <v>3859</v>
      </c>
      <c r="B1196" s="88">
        <v>1.22E18</v>
      </c>
      <c r="C1196" s="87" t="s">
        <v>3860</v>
      </c>
      <c r="D1196" s="87" t="s">
        <v>262</v>
      </c>
      <c r="E1196" s="87" t="s">
        <v>275</v>
      </c>
      <c r="F1196" s="87" t="s">
        <v>415</v>
      </c>
      <c r="G1196" s="93"/>
      <c r="H1196" s="87" t="s">
        <v>1753</v>
      </c>
      <c r="I1196" s="87" t="s">
        <v>58</v>
      </c>
      <c r="J1196" s="87" t="s">
        <v>3861</v>
      </c>
      <c r="K1196" s="90">
        <v>1.0</v>
      </c>
      <c r="L1196" s="92"/>
      <c r="M1196" s="93"/>
      <c r="N1196" s="87" t="s">
        <v>1753</v>
      </c>
      <c r="O1196" s="87" t="s">
        <v>377</v>
      </c>
      <c r="P1196" s="87" t="s">
        <v>372</v>
      </c>
    </row>
    <row r="1197" ht="15.75" customHeight="1">
      <c r="A1197" s="87" t="s">
        <v>3862</v>
      </c>
      <c r="B1197" s="88">
        <v>1.22E18</v>
      </c>
      <c r="C1197" s="87" t="s">
        <v>3863</v>
      </c>
      <c r="D1197" s="87" t="s">
        <v>262</v>
      </c>
      <c r="E1197" s="87" t="s">
        <v>275</v>
      </c>
      <c r="F1197" s="87" t="s">
        <v>415</v>
      </c>
      <c r="G1197" s="93"/>
      <c r="H1197" s="87" t="s">
        <v>1753</v>
      </c>
      <c r="I1197" s="87" t="s">
        <v>58</v>
      </c>
      <c r="J1197" s="87" t="s">
        <v>3864</v>
      </c>
      <c r="K1197" s="90">
        <v>1.0</v>
      </c>
      <c r="L1197" s="92"/>
      <c r="M1197" s="93"/>
      <c r="N1197" s="87" t="s">
        <v>1753</v>
      </c>
      <c r="O1197" s="87" t="s">
        <v>377</v>
      </c>
      <c r="P1197" s="87" t="s">
        <v>372</v>
      </c>
    </row>
    <row r="1198" ht="15.75" customHeight="1">
      <c r="A1198" s="87" t="s">
        <v>3865</v>
      </c>
      <c r="B1198" s="88">
        <v>1.22E18</v>
      </c>
      <c r="C1198" s="87" t="s">
        <v>3866</v>
      </c>
      <c r="D1198" s="87" t="s">
        <v>262</v>
      </c>
      <c r="E1198" s="87" t="s">
        <v>263</v>
      </c>
      <c r="F1198" s="87" t="s">
        <v>415</v>
      </c>
      <c r="G1198" s="93"/>
      <c r="H1198" s="93"/>
      <c r="I1198" s="87" t="s">
        <v>58</v>
      </c>
      <c r="J1198" s="87" t="s">
        <v>3867</v>
      </c>
      <c r="K1198" s="90">
        <v>1.0</v>
      </c>
      <c r="L1198" s="92"/>
      <c r="M1198" s="93"/>
      <c r="N1198" s="93"/>
      <c r="O1198" s="87" t="s">
        <v>377</v>
      </c>
      <c r="P1198" s="87" t="s">
        <v>372</v>
      </c>
    </row>
    <row r="1199" ht="15.75" customHeight="1">
      <c r="A1199" s="87" t="s">
        <v>3868</v>
      </c>
      <c r="B1199" s="88">
        <v>1.22E18</v>
      </c>
      <c r="C1199" s="87" t="s">
        <v>3869</v>
      </c>
      <c r="D1199" s="87" t="s">
        <v>57</v>
      </c>
      <c r="E1199" s="87" t="s">
        <v>287</v>
      </c>
      <c r="F1199" s="87" t="s">
        <v>415</v>
      </c>
      <c r="G1199" s="93"/>
      <c r="H1199" s="87" t="s">
        <v>3870</v>
      </c>
      <c r="I1199" s="87" t="s">
        <v>58</v>
      </c>
      <c r="J1199" s="87" t="s">
        <v>3871</v>
      </c>
      <c r="K1199" s="90">
        <v>1.0</v>
      </c>
      <c r="L1199" s="92"/>
      <c r="M1199" s="93"/>
      <c r="N1199" s="93"/>
      <c r="O1199" s="87" t="s">
        <v>377</v>
      </c>
      <c r="P1199" s="87" t="s">
        <v>372</v>
      </c>
    </row>
    <row r="1200" ht="15.75" customHeight="1">
      <c r="A1200" s="87" t="s">
        <v>3872</v>
      </c>
      <c r="B1200" s="88">
        <v>1.22E18</v>
      </c>
      <c r="C1200" s="87" t="s">
        <v>3873</v>
      </c>
      <c r="D1200" s="87" t="s">
        <v>56</v>
      </c>
      <c r="E1200" s="87" t="s">
        <v>102</v>
      </c>
      <c r="F1200" s="87" t="s">
        <v>1763</v>
      </c>
      <c r="I1200" s="93"/>
      <c r="J1200" s="87" t="s">
        <v>3874</v>
      </c>
      <c r="K1200" s="90">
        <v>0.0</v>
      </c>
      <c r="L1200" s="92"/>
      <c r="M1200" s="93"/>
      <c r="N1200" s="93"/>
      <c r="O1200" s="87" t="s">
        <v>377</v>
      </c>
      <c r="P1200" s="87" t="s">
        <v>372</v>
      </c>
    </row>
    <row r="1201" ht="15.75" customHeight="1">
      <c r="A1201" s="87" t="s">
        <v>3875</v>
      </c>
      <c r="B1201" s="88">
        <v>1.22E18</v>
      </c>
      <c r="C1201" s="87" t="s">
        <v>3876</v>
      </c>
      <c r="D1201" s="87" t="s">
        <v>87</v>
      </c>
      <c r="E1201" s="87" t="s">
        <v>88</v>
      </c>
      <c r="F1201" s="118" t="s">
        <v>3876</v>
      </c>
      <c r="G1201" s="130"/>
      <c r="H1201" s="119"/>
      <c r="I1201" s="87" t="s">
        <v>1742</v>
      </c>
      <c r="J1201" s="87" t="s">
        <v>3877</v>
      </c>
      <c r="K1201" s="90">
        <v>0.0</v>
      </c>
      <c r="L1201" s="92"/>
      <c r="M1201" s="93"/>
      <c r="N1201" s="93"/>
      <c r="O1201" s="87" t="s">
        <v>377</v>
      </c>
      <c r="P1201" s="87" t="s">
        <v>372</v>
      </c>
    </row>
    <row r="1202" ht="15.75" customHeight="1">
      <c r="A1202" s="87" t="s">
        <v>3878</v>
      </c>
      <c r="B1202" s="88">
        <v>1.22E18</v>
      </c>
      <c r="C1202" s="87" t="s">
        <v>3879</v>
      </c>
      <c r="D1202" s="87" t="s">
        <v>87</v>
      </c>
      <c r="E1202" s="87" t="s">
        <v>88</v>
      </c>
      <c r="F1202" s="118" t="s">
        <v>3879</v>
      </c>
      <c r="G1202" s="130"/>
      <c r="H1202" s="119"/>
      <c r="I1202" s="87" t="s">
        <v>58</v>
      </c>
      <c r="J1202" s="87" t="s">
        <v>3880</v>
      </c>
      <c r="K1202" s="90">
        <v>0.0</v>
      </c>
      <c r="L1202" s="92"/>
      <c r="M1202" s="93"/>
      <c r="N1202" s="93"/>
      <c r="O1202" s="87" t="s">
        <v>377</v>
      </c>
      <c r="P1202" s="87" t="s">
        <v>372</v>
      </c>
    </row>
    <row r="1203" ht="15.75" customHeight="1">
      <c r="A1203" s="87" t="s">
        <v>3881</v>
      </c>
      <c r="B1203" s="88">
        <v>1.22E18</v>
      </c>
      <c r="C1203" s="87" t="s">
        <v>3882</v>
      </c>
      <c r="D1203" s="87" t="s">
        <v>87</v>
      </c>
      <c r="E1203" s="87" t="s">
        <v>88</v>
      </c>
      <c r="F1203" s="118" t="s">
        <v>3882</v>
      </c>
      <c r="G1203" s="130"/>
      <c r="H1203" s="119"/>
      <c r="I1203" s="87" t="s">
        <v>1742</v>
      </c>
      <c r="J1203" s="87" t="s">
        <v>3285</v>
      </c>
      <c r="K1203" s="90">
        <v>0.0</v>
      </c>
      <c r="L1203" s="92"/>
      <c r="M1203" s="93"/>
      <c r="N1203" s="93"/>
      <c r="O1203" s="87" t="s">
        <v>377</v>
      </c>
      <c r="P1203" s="87" t="s">
        <v>372</v>
      </c>
    </row>
    <row r="1204" ht="15.75" customHeight="1">
      <c r="A1204" s="87" t="s">
        <v>3883</v>
      </c>
      <c r="B1204" s="88">
        <v>1.22E18</v>
      </c>
      <c r="C1204" s="87" t="s">
        <v>3884</v>
      </c>
      <c r="D1204" s="87" t="s">
        <v>87</v>
      </c>
      <c r="E1204" s="87" t="s">
        <v>88</v>
      </c>
      <c r="F1204" s="118" t="s">
        <v>3884</v>
      </c>
      <c r="G1204" s="130"/>
      <c r="H1204" s="119"/>
      <c r="I1204" s="87" t="s">
        <v>1123</v>
      </c>
      <c r="J1204" s="87" t="s">
        <v>3885</v>
      </c>
      <c r="K1204" s="90">
        <v>0.0</v>
      </c>
      <c r="L1204" s="92"/>
      <c r="M1204" s="93"/>
      <c r="N1204" s="87" t="s">
        <v>1772</v>
      </c>
      <c r="O1204" s="87" t="s">
        <v>377</v>
      </c>
      <c r="P1204" s="87" t="s">
        <v>372</v>
      </c>
    </row>
    <row r="1205" ht="15.75" customHeight="1">
      <c r="A1205" s="87" t="s">
        <v>3886</v>
      </c>
      <c r="B1205" s="88">
        <v>1.22E18</v>
      </c>
      <c r="C1205" s="87" t="s">
        <v>3887</v>
      </c>
      <c r="D1205" s="87" t="s">
        <v>87</v>
      </c>
      <c r="E1205" s="87" t="s">
        <v>88</v>
      </c>
      <c r="F1205" s="87" t="s">
        <v>3887</v>
      </c>
      <c r="I1205" s="87" t="s">
        <v>1123</v>
      </c>
      <c r="J1205" s="87" t="s">
        <v>3888</v>
      </c>
      <c r="K1205" s="90">
        <v>0.0</v>
      </c>
      <c r="L1205" s="92"/>
      <c r="M1205" s="93"/>
      <c r="N1205" s="87" t="s">
        <v>1772</v>
      </c>
      <c r="O1205" s="87" t="s">
        <v>377</v>
      </c>
      <c r="P1205" s="87" t="s">
        <v>372</v>
      </c>
    </row>
    <row r="1206" ht="15.75" customHeight="1">
      <c r="A1206" s="87" t="s">
        <v>3889</v>
      </c>
      <c r="B1206" s="88">
        <v>1.22E18</v>
      </c>
      <c r="C1206" s="87" t="s">
        <v>3890</v>
      </c>
      <c r="D1206" s="87" t="s">
        <v>262</v>
      </c>
      <c r="E1206" s="87" t="s">
        <v>278</v>
      </c>
      <c r="F1206" s="87" t="s">
        <v>3890</v>
      </c>
      <c r="H1206" s="93"/>
      <c r="I1206" s="87" t="s">
        <v>103</v>
      </c>
      <c r="J1206" s="87" t="s">
        <v>3891</v>
      </c>
      <c r="L1206" s="92"/>
      <c r="M1206" s="93"/>
      <c r="N1206" s="93"/>
      <c r="O1206" s="87" t="s">
        <v>377</v>
      </c>
      <c r="P1206" s="87" t="s">
        <v>2565</v>
      </c>
    </row>
    <row r="1207" ht="15.75" customHeight="1">
      <c r="A1207" s="87" t="s">
        <v>3892</v>
      </c>
      <c r="B1207" s="88">
        <v>1.22E18</v>
      </c>
      <c r="C1207" s="87" t="s">
        <v>3893</v>
      </c>
      <c r="D1207" s="87" t="s">
        <v>262</v>
      </c>
      <c r="E1207" s="87" t="s">
        <v>267</v>
      </c>
      <c r="F1207" s="118" t="s">
        <v>3893</v>
      </c>
      <c r="G1207" s="119"/>
      <c r="H1207" s="87" t="s">
        <v>2364</v>
      </c>
      <c r="I1207" s="87" t="s">
        <v>58</v>
      </c>
      <c r="J1207" s="87" t="s">
        <v>3894</v>
      </c>
      <c r="K1207" s="90">
        <v>0.0</v>
      </c>
      <c r="L1207" s="92"/>
      <c r="M1207" s="93"/>
      <c r="N1207" s="87" t="s">
        <v>2364</v>
      </c>
      <c r="O1207" s="87" t="s">
        <v>377</v>
      </c>
      <c r="P1207" s="87" t="s">
        <v>372</v>
      </c>
    </row>
    <row r="1208" ht="15.75" customHeight="1">
      <c r="A1208" s="87" t="s">
        <v>3895</v>
      </c>
      <c r="B1208" s="88">
        <v>1.22E18</v>
      </c>
      <c r="C1208" s="87" t="s">
        <v>3896</v>
      </c>
      <c r="D1208" s="87" t="s">
        <v>262</v>
      </c>
      <c r="E1208" s="87" t="s">
        <v>270</v>
      </c>
      <c r="F1208" s="87" t="s">
        <v>3896</v>
      </c>
      <c r="I1208" s="87" t="s">
        <v>58</v>
      </c>
      <c r="J1208" s="87" t="s">
        <v>2041</v>
      </c>
      <c r="K1208" s="90">
        <v>0.0</v>
      </c>
      <c r="L1208" s="92"/>
      <c r="M1208" s="93"/>
      <c r="N1208" s="87" t="s">
        <v>2468</v>
      </c>
      <c r="O1208" s="87" t="s">
        <v>377</v>
      </c>
      <c r="P1208" s="87" t="s">
        <v>372</v>
      </c>
    </row>
    <row r="1209" ht="15.75" customHeight="1">
      <c r="A1209" s="87" t="s">
        <v>3897</v>
      </c>
      <c r="B1209" s="88">
        <v>1.22E18</v>
      </c>
      <c r="C1209" s="87" t="s">
        <v>3898</v>
      </c>
      <c r="D1209" s="87" t="s">
        <v>262</v>
      </c>
      <c r="E1209" s="87" t="s">
        <v>278</v>
      </c>
      <c r="F1209" s="87" t="s">
        <v>3898</v>
      </c>
      <c r="I1209" s="87" t="s">
        <v>103</v>
      </c>
      <c r="J1209" s="87" t="s">
        <v>3899</v>
      </c>
      <c r="L1209" s="92"/>
      <c r="M1209" s="93"/>
      <c r="N1209" s="93"/>
      <c r="O1209" s="87" t="s">
        <v>377</v>
      </c>
      <c r="P1209" s="87" t="s">
        <v>2565</v>
      </c>
    </row>
    <row r="1210" ht="15.75" customHeight="1">
      <c r="A1210" s="87" t="s">
        <v>3900</v>
      </c>
      <c r="B1210" s="88">
        <v>1.22E18</v>
      </c>
      <c r="C1210" s="87" t="s">
        <v>3901</v>
      </c>
      <c r="D1210" s="87" t="s">
        <v>87</v>
      </c>
      <c r="E1210" s="87" t="s">
        <v>88</v>
      </c>
      <c r="F1210" s="118" t="s">
        <v>3901</v>
      </c>
      <c r="G1210" s="130"/>
      <c r="H1210" s="119"/>
      <c r="I1210" s="87" t="s">
        <v>58</v>
      </c>
      <c r="J1210" s="87" t="s">
        <v>3902</v>
      </c>
      <c r="K1210" s="90">
        <v>0.0</v>
      </c>
      <c r="L1210" s="92"/>
      <c r="M1210" s="93"/>
      <c r="N1210" s="87" t="s">
        <v>1772</v>
      </c>
      <c r="O1210" s="87" t="s">
        <v>377</v>
      </c>
      <c r="P1210" s="87" t="s">
        <v>372</v>
      </c>
    </row>
    <row r="1211" ht="15.75" customHeight="1">
      <c r="A1211" s="87" t="s">
        <v>3903</v>
      </c>
      <c r="B1211" s="88">
        <v>1.22E18</v>
      </c>
      <c r="C1211" s="87" t="s">
        <v>3904</v>
      </c>
      <c r="D1211" s="87" t="s">
        <v>87</v>
      </c>
      <c r="E1211" s="87" t="s">
        <v>102</v>
      </c>
      <c r="F1211" s="87" t="s">
        <v>861</v>
      </c>
      <c r="G1211" s="93"/>
      <c r="H1211" s="87" t="s">
        <v>2227</v>
      </c>
      <c r="I1211" s="87" t="s">
        <v>58</v>
      </c>
      <c r="J1211" s="87" t="s">
        <v>2874</v>
      </c>
      <c r="K1211" s="90">
        <v>0.0</v>
      </c>
      <c r="L1211" s="92"/>
      <c r="M1211" s="93"/>
      <c r="N1211" s="87" t="s">
        <v>3315</v>
      </c>
      <c r="O1211" s="87" t="s">
        <v>377</v>
      </c>
      <c r="P1211" s="87" t="s">
        <v>372</v>
      </c>
    </row>
    <row r="1212" ht="15.75" customHeight="1">
      <c r="A1212" s="87" t="s">
        <v>3905</v>
      </c>
      <c r="B1212" s="88">
        <v>1.22E18</v>
      </c>
      <c r="C1212" s="87" t="s">
        <v>3906</v>
      </c>
      <c r="D1212" s="87" t="s">
        <v>87</v>
      </c>
      <c r="E1212" s="87" t="s">
        <v>88</v>
      </c>
      <c r="F1212" s="87" t="s">
        <v>3906</v>
      </c>
      <c r="H1212" s="93"/>
      <c r="I1212" s="87" t="s">
        <v>58</v>
      </c>
      <c r="J1212" s="87" t="s">
        <v>3907</v>
      </c>
      <c r="K1212" s="90">
        <v>0.0</v>
      </c>
      <c r="L1212" s="92"/>
      <c r="M1212" s="93"/>
      <c r="N1212" s="93"/>
      <c r="O1212" s="87" t="s">
        <v>377</v>
      </c>
      <c r="P1212" s="87" t="s">
        <v>372</v>
      </c>
    </row>
    <row r="1213" ht="15.75" customHeight="1">
      <c r="A1213" s="87" t="s">
        <v>3908</v>
      </c>
      <c r="B1213" s="88">
        <v>1.22E18</v>
      </c>
      <c r="C1213" s="87" t="s">
        <v>3909</v>
      </c>
      <c r="D1213" s="87" t="s">
        <v>87</v>
      </c>
      <c r="E1213" s="87" t="s">
        <v>88</v>
      </c>
      <c r="F1213" s="87" t="s">
        <v>3909</v>
      </c>
      <c r="I1213" s="87" t="s">
        <v>315</v>
      </c>
      <c r="J1213" s="87" t="s">
        <v>3910</v>
      </c>
      <c r="K1213" s="90">
        <v>30000.0</v>
      </c>
      <c r="L1213" s="92"/>
      <c r="M1213" s="93"/>
      <c r="N1213" s="93"/>
      <c r="O1213" s="87" t="s">
        <v>377</v>
      </c>
      <c r="P1213" s="87" t="s">
        <v>372</v>
      </c>
    </row>
    <row r="1214" ht="15.75" customHeight="1">
      <c r="A1214" s="87" t="s">
        <v>3911</v>
      </c>
      <c r="B1214" s="88">
        <v>1.22E18</v>
      </c>
      <c r="C1214" s="87" t="s">
        <v>3912</v>
      </c>
      <c r="D1214" s="87" t="s">
        <v>87</v>
      </c>
      <c r="E1214" s="87" t="s">
        <v>88</v>
      </c>
      <c r="F1214" s="87" t="s">
        <v>379</v>
      </c>
      <c r="G1214" s="93"/>
      <c r="H1214" s="87" t="s">
        <v>369</v>
      </c>
      <c r="I1214" s="93"/>
      <c r="J1214" s="87" t="s">
        <v>3913</v>
      </c>
      <c r="K1214" s="90">
        <v>0.0</v>
      </c>
      <c r="L1214" s="92"/>
      <c r="M1214" s="93"/>
      <c r="N1214" s="87" t="s">
        <v>390</v>
      </c>
      <c r="O1214" s="87" t="s">
        <v>377</v>
      </c>
      <c r="P1214" s="87" t="s">
        <v>372</v>
      </c>
    </row>
    <row r="1215" ht="15.75" customHeight="1">
      <c r="A1215" s="87" t="s">
        <v>3914</v>
      </c>
      <c r="B1215" s="88">
        <v>1.22E18</v>
      </c>
      <c r="C1215" s="87" t="s">
        <v>3915</v>
      </c>
      <c r="D1215" s="87" t="s">
        <v>87</v>
      </c>
      <c r="E1215" s="87" t="s">
        <v>88</v>
      </c>
      <c r="F1215" s="118" t="s">
        <v>3915</v>
      </c>
      <c r="G1215" s="130"/>
      <c r="H1215" s="119"/>
      <c r="I1215" s="87" t="s">
        <v>327</v>
      </c>
      <c r="J1215" s="87" t="s">
        <v>3916</v>
      </c>
      <c r="K1215" s="90">
        <v>50000.0</v>
      </c>
      <c r="L1215" s="92"/>
      <c r="M1215" s="93"/>
      <c r="N1215" s="93"/>
      <c r="O1215" s="87" t="s">
        <v>377</v>
      </c>
      <c r="P1215" s="87" t="s">
        <v>372</v>
      </c>
    </row>
    <row r="1216" ht="15.75" customHeight="1">
      <c r="A1216" s="87" t="s">
        <v>3917</v>
      </c>
      <c r="B1216" s="88">
        <v>1.22E18</v>
      </c>
      <c r="C1216" s="87" t="s">
        <v>3918</v>
      </c>
      <c r="D1216" s="87" t="s">
        <v>87</v>
      </c>
      <c r="E1216" s="87" t="s">
        <v>88</v>
      </c>
      <c r="F1216" s="87" t="s">
        <v>3918</v>
      </c>
      <c r="H1216" s="87" t="s">
        <v>1152</v>
      </c>
      <c r="I1216" s="87" t="s">
        <v>327</v>
      </c>
      <c r="J1216" s="87" t="s">
        <v>3919</v>
      </c>
      <c r="K1216" s="90">
        <v>0.0</v>
      </c>
      <c r="L1216" s="92"/>
      <c r="M1216" s="93"/>
      <c r="N1216" s="93"/>
      <c r="O1216" s="87" t="s">
        <v>377</v>
      </c>
      <c r="P1216" s="87" t="s">
        <v>372</v>
      </c>
    </row>
    <row r="1217" ht="15.75" customHeight="1">
      <c r="A1217" s="87" t="s">
        <v>3920</v>
      </c>
      <c r="B1217" s="88">
        <v>1.22E18</v>
      </c>
      <c r="C1217" s="87" t="s">
        <v>3921</v>
      </c>
      <c r="D1217" s="87" t="s">
        <v>262</v>
      </c>
      <c r="E1217" s="87" t="s">
        <v>263</v>
      </c>
      <c r="F1217" s="87" t="s">
        <v>415</v>
      </c>
      <c r="G1217" s="93"/>
      <c r="H1217" s="93"/>
      <c r="I1217" s="87" t="s">
        <v>58</v>
      </c>
      <c r="J1217" s="87" t="s">
        <v>3922</v>
      </c>
      <c r="K1217" s="90">
        <v>2.0</v>
      </c>
      <c r="L1217" s="92"/>
      <c r="M1217" s="93"/>
      <c r="N1217" s="93"/>
      <c r="O1217" s="87" t="s">
        <v>377</v>
      </c>
      <c r="P1217" s="87" t="s">
        <v>372</v>
      </c>
    </row>
    <row r="1218" ht="15.75" customHeight="1">
      <c r="A1218" s="87" t="s">
        <v>3923</v>
      </c>
      <c r="B1218" s="88">
        <v>1.22E18</v>
      </c>
      <c r="C1218" s="87" t="s">
        <v>3924</v>
      </c>
      <c r="D1218" s="87" t="s">
        <v>262</v>
      </c>
      <c r="E1218" s="87" t="s">
        <v>267</v>
      </c>
      <c r="F1218" s="87" t="s">
        <v>3924</v>
      </c>
      <c r="I1218" s="87" t="s">
        <v>58</v>
      </c>
      <c r="J1218" s="87" t="s">
        <v>3925</v>
      </c>
      <c r="K1218" s="90">
        <v>0.0</v>
      </c>
      <c r="L1218" s="92"/>
      <c r="M1218" s="93"/>
      <c r="N1218" s="87" t="s">
        <v>3202</v>
      </c>
      <c r="O1218" s="87" t="s">
        <v>377</v>
      </c>
      <c r="P1218" s="87" t="s">
        <v>372</v>
      </c>
    </row>
    <row r="1219" ht="15.75" customHeight="1">
      <c r="A1219" s="87" t="s">
        <v>3926</v>
      </c>
      <c r="B1219" s="88">
        <v>1.22E18</v>
      </c>
      <c r="C1219" s="87" t="s">
        <v>3927</v>
      </c>
      <c r="D1219" s="87" t="s">
        <v>87</v>
      </c>
      <c r="E1219" s="87" t="s">
        <v>88</v>
      </c>
      <c r="F1219" s="87" t="s">
        <v>3927</v>
      </c>
      <c r="I1219" s="87" t="s">
        <v>1742</v>
      </c>
      <c r="J1219" s="87" t="s">
        <v>3880</v>
      </c>
      <c r="K1219" s="90">
        <v>0.0</v>
      </c>
      <c r="L1219" s="92"/>
      <c r="M1219" s="93"/>
      <c r="N1219" s="93"/>
      <c r="O1219" s="87" t="s">
        <v>377</v>
      </c>
      <c r="P1219" s="87" t="s">
        <v>372</v>
      </c>
    </row>
    <row r="1220" ht="15.75" customHeight="1">
      <c r="A1220" s="87" t="s">
        <v>3928</v>
      </c>
      <c r="B1220" s="88">
        <v>1.22E18</v>
      </c>
      <c r="C1220" s="87" t="s">
        <v>3929</v>
      </c>
      <c r="D1220" s="87" t="s">
        <v>87</v>
      </c>
      <c r="E1220" s="87" t="s">
        <v>102</v>
      </c>
      <c r="F1220" s="87" t="s">
        <v>3929</v>
      </c>
      <c r="I1220" s="87" t="s">
        <v>1742</v>
      </c>
      <c r="J1220" s="87" t="s">
        <v>3930</v>
      </c>
      <c r="K1220" s="90">
        <v>0.0</v>
      </c>
      <c r="L1220" s="92"/>
      <c r="M1220" s="93"/>
      <c r="N1220" s="93"/>
      <c r="O1220" s="87" t="s">
        <v>377</v>
      </c>
      <c r="P1220" s="87" t="s">
        <v>372</v>
      </c>
    </row>
    <row r="1221" ht="15.75" customHeight="1">
      <c r="A1221" s="87" t="s">
        <v>3931</v>
      </c>
      <c r="B1221" s="88">
        <v>1.22E18</v>
      </c>
      <c r="C1221" s="87" t="s">
        <v>3932</v>
      </c>
      <c r="D1221" s="87" t="s">
        <v>262</v>
      </c>
      <c r="E1221" s="87" t="s">
        <v>267</v>
      </c>
      <c r="F1221" s="118" t="s">
        <v>3932</v>
      </c>
      <c r="G1221" s="130"/>
      <c r="H1221" s="119"/>
      <c r="I1221" s="87" t="s">
        <v>58</v>
      </c>
      <c r="J1221" s="87" t="s">
        <v>3933</v>
      </c>
      <c r="K1221" s="90">
        <v>0.0</v>
      </c>
      <c r="L1221" s="92"/>
      <c r="M1221" s="93"/>
      <c r="N1221" s="93"/>
      <c r="O1221" s="87" t="s">
        <v>377</v>
      </c>
      <c r="P1221" s="87" t="s">
        <v>372</v>
      </c>
    </row>
    <row r="1222" ht="15.75" customHeight="1">
      <c r="A1222" s="87" t="s">
        <v>3934</v>
      </c>
      <c r="B1222" s="88">
        <v>1.22E18</v>
      </c>
      <c r="C1222" s="87" t="s">
        <v>3935</v>
      </c>
      <c r="D1222" s="87" t="s">
        <v>262</v>
      </c>
      <c r="E1222" s="87" t="s">
        <v>267</v>
      </c>
      <c r="F1222" s="118" t="s">
        <v>3935</v>
      </c>
      <c r="G1222" s="130"/>
      <c r="H1222" s="119"/>
      <c r="I1222" s="87" t="s">
        <v>58</v>
      </c>
      <c r="J1222" s="87" t="s">
        <v>3936</v>
      </c>
      <c r="K1222" s="90">
        <v>0.0</v>
      </c>
      <c r="L1222" s="92"/>
      <c r="M1222" s="93"/>
      <c r="N1222" s="93"/>
      <c r="O1222" s="87" t="s">
        <v>377</v>
      </c>
      <c r="P1222" s="87" t="s">
        <v>372</v>
      </c>
    </row>
    <row r="1223" ht="15.75" customHeight="1">
      <c r="A1223" s="87" t="s">
        <v>3937</v>
      </c>
      <c r="B1223" s="88">
        <v>1.22E18</v>
      </c>
      <c r="C1223" s="87" t="s">
        <v>3938</v>
      </c>
      <c r="D1223" s="87" t="s">
        <v>262</v>
      </c>
      <c r="E1223" s="87" t="s">
        <v>270</v>
      </c>
      <c r="F1223" s="87" t="s">
        <v>3938</v>
      </c>
      <c r="I1223" s="87" t="s">
        <v>1742</v>
      </c>
      <c r="J1223" s="87" t="s">
        <v>3939</v>
      </c>
      <c r="K1223" s="90">
        <v>0.0</v>
      </c>
      <c r="L1223" s="92"/>
      <c r="M1223" s="93"/>
      <c r="N1223" s="93"/>
      <c r="O1223" s="87" t="s">
        <v>377</v>
      </c>
      <c r="P1223" s="87" t="s">
        <v>372</v>
      </c>
    </row>
    <row r="1224" ht="15.75" customHeight="1">
      <c r="A1224" s="87" t="s">
        <v>3940</v>
      </c>
      <c r="B1224" s="88">
        <v>1.22E18</v>
      </c>
      <c r="C1224" s="87" t="s">
        <v>3941</v>
      </c>
      <c r="D1224" s="87" t="s">
        <v>262</v>
      </c>
      <c r="E1224" s="87" t="s">
        <v>270</v>
      </c>
      <c r="F1224" s="87" t="s">
        <v>3941</v>
      </c>
      <c r="I1224" s="87" t="s">
        <v>1742</v>
      </c>
      <c r="J1224" s="87" t="s">
        <v>3939</v>
      </c>
      <c r="K1224" s="90">
        <v>0.0</v>
      </c>
      <c r="L1224" s="92"/>
      <c r="M1224" s="93"/>
      <c r="N1224" s="87" t="s">
        <v>3622</v>
      </c>
      <c r="O1224" s="87" t="s">
        <v>377</v>
      </c>
      <c r="P1224" s="87" t="s">
        <v>372</v>
      </c>
    </row>
    <row r="1225" ht="15.75" customHeight="1">
      <c r="A1225" s="87" t="s">
        <v>3942</v>
      </c>
      <c r="B1225" s="88">
        <v>1.22E18</v>
      </c>
      <c r="C1225" s="87" t="s">
        <v>3943</v>
      </c>
      <c r="D1225" s="87" t="s">
        <v>262</v>
      </c>
      <c r="E1225" s="87" t="s">
        <v>270</v>
      </c>
      <c r="F1225" s="87" t="s">
        <v>3943</v>
      </c>
      <c r="I1225" s="87" t="s">
        <v>58</v>
      </c>
      <c r="J1225" s="87" t="s">
        <v>3944</v>
      </c>
      <c r="K1225" s="90">
        <v>0.0</v>
      </c>
      <c r="L1225" s="92"/>
      <c r="M1225" s="93"/>
      <c r="N1225" s="93"/>
      <c r="O1225" s="87" t="s">
        <v>377</v>
      </c>
      <c r="P1225" s="87" t="s">
        <v>372</v>
      </c>
    </row>
    <row r="1226" ht="15.75" customHeight="1">
      <c r="A1226" s="87" t="s">
        <v>3945</v>
      </c>
      <c r="B1226" s="88">
        <v>1.22E18</v>
      </c>
      <c r="C1226" s="87" t="s">
        <v>3946</v>
      </c>
      <c r="D1226" s="87" t="s">
        <v>262</v>
      </c>
      <c r="E1226" s="87" t="s">
        <v>270</v>
      </c>
      <c r="F1226" s="87" t="s">
        <v>3946</v>
      </c>
      <c r="I1226" s="87" t="s">
        <v>58</v>
      </c>
      <c r="J1226" s="87" t="s">
        <v>1978</v>
      </c>
      <c r="K1226" s="90">
        <v>0.0</v>
      </c>
      <c r="L1226" s="92"/>
      <c r="M1226" s="93"/>
      <c r="N1226" s="93"/>
      <c r="O1226" s="87" t="s">
        <v>377</v>
      </c>
      <c r="P1226" s="87" t="s">
        <v>372</v>
      </c>
    </row>
    <row r="1227" ht="15.75" customHeight="1">
      <c r="A1227" s="87" t="s">
        <v>3947</v>
      </c>
      <c r="B1227" s="88">
        <v>1.22E18</v>
      </c>
      <c r="C1227" s="87" t="s">
        <v>3948</v>
      </c>
      <c r="D1227" s="87" t="s">
        <v>262</v>
      </c>
      <c r="E1227" s="87" t="s">
        <v>270</v>
      </c>
      <c r="F1227" s="87" t="s">
        <v>3948</v>
      </c>
      <c r="I1227" s="87" t="s">
        <v>58</v>
      </c>
      <c r="J1227" s="87" t="s">
        <v>894</v>
      </c>
      <c r="K1227" s="90">
        <v>0.0</v>
      </c>
      <c r="L1227" s="92"/>
      <c r="M1227" s="93"/>
      <c r="N1227" s="87" t="s">
        <v>3622</v>
      </c>
      <c r="O1227" s="87" t="s">
        <v>377</v>
      </c>
      <c r="P1227" s="87" t="s">
        <v>372</v>
      </c>
    </row>
    <row r="1228" ht="15.75" customHeight="1">
      <c r="A1228" s="87" t="s">
        <v>3949</v>
      </c>
      <c r="B1228" s="88">
        <v>1.22E18</v>
      </c>
      <c r="C1228" s="87" t="s">
        <v>3950</v>
      </c>
      <c r="D1228" s="87" t="s">
        <v>262</v>
      </c>
      <c r="E1228" s="87" t="s">
        <v>270</v>
      </c>
      <c r="F1228" s="87" t="s">
        <v>3950</v>
      </c>
      <c r="I1228" s="87" t="s">
        <v>58</v>
      </c>
      <c r="J1228" s="87" t="s">
        <v>3391</v>
      </c>
      <c r="K1228" s="90">
        <v>0.0</v>
      </c>
      <c r="L1228" s="92"/>
      <c r="M1228" s="93"/>
      <c r="N1228" s="87" t="s">
        <v>3622</v>
      </c>
      <c r="O1228" s="87" t="s">
        <v>377</v>
      </c>
      <c r="P1228" s="87" t="s">
        <v>372</v>
      </c>
    </row>
    <row r="1229" ht="15.75" customHeight="1">
      <c r="A1229" s="87" t="s">
        <v>3951</v>
      </c>
      <c r="B1229" s="88">
        <v>1.22E18</v>
      </c>
      <c r="C1229" s="87" t="s">
        <v>3952</v>
      </c>
      <c r="D1229" s="87" t="s">
        <v>262</v>
      </c>
      <c r="E1229" s="87" t="s">
        <v>270</v>
      </c>
      <c r="F1229" s="87" t="s">
        <v>3952</v>
      </c>
      <c r="I1229" s="87" t="s">
        <v>58</v>
      </c>
      <c r="J1229" s="87" t="s">
        <v>3761</v>
      </c>
      <c r="K1229" s="90">
        <v>0.0</v>
      </c>
      <c r="L1229" s="92"/>
      <c r="M1229" s="93"/>
      <c r="N1229" s="87" t="s">
        <v>3622</v>
      </c>
      <c r="O1229" s="87" t="s">
        <v>377</v>
      </c>
      <c r="P1229" s="87" t="s">
        <v>372</v>
      </c>
    </row>
    <row r="1230" ht="15.75" customHeight="1">
      <c r="A1230" s="87" t="s">
        <v>3953</v>
      </c>
      <c r="B1230" s="88">
        <v>1.22E18</v>
      </c>
      <c r="C1230" s="87" t="s">
        <v>3954</v>
      </c>
      <c r="D1230" s="87" t="s">
        <v>87</v>
      </c>
      <c r="E1230" s="87" t="s">
        <v>88</v>
      </c>
      <c r="F1230" s="87" t="s">
        <v>3954</v>
      </c>
      <c r="I1230" s="87" t="s">
        <v>327</v>
      </c>
      <c r="J1230" s="87" t="s">
        <v>3955</v>
      </c>
      <c r="K1230" s="90">
        <v>0.0</v>
      </c>
      <c r="L1230" s="92"/>
      <c r="M1230" s="93"/>
      <c r="N1230" s="87" t="s">
        <v>2370</v>
      </c>
      <c r="O1230" s="87" t="s">
        <v>377</v>
      </c>
      <c r="P1230" s="87" t="s">
        <v>372</v>
      </c>
    </row>
    <row r="1231" ht="15.75" customHeight="1">
      <c r="A1231" s="87" t="s">
        <v>3956</v>
      </c>
      <c r="B1231" s="88">
        <v>1.22E18</v>
      </c>
      <c r="C1231" s="87" t="s">
        <v>3957</v>
      </c>
      <c r="D1231" s="87" t="s">
        <v>87</v>
      </c>
      <c r="E1231" s="87" t="s">
        <v>88</v>
      </c>
      <c r="F1231" s="87" t="s">
        <v>3957</v>
      </c>
      <c r="I1231" s="87" t="s">
        <v>327</v>
      </c>
      <c r="J1231" s="87" t="s">
        <v>631</v>
      </c>
      <c r="K1231" s="90">
        <v>15000.0</v>
      </c>
      <c r="L1231" s="92"/>
      <c r="M1231" s="93"/>
      <c r="N1231" s="93"/>
      <c r="O1231" s="87" t="s">
        <v>377</v>
      </c>
      <c r="P1231" s="87" t="s">
        <v>372</v>
      </c>
    </row>
    <row r="1232" ht="15.75" customHeight="1">
      <c r="A1232" s="87" t="s">
        <v>3958</v>
      </c>
      <c r="B1232" s="88">
        <v>1.22E18</v>
      </c>
      <c r="C1232" s="87" t="s">
        <v>3959</v>
      </c>
      <c r="D1232" s="87" t="s">
        <v>87</v>
      </c>
      <c r="E1232" s="87" t="s">
        <v>88</v>
      </c>
      <c r="F1232" s="87" t="s">
        <v>3959</v>
      </c>
      <c r="I1232" s="87" t="s">
        <v>327</v>
      </c>
      <c r="J1232" s="87" t="s">
        <v>3960</v>
      </c>
      <c r="K1232" s="90">
        <v>10000.0</v>
      </c>
      <c r="L1232" s="92"/>
      <c r="M1232" s="93"/>
      <c r="N1232" s="87" t="s">
        <v>2370</v>
      </c>
      <c r="O1232" s="87" t="s">
        <v>377</v>
      </c>
      <c r="P1232" s="87" t="s">
        <v>372</v>
      </c>
    </row>
    <row r="1233" ht="15.75" customHeight="1">
      <c r="A1233" s="87" t="s">
        <v>3961</v>
      </c>
      <c r="B1233" s="88">
        <v>1.22E18</v>
      </c>
      <c r="C1233" s="87" t="s">
        <v>3962</v>
      </c>
      <c r="D1233" s="87" t="s">
        <v>262</v>
      </c>
      <c r="E1233" s="87" t="s">
        <v>263</v>
      </c>
      <c r="F1233" s="87" t="s">
        <v>415</v>
      </c>
      <c r="G1233" s="93"/>
      <c r="H1233" s="93"/>
      <c r="I1233" s="87" t="s">
        <v>58</v>
      </c>
      <c r="J1233" s="87" t="s">
        <v>3963</v>
      </c>
      <c r="K1233" s="90">
        <v>1.0</v>
      </c>
      <c r="L1233" s="92"/>
      <c r="M1233" s="93"/>
      <c r="N1233" s="93"/>
      <c r="O1233" s="87" t="s">
        <v>377</v>
      </c>
      <c r="P1233" s="87" t="s">
        <v>372</v>
      </c>
    </row>
    <row r="1234" ht="15.75" customHeight="1">
      <c r="A1234" s="87" t="s">
        <v>3964</v>
      </c>
      <c r="B1234" s="88">
        <v>1.22E18</v>
      </c>
      <c r="C1234" s="87" t="s">
        <v>3965</v>
      </c>
      <c r="D1234" s="87" t="s">
        <v>87</v>
      </c>
      <c r="E1234" s="87" t="s">
        <v>88</v>
      </c>
      <c r="F1234" s="118" t="s">
        <v>3965</v>
      </c>
      <c r="G1234" s="130"/>
      <c r="H1234" s="119"/>
      <c r="I1234" s="87" t="s">
        <v>58</v>
      </c>
      <c r="J1234" s="87" t="s">
        <v>3966</v>
      </c>
      <c r="K1234" s="90">
        <v>0.0</v>
      </c>
      <c r="L1234" s="92"/>
      <c r="M1234" s="93"/>
      <c r="N1234" s="87" t="s">
        <v>3967</v>
      </c>
      <c r="O1234" s="87" t="s">
        <v>377</v>
      </c>
      <c r="P1234" s="87" t="s">
        <v>372</v>
      </c>
    </row>
    <row r="1235" ht="15.75" customHeight="1">
      <c r="A1235" s="87" t="s">
        <v>3968</v>
      </c>
      <c r="B1235" s="88">
        <v>1.22E18</v>
      </c>
      <c r="C1235" s="87" t="s">
        <v>3969</v>
      </c>
      <c r="D1235" s="87" t="s">
        <v>87</v>
      </c>
      <c r="E1235" s="87" t="s">
        <v>88</v>
      </c>
      <c r="F1235" s="87" t="s">
        <v>379</v>
      </c>
      <c r="G1235" s="93"/>
      <c r="H1235" s="93"/>
      <c r="I1235" s="93"/>
      <c r="J1235" s="87" t="s">
        <v>1792</v>
      </c>
      <c r="K1235" s="90">
        <v>100.0</v>
      </c>
      <c r="L1235" s="92"/>
      <c r="M1235" s="93"/>
      <c r="N1235" s="87" t="s">
        <v>1837</v>
      </c>
      <c r="O1235" s="87" t="s">
        <v>377</v>
      </c>
      <c r="P1235" s="87" t="s">
        <v>372</v>
      </c>
    </row>
    <row r="1236" ht="15.75" customHeight="1">
      <c r="A1236" s="87" t="s">
        <v>3970</v>
      </c>
      <c r="B1236" s="88">
        <v>1.22E18</v>
      </c>
      <c r="C1236" s="87" t="s">
        <v>3971</v>
      </c>
      <c r="D1236" s="87" t="s">
        <v>262</v>
      </c>
      <c r="E1236" s="87" t="s">
        <v>263</v>
      </c>
      <c r="F1236" s="87" t="s">
        <v>415</v>
      </c>
      <c r="G1236" s="93"/>
      <c r="H1236" s="93"/>
      <c r="I1236" s="87" t="s">
        <v>58</v>
      </c>
      <c r="J1236" s="87" t="s">
        <v>3972</v>
      </c>
      <c r="K1236" s="90">
        <v>1.0</v>
      </c>
      <c r="L1236" s="92"/>
      <c r="M1236" s="93"/>
      <c r="N1236" s="93"/>
      <c r="O1236" s="87" t="s">
        <v>377</v>
      </c>
      <c r="P1236" s="87" t="s">
        <v>372</v>
      </c>
    </row>
    <row r="1237" ht="15.75" customHeight="1">
      <c r="A1237" s="87" t="s">
        <v>3973</v>
      </c>
      <c r="B1237" s="88">
        <v>1.22E18</v>
      </c>
      <c r="C1237" s="87" t="s">
        <v>3974</v>
      </c>
      <c r="D1237" s="87" t="s">
        <v>87</v>
      </c>
      <c r="E1237" s="87" t="s">
        <v>88</v>
      </c>
      <c r="F1237" s="87" t="s">
        <v>3974</v>
      </c>
      <c r="I1237" s="87" t="s">
        <v>58</v>
      </c>
      <c r="J1237" s="87" t="s">
        <v>3975</v>
      </c>
      <c r="K1237" s="90">
        <v>0.0</v>
      </c>
      <c r="L1237" s="92"/>
      <c r="M1237" s="93"/>
      <c r="N1237" s="87" t="s">
        <v>1772</v>
      </c>
      <c r="O1237" s="87" t="s">
        <v>377</v>
      </c>
      <c r="P1237" s="87" t="s">
        <v>372</v>
      </c>
    </row>
    <row r="1238" ht="15.75" customHeight="1">
      <c r="A1238" s="87" t="s">
        <v>3976</v>
      </c>
      <c r="B1238" s="88">
        <v>1.22E18</v>
      </c>
      <c r="C1238" s="87" t="s">
        <v>3977</v>
      </c>
      <c r="D1238" s="87" t="s">
        <v>87</v>
      </c>
      <c r="E1238" s="87" t="s">
        <v>88</v>
      </c>
      <c r="F1238" s="118" t="s">
        <v>3977</v>
      </c>
      <c r="G1238" s="130"/>
      <c r="H1238" s="119"/>
      <c r="I1238" s="87" t="s">
        <v>1742</v>
      </c>
      <c r="J1238" s="87" t="s">
        <v>3978</v>
      </c>
      <c r="K1238" s="90">
        <v>0.0</v>
      </c>
      <c r="L1238" s="92"/>
      <c r="M1238" s="93"/>
      <c r="N1238" s="87" t="s">
        <v>1772</v>
      </c>
      <c r="O1238" s="87" t="s">
        <v>377</v>
      </c>
      <c r="P1238" s="87" t="s">
        <v>372</v>
      </c>
    </row>
    <row r="1239" ht="15.75" customHeight="1">
      <c r="A1239" s="87" t="s">
        <v>3979</v>
      </c>
      <c r="B1239" s="88">
        <v>1.22E18</v>
      </c>
      <c r="C1239" s="87" t="s">
        <v>3980</v>
      </c>
      <c r="D1239" s="87" t="s">
        <v>87</v>
      </c>
      <c r="E1239" s="87" t="s">
        <v>102</v>
      </c>
      <c r="F1239" s="87" t="s">
        <v>3980</v>
      </c>
      <c r="I1239" s="87" t="s">
        <v>58</v>
      </c>
      <c r="J1239" s="87" t="s">
        <v>3981</v>
      </c>
      <c r="K1239" s="90">
        <v>0.0</v>
      </c>
      <c r="L1239" s="92"/>
      <c r="M1239" s="93"/>
      <c r="N1239" s="93"/>
      <c r="O1239" s="87" t="s">
        <v>377</v>
      </c>
      <c r="P1239" s="87" t="s">
        <v>372</v>
      </c>
    </row>
    <row r="1240" ht="15.75" customHeight="1">
      <c r="A1240" s="87" t="s">
        <v>3982</v>
      </c>
      <c r="B1240" s="88">
        <v>1.22E18</v>
      </c>
      <c r="C1240" s="87" t="s">
        <v>3983</v>
      </c>
      <c r="D1240" s="87" t="s">
        <v>87</v>
      </c>
      <c r="E1240" s="87" t="s">
        <v>241</v>
      </c>
      <c r="F1240" s="87" t="s">
        <v>3983</v>
      </c>
      <c r="I1240" s="87" t="s">
        <v>3984</v>
      </c>
      <c r="J1240" s="87" t="s">
        <v>3985</v>
      </c>
      <c r="K1240" s="90">
        <v>0.0</v>
      </c>
      <c r="L1240" s="92"/>
      <c r="M1240" s="93"/>
      <c r="N1240" s="87" t="s">
        <v>3986</v>
      </c>
      <c r="O1240" s="87" t="s">
        <v>377</v>
      </c>
      <c r="P1240" s="87" t="s">
        <v>372</v>
      </c>
    </row>
    <row r="1241" ht="15.75" customHeight="1">
      <c r="A1241" s="87" t="s">
        <v>3987</v>
      </c>
      <c r="B1241" s="88">
        <v>1.22E18</v>
      </c>
      <c r="C1241" s="87" t="s">
        <v>3988</v>
      </c>
      <c r="D1241" s="87" t="s">
        <v>87</v>
      </c>
      <c r="E1241" s="87" t="s">
        <v>241</v>
      </c>
      <c r="F1241" s="87" t="s">
        <v>3988</v>
      </c>
      <c r="I1241" s="87" t="s">
        <v>3984</v>
      </c>
      <c r="J1241" s="87" t="s">
        <v>3985</v>
      </c>
      <c r="K1241" s="90">
        <v>0.0</v>
      </c>
      <c r="L1241" s="92"/>
      <c r="M1241" s="93"/>
      <c r="N1241" s="87" t="s">
        <v>3986</v>
      </c>
      <c r="O1241" s="87" t="s">
        <v>377</v>
      </c>
      <c r="P1241" s="87" t="s">
        <v>372</v>
      </c>
    </row>
    <row r="1242" ht="15.75" customHeight="1">
      <c r="A1242" s="87" t="s">
        <v>3989</v>
      </c>
      <c r="B1242" s="88">
        <v>1.22E18</v>
      </c>
      <c r="C1242" s="87" t="s">
        <v>3990</v>
      </c>
      <c r="D1242" s="87" t="s">
        <v>87</v>
      </c>
      <c r="E1242" s="87" t="s">
        <v>241</v>
      </c>
      <c r="F1242" s="87" t="s">
        <v>3990</v>
      </c>
      <c r="I1242" s="87" t="s">
        <v>3984</v>
      </c>
      <c r="J1242" s="87" t="s">
        <v>3991</v>
      </c>
      <c r="K1242" s="90">
        <v>0.0</v>
      </c>
      <c r="L1242" s="92"/>
      <c r="M1242" s="93"/>
      <c r="N1242" s="87" t="s">
        <v>3986</v>
      </c>
      <c r="O1242" s="87" t="s">
        <v>377</v>
      </c>
      <c r="P1242" s="87" t="s">
        <v>372</v>
      </c>
    </row>
    <row r="1243" ht="15.75" customHeight="1">
      <c r="A1243" s="87" t="s">
        <v>3992</v>
      </c>
      <c r="B1243" s="88">
        <v>1.22E18</v>
      </c>
      <c r="C1243" s="87" t="s">
        <v>3993</v>
      </c>
      <c r="D1243" s="87" t="s">
        <v>87</v>
      </c>
      <c r="E1243" s="87" t="s">
        <v>241</v>
      </c>
      <c r="F1243" s="87" t="s">
        <v>3993</v>
      </c>
      <c r="I1243" s="87" t="s">
        <v>3984</v>
      </c>
      <c r="J1243" s="87" t="s">
        <v>3703</v>
      </c>
      <c r="K1243" s="90">
        <v>0.0</v>
      </c>
      <c r="L1243" s="92"/>
      <c r="M1243" s="93"/>
      <c r="N1243" s="87" t="s">
        <v>3986</v>
      </c>
      <c r="O1243" s="87" t="s">
        <v>377</v>
      </c>
      <c r="P1243" s="87" t="s">
        <v>372</v>
      </c>
    </row>
    <row r="1244" ht="15.75" customHeight="1">
      <c r="A1244" s="87" t="s">
        <v>3994</v>
      </c>
      <c r="B1244" s="88">
        <v>1.22E18</v>
      </c>
      <c r="C1244" s="87" t="s">
        <v>3995</v>
      </c>
      <c r="D1244" s="87" t="s">
        <v>87</v>
      </c>
      <c r="E1244" s="87" t="s">
        <v>241</v>
      </c>
      <c r="F1244" s="87" t="s">
        <v>415</v>
      </c>
      <c r="G1244" s="93"/>
      <c r="H1244" s="93"/>
      <c r="I1244" s="87" t="s">
        <v>58</v>
      </c>
      <c r="J1244" s="87" t="s">
        <v>3996</v>
      </c>
      <c r="K1244" s="90">
        <v>1.0</v>
      </c>
      <c r="L1244" s="92"/>
      <c r="M1244" s="93"/>
      <c r="N1244" s="87" t="s">
        <v>3986</v>
      </c>
      <c r="O1244" s="87" t="s">
        <v>377</v>
      </c>
      <c r="P1244" s="87" t="s">
        <v>372</v>
      </c>
    </row>
    <row r="1245" ht="15.75" customHeight="1">
      <c r="A1245" s="87" t="s">
        <v>3997</v>
      </c>
      <c r="B1245" s="88">
        <v>1.22E18</v>
      </c>
      <c r="C1245" s="87" t="s">
        <v>3998</v>
      </c>
      <c r="D1245" s="87" t="s">
        <v>87</v>
      </c>
      <c r="E1245" s="87" t="s">
        <v>88</v>
      </c>
      <c r="F1245" s="87" t="s">
        <v>3998</v>
      </c>
      <c r="I1245" s="87" t="s">
        <v>58</v>
      </c>
      <c r="J1245" s="87" t="s">
        <v>449</v>
      </c>
      <c r="K1245" s="90">
        <v>0.0</v>
      </c>
      <c r="L1245" s="92"/>
      <c r="M1245" s="93"/>
      <c r="N1245" s="87" t="s">
        <v>2572</v>
      </c>
      <c r="O1245" s="87" t="s">
        <v>377</v>
      </c>
      <c r="P1245" s="87" t="s">
        <v>372</v>
      </c>
    </row>
    <row r="1246" ht="15.75" customHeight="1">
      <c r="A1246" s="87" t="s">
        <v>3999</v>
      </c>
      <c r="B1246" s="88">
        <v>1.22E18</v>
      </c>
      <c r="C1246" s="87" t="s">
        <v>4000</v>
      </c>
      <c r="D1246" s="87" t="s">
        <v>87</v>
      </c>
      <c r="E1246" s="87" t="s">
        <v>88</v>
      </c>
      <c r="F1246" s="118" t="s">
        <v>4000</v>
      </c>
      <c r="G1246" s="130"/>
      <c r="H1246" s="119"/>
      <c r="I1246" s="87" t="s">
        <v>58</v>
      </c>
      <c r="J1246" s="87" t="s">
        <v>4001</v>
      </c>
      <c r="K1246" s="90">
        <v>0.0</v>
      </c>
      <c r="L1246" s="92"/>
      <c r="M1246" s="93"/>
      <c r="N1246" s="87" t="s">
        <v>1823</v>
      </c>
      <c r="O1246" s="87" t="s">
        <v>377</v>
      </c>
      <c r="P1246" s="87" t="s">
        <v>372</v>
      </c>
    </row>
    <row r="1247" ht="15.75" customHeight="1">
      <c r="A1247" s="87" t="s">
        <v>4002</v>
      </c>
      <c r="B1247" s="88">
        <v>1.22E18</v>
      </c>
      <c r="C1247" s="87" t="s">
        <v>4003</v>
      </c>
      <c r="D1247" s="87" t="s">
        <v>87</v>
      </c>
      <c r="E1247" s="87" t="s">
        <v>88</v>
      </c>
      <c r="F1247" s="118" t="s">
        <v>4003</v>
      </c>
      <c r="G1247" s="130"/>
      <c r="H1247" s="119"/>
      <c r="I1247" s="87" t="s">
        <v>58</v>
      </c>
      <c r="J1247" s="87" t="s">
        <v>4004</v>
      </c>
      <c r="K1247" s="90">
        <v>0.0</v>
      </c>
      <c r="L1247" s="92"/>
      <c r="M1247" s="93"/>
      <c r="N1247" s="87" t="s">
        <v>1823</v>
      </c>
      <c r="O1247" s="87" t="s">
        <v>377</v>
      </c>
      <c r="P1247" s="87" t="s">
        <v>372</v>
      </c>
    </row>
    <row r="1248" ht="15.75" customHeight="1">
      <c r="A1248" s="87" t="s">
        <v>4005</v>
      </c>
      <c r="B1248" s="88">
        <v>1.22E18</v>
      </c>
      <c r="C1248" s="87" t="s">
        <v>4006</v>
      </c>
      <c r="D1248" s="87" t="s">
        <v>87</v>
      </c>
      <c r="E1248" s="87" t="s">
        <v>88</v>
      </c>
      <c r="F1248" s="118" t="s">
        <v>4006</v>
      </c>
      <c r="G1248" s="130"/>
      <c r="H1248" s="119"/>
      <c r="I1248" s="87" t="s">
        <v>58</v>
      </c>
      <c r="J1248" s="87" t="s">
        <v>4007</v>
      </c>
      <c r="K1248" s="90">
        <v>0.0</v>
      </c>
      <c r="L1248" s="92"/>
      <c r="M1248" s="93"/>
      <c r="N1248" s="87" t="s">
        <v>1823</v>
      </c>
      <c r="O1248" s="87" t="s">
        <v>377</v>
      </c>
      <c r="P1248" s="87" t="s">
        <v>372</v>
      </c>
    </row>
    <row r="1249" ht="15.75" customHeight="1">
      <c r="A1249" s="87" t="s">
        <v>4008</v>
      </c>
      <c r="B1249" s="88">
        <v>1.22E18</v>
      </c>
      <c r="C1249" s="87" t="s">
        <v>4009</v>
      </c>
      <c r="D1249" s="87" t="s">
        <v>87</v>
      </c>
      <c r="E1249" s="87" t="s">
        <v>88</v>
      </c>
      <c r="F1249" s="87" t="s">
        <v>4009</v>
      </c>
      <c r="I1249" s="87" t="s">
        <v>58</v>
      </c>
      <c r="J1249" s="87" t="s">
        <v>3075</v>
      </c>
      <c r="K1249" s="90">
        <v>0.0</v>
      </c>
      <c r="L1249" s="92"/>
      <c r="M1249" s="93"/>
      <c r="N1249" s="87" t="s">
        <v>1823</v>
      </c>
      <c r="O1249" s="87" t="s">
        <v>377</v>
      </c>
      <c r="P1249" s="87" t="s">
        <v>372</v>
      </c>
    </row>
    <row r="1250" ht="15.75" customHeight="1">
      <c r="A1250" s="87" t="s">
        <v>4010</v>
      </c>
      <c r="B1250" s="88">
        <v>1.22E18</v>
      </c>
      <c r="C1250" s="87" t="s">
        <v>4011</v>
      </c>
      <c r="D1250" s="87" t="s">
        <v>87</v>
      </c>
      <c r="E1250" s="87" t="s">
        <v>88</v>
      </c>
      <c r="F1250" s="118" t="s">
        <v>4011</v>
      </c>
      <c r="G1250" s="130"/>
      <c r="H1250" s="119"/>
      <c r="I1250" s="87" t="s">
        <v>58</v>
      </c>
      <c r="J1250" s="87" t="s">
        <v>4012</v>
      </c>
      <c r="K1250" s="90">
        <v>0.0</v>
      </c>
      <c r="L1250" s="92"/>
      <c r="M1250" s="93"/>
      <c r="N1250" s="87" t="s">
        <v>1729</v>
      </c>
      <c r="O1250" s="87" t="s">
        <v>377</v>
      </c>
      <c r="P1250" s="87" t="s">
        <v>372</v>
      </c>
    </row>
    <row r="1251" ht="15.75" customHeight="1">
      <c r="A1251" s="87" t="s">
        <v>4013</v>
      </c>
      <c r="B1251" s="88">
        <v>1.22E18</v>
      </c>
      <c r="C1251" s="87" t="s">
        <v>4014</v>
      </c>
      <c r="D1251" s="87" t="s">
        <v>87</v>
      </c>
      <c r="E1251" s="87" t="s">
        <v>88</v>
      </c>
      <c r="F1251" s="118" t="s">
        <v>4014</v>
      </c>
      <c r="G1251" s="130"/>
      <c r="H1251" s="119"/>
      <c r="I1251" s="87" t="s">
        <v>58</v>
      </c>
      <c r="J1251" s="87" t="s">
        <v>4015</v>
      </c>
      <c r="K1251" s="90">
        <v>0.0</v>
      </c>
      <c r="L1251" s="92"/>
      <c r="M1251" s="93"/>
      <c r="N1251" s="87" t="s">
        <v>1729</v>
      </c>
      <c r="O1251" s="87" t="s">
        <v>377</v>
      </c>
      <c r="P1251" s="87" t="s">
        <v>372</v>
      </c>
    </row>
    <row r="1252" ht="15.75" customHeight="1">
      <c r="A1252" s="87" t="s">
        <v>4016</v>
      </c>
      <c r="B1252" s="88">
        <v>1.22E18</v>
      </c>
      <c r="C1252" s="87" t="s">
        <v>4017</v>
      </c>
      <c r="D1252" s="87" t="s">
        <v>262</v>
      </c>
      <c r="E1252" s="87" t="s">
        <v>267</v>
      </c>
      <c r="F1252" s="87" t="s">
        <v>4017</v>
      </c>
      <c r="I1252" s="87" t="s">
        <v>58</v>
      </c>
      <c r="J1252" s="87" t="s">
        <v>4018</v>
      </c>
      <c r="K1252" s="90">
        <v>0.0</v>
      </c>
      <c r="L1252" s="92"/>
      <c r="M1252" s="93"/>
      <c r="N1252" s="87" t="s">
        <v>1729</v>
      </c>
      <c r="O1252" s="87" t="s">
        <v>377</v>
      </c>
      <c r="P1252" s="87" t="s">
        <v>372</v>
      </c>
    </row>
    <row r="1253" ht="15.75" customHeight="1">
      <c r="A1253" s="87" t="s">
        <v>4019</v>
      </c>
      <c r="B1253" s="88">
        <v>1.22E18</v>
      </c>
      <c r="C1253" s="87" t="s">
        <v>4020</v>
      </c>
      <c r="D1253" s="87" t="s">
        <v>262</v>
      </c>
      <c r="E1253" s="87" t="s">
        <v>267</v>
      </c>
      <c r="F1253" s="118" t="s">
        <v>4020</v>
      </c>
      <c r="G1253" s="130"/>
      <c r="H1253" s="119"/>
      <c r="I1253" s="87" t="s">
        <v>58</v>
      </c>
      <c r="J1253" s="87" t="s">
        <v>4021</v>
      </c>
      <c r="K1253" s="90">
        <v>0.0</v>
      </c>
      <c r="L1253" s="92"/>
      <c r="M1253" s="93"/>
      <c r="N1253" s="87" t="s">
        <v>1729</v>
      </c>
      <c r="O1253" s="87" t="s">
        <v>377</v>
      </c>
      <c r="P1253" s="87" t="s">
        <v>372</v>
      </c>
    </row>
    <row r="1254" ht="15.75" customHeight="1">
      <c r="A1254" s="87" t="s">
        <v>4022</v>
      </c>
      <c r="B1254" s="88">
        <v>1.22E18</v>
      </c>
      <c r="C1254" s="87" t="s">
        <v>4023</v>
      </c>
      <c r="D1254" s="87" t="s">
        <v>262</v>
      </c>
      <c r="E1254" s="87" t="s">
        <v>267</v>
      </c>
      <c r="F1254" s="87" t="s">
        <v>4023</v>
      </c>
      <c r="I1254" s="87" t="s">
        <v>58</v>
      </c>
      <c r="J1254" s="87" t="s">
        <v>1051</v>
      </c>
      <c r="K1254" s="90">
        <v>0.0</v>
      </c>
      <c r="L1254" s="92"/>
      <c r="M1254" s="93"/>
      <c r="N1254" s="87" t="s">
        <v>1729</v>
      </c>
      <c r="O1254" s="87" t="s">
        <v>377</v>
      </c>
      <c r="P1254" s="87" t="s">
        <v>372</v>
      </c>
    </row>
    <row r="1255" ht="15.75" customHeight="1">
      <c r="A1255" s="87" t="s">
        <v>4024</v>
      </c>
      <c r="B1255" s="88">
        <v>1.22E18</v>
      </c>
      <c r="C1255" s="87" t="s">
        <v>4025</v>
      </c>
      <c r="D1255" s="87" t="s">
        <v>87</v>
      </c>
      <c r="E1255" s="87" t="s">
        <v>88</v>
      </c>
      <c r="F1255" s="118" t="s">
        <v>4025</v>
      </c>
      <c r="G1255" s="130"/>
      <c r="H1255" s="119"/>
      <c r="I1255" s="87" t="s">
        <v>58</v>
      </c>
      <c r="J1255" s="87" t="s">
        <v>4026</v>
      </c>
      <c r="K1255" s="90">
        <v>0.0</v>
      </c>
      <c r="L1255" s="92"/>
      <c r="M1255" s="93"/>
      <c r="N1255" s="87" t="s">
        <v>1772</v>
      </c>
      <c r="O1255" s="87" t="s">
        <v>377</v>
      </c>
      <c r="P1255" s="87" t="s">
        <v>372</v>
      </c>
    </row>
    <row r="1256" ht="15.75" customHeight="1">
      <c r="A1256" s="87" t="s">
        <v>4027</v>
      </c>
      <c r="B1256" s="88">
        <v>1.22E18</v>
      </c>
      <c r="C1256" s="87" t="s">
        <v>4028</v>
      </c>
      <c r="D1256" s="87" t="s">
        <v>262</v>
      </c>
      <c r="E1256" s="87" t="s">
        <v>267</v>
      </c>
      <c r="F1256" s="87" t="s">
        <v>1749</v>
      </c>
      <c r="H1256" s="93"/>
      <c r="I1256" s="87" t="s">
        <v>58</v>
      </c>
      <c r="J1256" s="87" t="s">
        <v>4029</v>
      </c>
      <c r="K1256" s="90">
        <v>0.0</v>
      </c>
      <c r="L1256" s="92"/>
      <c r="M1256" s="93"/>
      <c r="N1256" s="93"/>
      <c r="O1256" s="87" t="s">
        <v>377</v>
      </c>
      <c r="P1256" s="87" t="s">
        <v>372</v>
      </c>
    </row>
    <row r="1257" ht="15.75" customHeight="1">
      <c r="A1257" s="87" t="s">
        <v>4030</v>
      </c>
      <c r="B1257" s="88">
        <v>1.22E18</v>
      </c>
      <c r="C1257" s="87" t="s">
        <v>4031</v>
      </c>
      <c r="D1257" s="87" t="s">
        <v>87</v>
      </c>
      <c r="E1257" s="87" t="s">
        <v>88</v>
      </c>
      <c r="F1257" s="118" t="s">
        <v>4031</v>
      </c>
      <c r="G1257" s="130"/>
      <c r="H1257" s="119"/>
      <c r="I1257" s="87" t="s">
        <v>58</v>
      </c>
      <c r="J1257" s="87" t="s">
        <v>4032</v>
      </c>
      <c r="K1257" s="90">
        <v>0.0</v>
      </c>
      <c r="L1257" s="92"/>
      <c r="M1257" s="93"/>
      <c r="N1257" s="87" t="s">
        <v>2345</v>
      </c>
      <c r="O1257" s="87" t="s">
        <v>377</v>
      </c>
      <c r="P1257" s="87" t="s">
        <v>372</v>
      </c>
    </row>
    <row r="1258" ht="15.75" customHeight="1">
      <c r="A1258" s="87" t="s">
        <v>4033</v>
      </c>
      <c r="B1258" s="88">
        <v>1.22E18</v>
      </c>
      <c r="C1258" s="87" t="s">
        <v>4034</v>
      </c>
      <c r="D1258" s="87" t="s">
        <v>87</v>
      </c>
      <c r="E1258" s="87" t="s">
        <v>88</v>
      </c>
      <c r="F1258" s="87" t="s">
        <v>4034</v>
      </c>
      <c r="I1258" s="87" t="s">
        <v>2333</v>
      </c>
      <c r="J1258" s="87" t="s">
        <v>4035</v>
      </c>
      <c r="K1258" s="90">
        <v>0.0</v>
      </c>
      <c r="L1258" s="92"/>
      <c r="M1258" s="93"/>
      <c r="N1258" s="87" t="s">
        <v>4036</v>
      </c>
      <c r="O1258" s="87" t="s">
        <v>377</v>
      </c>
      <c r="P1258" s="87" t="s">
        <v>372</v>
      </c>
    </row>
    <row r="1259" ht="15.75" customHeight="1">
      <c r="A1259" s="87" t="s">
        <v>4037</v>
      </c>
      <c r="B1259" s="88">
        <v>1.22E18</v>
      </c>
      <c r="C1259" s="87" t="s">
        <v>4038</v>
      </c>
      <c r="D1259" s="87" t="s">
        <v>262</v>
      </c>
      <c r="E1259" s="87" t="s">
        <v>270</v>
      </c>
      <c r="F1259" s="118" t="s">
        <v>4038</v>
      </c>
      <c r="G1259" s="130"/>
      <c r="H1259" s="119"/>
      <c r="I1259" s="87" t="s">
        <v>58</v>
      </c>
      <c r="J1259" s="87" t="s">
        <v>4039</v>
      </c>
      <c r="K1259" s="90">
        <v>0.0</v>
      </c>
      <c r="L1259" s="92"/>
      <c r="M1259" s="93"/>
      <c r="N1259" s="87" t="s">
        <v>1772</v>
      </c>
      <c r="O1259" s="87" t="s">
        <v>377</v>
      </c>
      <c r="P1259" s="87" t="s">
        <v>372</v>
      </c>
    </row>
    <row r="1260" ht="15.75" customHeight="1">
      <c r="A1260" s="87" t="s">
        <v>4040</v>
      </c>
      <c r="B1260" s="88">
        <v>1.22E18</v>
      </c>
      <c r="C1260" s="87" t="s">
        <v>4041</v>
      </c>
      <c r="D1260" s="87" t="s">
        <v>87</v>
      </c>
      <c r="E1260" s="87" t="s">
        <v>88</v>
      </c>
      <c r="F1260" s="87" t="s">
        <v>4041</v>
      </c>
      <c r="I1260" s="87" t="s">
        <v>58</v>
      </c>
      <c r="J1260" s="87" t="s">
        <v>2488</v>
      </c>
      <c r="K1260" s="90">
        <v>0.0</v>
      </c>
      <c r="L1260" s="92"/>
      <c r="M1260" s="93"/>
      <c r="N1260" s="87" t="s">
        <v>1772</v>
      </c>
      <c r="O1260" s="87" t="s">
        <v>377</v>
      </c>
      <c r="P1260" s="87" t="s">
        <v>372</v>
      </c>
    </row>
    <row r="1261" ht="15.75" customHeight="1">
      <c r="A1261" s="87" t="s">
        <v>4042</v>
      </c>
      <c r="B1261" s="88">
        <v>1.22E18</v>
      </c>
      <c r="C1261" s="87" t="s">
        <v>4043</v>
      </c>
      <c r="D1261" s="87" t="s">
        <v>262</v>
      </c>
      <c r="E1261" s="87" t="s">
        <v>270</v>
      </c>
      <c r="F1261" s="118" t="s">
        <v>4043</v>
      </c>
      <c r="G1261" s="130"/>
      <c r="H1261" s="119"/>
      <c r="I1261" s="87" t="s">
        <v>2333</v>
      </c>
      <c r="J1261" s="87" t="s">
        <v>2379</v>
      </c>
      <c r="K1261" s="90">
        <v>0.0</v>
      </c>
      <c r="L1261" s="92"/>
      <c r="M1261" s="93"/>
      <c r="N1261" s="87" t="s">
        <v>1772</v>
      </c>
      <c r="O1261" s="87" t="s">
        <v>377</v>
      </c>
      <c r="P1261" s="87" t="s">
        <v>372</v>
      </c>
    </row>
    <row r="1262" ht="15.75" customHeight="1">
      <c r="A1262" s="87" t="s">
        <v>4044</v>
      </c>
      <c r="B1262" s="88">
        <v>1.22E18</v>
      </c>
      <c r="C1262" s="87" t="s">
        <v>4045</v>
      </c>
      <c r="D1262" s="87" t="s">
        <v>87</v>
      </c>
      <c r="E1262" s="87" t="s">
        <v>88</v>
      </c>
      <c r="F1262" s="118" t="s">
        <v>4045</v>
      </c>
      <c r="G1262" s="130"/>
      <c r="H1262" s="119"/>
      <c r="I1262" s="87" t="s">
        <v>2333</v>
      </c>
      <c r="J1262" s="87" t="s">
        <v>4046</v>
      </c>
      <c r="K1262" s="90">
        <v>0.0</v>
      </c>
      <c r="L1262" s="92"/>
      <c r="M1262" s="93"/>
      <c r="N1262" s="87" t="s">
        <v>1772</v>
      </c>
      <c r="O1262" s="87" t="s">
        <v>377</v>
      </c>
      <c r="P1262" s="87" t="s">
        <v>372</v>
      </c>
    </row>
    <row r="1263" ht="15.75" customHeight="1">
      <c r="A1263" s="87" t="s">
        <v>4047</v>
      </c>
      <c r="B1263" s="88">
        <v>1.22E18</v>
      </c>
      <c r="C1263" s="87" t="s">
        <v>4048</v>
      </c>
      <c r="D1263" s="87" t="s">
        <v>87</v>
      </c>
      <c r="E1263" s="87" t="s">
        <v>88</v>
      </c>
      <c r="F1263" s="118" t="s">
        <v>4048</v>
      </c>
      <c r="G1263" s="130"/>
      <c r="H1263" s="119"/>
      <c r="I1263" s="87" t="s">
        <v>58</v>
      </c>
      <c r="J1263" s="87" t="s">
        <v>4049</v>
      </c>
      <c r="K1263" s="90">
        <v>0.0</v>
      </c>
      <c r="L1263" s="92"/>
      <c r="M1263" s="93"/>
      <c r="N1263" s="87" t="s">
        <v>1772</v>
      </c>
      <c r="O1263" s="87" t="s">
        <v>377</v>
      </c>
      <c r="P1263" s="87" t="s">
        <v>372</v>
      </c>
    </row>
    <row r="1264" ht="15.75" customHeight="1">
      <c r="A1264" s="87" t="s">
        <v>4050</v>
      </c>
      <c r="B1264" s="88">
        <v>1.22E18</v>
      </c>
      <c r="C1264" s="87" t="s">
        <v>4051</v>
      </c>
      <c r="D1264" s="87" t="s">
        <v>57</v>
      </c>
      <c r="E1264" s="87" t="s">
        <v>281</v>
      </c>
      <c r="F1264" s="118" t="s">
        <v>4051</v>
      </c>
      <c r="G1264" s="130"/>
      <c r="H1264" s="119"/>
      <c r="I1264" s="87" t="s">
        <v>1123</v>
      </c>
      <c r="J1264" s="87" t="s">
        <v>4052</v>
      </c>
      <c r="K1264" s="90">
        <v>0.0</v>
      </c>
      <c r="L1264" s="92"/>
      <c r="M1264" s="93"/>
      <c r="N1264" s="87" t="s">
        <v>1772</v>
      </c>
      <c r="O1264" s="87" t="s">
        <v>377</v>
      </c>
      <c r="P1264" s="87" t="s">
        <v>372</v>
      </c>
    </row>
    <row r="1265" ht="15.75" customHeight="1">
      <c r="A1265" s="87" t="s">
        <v>4053</v>
      </c>
      <c r="B1265" s="88">
        <v>1.22E18</v>
      </c>
      <c r="C1265" s="87" t="s">
        <v>4054</v>
      </c>
      <c r="D1265" s="87" t="s">
        <v>87</v>
      </c>
      <c r="E1265" s="87" t="s">
        <v>88</v>
      </c>
      <c r="F1265" s="87" t="s">
        <v>4054</v>
      </c>
      <c r="I1265" s="87" t="s">
        <v>1742</v>
      </c>
      <c r="J1265" s="87" t="s">
        <v>4055</v>
      </c>
      <c r="K1265" s="90">
        <v>0.0</v>
      </c>
      <c r="L1265" s="92"/>
      <c r="M1265" s="93"/>
      <c r="N1265" s="93"/>
      <c r="O1265" s="87" t="s">
        <v>377</v>
      </c>
      <c r="P1265" s="87" t="s">
        <v>372</v>
      </c>
    </row>
    <row r="1266" ht="15.75" customHeight="1">
      <c r="A1266" s="87" t="s">
        <v>4056</v>
      </c>
      <c r="B1266" s="88">
        <v>1.22E18</v>
      </c>
      <c r="C1266" s="87" t="s">
        <v>4057</v>
      </c>
      <c r="D1266" s="87" t="s">
        <v>87</v>
      </c>
      <c r="E1266" s="87" t="s">
        <v>88</v>
      </c>
      <c r="F1266" s="118" t="s">
        <v>4057</v>
      </c>
      <c r="G1266" s="130"/>
      <c r="H1266" s="119"/>
      <c r="I1266" s="87" t="s">
        <v>58</v>
      </c>
      <c r="J1266" s="87" t="s">
        <v>4058</v>
      </c>
      <c r="K1266" s="90">
        <v>0.0</v>
      </c>
      <c r="L1266" s="92"/>
      <c r="M1266" s="93"/>
      <c r="N1266" s="93"/>
      <c r="O1266" s="87" t="s">
        <v>377</v>
      </c>
      <c r="P1266" s="87" t="s">
        <v>372</v>
      </c>
    </row>
    <row r="1267" ht="15.75" customHeight="1">
      <c r="A1267" s="87" t="s">
        <v>4059</v>
      </c>
      <c r="B1267" s="88">
        <v>1.22E18</v>
      </c>
      <c r="C1267" s="87" t="s">
        <v>4060</v>
      </c>
      <c r="D1267" s="87" t="s">
        <v>57</v>
      </c>
      <c r="E1267" s="87" t="s">
        <v>284</v>
      </c>
      <c r="F1267" s="87" t="s">
        <v>4060</v>
      </c>
      <c r="I1267" s="87" t="s">
        <v>4061</v>
      </c>
      <c r="J1267" s="87" t="s">
        <v>4062</v>
      </c>
      <c r="K1267" s="90">
        <v>0.0</v>
      </c>
      <c r="L1267" s="92"/>
      <c r="M1267" s="93"/>
      <c r="N1267" s="87" t="s">
        <v>1772</v>
      </c>
      <c r="O1267" s="87" t="s">
        <v>377</v>
      </c>
      <c r="P1267" s="87" t="s">
        <v>372</v>
      </c>
    </row>
    <row r="1268" ht="15.75" customHeight="1">
      <c r="A1268" s="87" t="s">
        <v>4063</v>
      </c>
      <c r="B1268" s="88">
        <v>1.22E18</v>
      </c>
      <c r="C1268" s="87" t="s">
        <v>4064</v>
      </c>
      <c r="D1268" s="87" t="s">
        <v>262</v>
      </c>
      <c r="E1268" s="87" t="s">
        <v>263</v>
      </c>
      <c r="F1268" s="87" t="s">
        <v>415</v>
      </c>
      <c r="G1268" s="93"/>
      <c r="H1268" s="93"/>
      <c r="I1268" s="87" t="s">
        <v>58</v>
      </c>
      <c r="J1268" s="87" t="s">
        <v>3867</v>
      </c>
      <c r="K1268" s="90">
        <v>1.0</v>
      </c>
      <c r="L1268" s="92"/>
      <c r="M1268" s="93"/>
      <c r="N1268" s="93"/>
      <c r="O1268" s="87" t="s">
        <v>377</v>
      </c>
      <c r="P1268" s="87" t="s">
        <v>372</v>
      </c>
    </row>
    <row r="1269" ht="15.75" customHeight="1">
      <c r="A1269" s="87" t="s">
        <v>4065</v>
      </c>
      <c r="B1269" s="88">
        <v>1.22E18</v>
      </c>
      <c r="C1269" s="87" t="s">
        <v>4066</v>
      </c>
      <c r="D1269" s="87" t="s">
        <v>87</v>
      </c>
      <c r="E1269" s="87" t="s">
        <v>102</v>
      </c>
      <c r="F1269" s="87" t="s">
        <v>4066</v>
      </c>
      <c r="I1269" s="87" t="s">
        <v>58</v>
      </c>
      <c r="J1269" s="87" t="s">
        <v>4067</v>
      </c>
      <c r="K1269" s="90">
        <v>0.0</v>
      </c>
      <c r="L1269" s="92"/>
      <c r="M1269" s="93"/>
      <c r="N1269" s="87" t="s">
        <v>474</v>
      </c>
      <c r="O1269" s="87" t="s">
        <v>377</v>
      </c>
      <c r="P1269" s="87" t="s">
        <v>372</v>
      </c>
    </row>
    <row r="1270" ht="15.75" customHeight="1">
      <c r="A1270" s="87" t="s">
        <v>4068</v>
      </c>
      <c r="B1270" s="88">
        <v>1.22E18</v>
      </c>
      <c r="C1270" s="87" t="s">
        <v>4069</v>
      </c>
      <c r="D1270" s="87" t="s">
        <v>87</v>
      </c>
      <c r="E1270" s="87" t="s">
        <v>102</v>
      </c>
      <c r="F1270" s="87" t="s">
        <v>1763</v>
      </c>
      <c r="I1270" s="93"/>
      <c r="J1270" s="87" t="s">
        <v>4070</v>
      </c>
      <c r="K1270" s="90">
        <v>3500.0</v>
      </c>
      <c r="L1270" s="92"/>
      <c r="M1270" s="93"/>
      <c r="N1270" s="87" t="s">
        <v>474</v>
      </c>
      <c r="O1270" s="87" t="s">
        <v>377</v>
      </c>
      <c r="P1270" s="87" t="s">
        <v>372</v>
      </c>
    </row>
    <row r="1271" ht="15.75" customHeight="1">
      <c r="A1271" s="87" t="s">
        <v>4071</v>
      </c>
      <c r="B1271" s="88">
        <v>1.22E18</v>
      </c>
      <c r="C1271" s="87" t="s">
        <v>4072</v>
      </c>
      <c r="D1271" s="87" t="s">
        <v>262</v>
      </c>
      <c r="E1271" s="87" t="s">
        <v>270</v>
      </c>
      <c r="F1271" s="118" t="s">
        <v>4072</v>
      </c>
      <c r="G1271" s="130"/>
      <c r="H1271" s="119"/>
      <c r="I1271" s="87" t="s">
        <v>58</v>
      </c>
      <c r="J1271" s="87" t="s">
        <v>4073</v>
      </c>
      <c r="K1271" s="90">
        <v>0.0</v>
      </c>
      <c r="L1271" s="92"/>
      <c r="M1271" s="93"/>
      <c r="N1271" s="87" t="s">
        <v>1729</v>
      </c>
      <c r="O1271" s="87" t="s">
        <v>377</v>
      </c>
      <c r="P1271" s="87" t="s">
        <v>372</v>
      </c>
    </row>
    <row r="1272" ht="15.75" customHeight="1">
      <c r="A1272" s="87" t="s">
        <v>4074</v>
      </c>
      <c r="B1272" s="88">
        <v>1.22E18</v>
      </c>
      <c r="C1272" s="87" t="s">
        <v>4075</v>
      </c>
      <c r="D1272" s="87" t="s">
        <v>262</v>
      </c>
      <c r="E1272" s="87" t="s">
        <v>270</v>
      </c>
      <c r="F1272" s="87" t="s">
        <v>4075</v>
      </c>
      <c r="I1272" s="87" t="s">
        <v>58</v>
      </c>
      <c r="J1272" s="87" t="s">
        <v>4076</v>
      </c>
      <c r="K1272" s="90">
        <v>0.0</v>
      </c>
      <c r="L1272" s="92"/>
      <c r="M1272" s="93"/>
      <c r="N1272" s="87" t="s">
        <v>3622</v>
      </c>
      <c r="O1272" s="87" t="s">
        <v>377</v>
      </c>
      <c r="P1272" s="87" t="s">
        <v>372</v>
      </c>
    </row>
    <row r="1273" ht="15.75" customHeight="1">
      <c r="A1273" s="87" t="s">
        <v>4077</v>
      </c>
      <c r="B1273" s="88">
        <v>1.22E18</v>
      </c>
      <c r="C1273" s="87" t="s">
        <v>4078</v>
      </c>
      <c r="D1273" s="87" t="s">
        <v>262</v>
      </c>
      <c r="E1273" s="87" t="s">
        <v>270</v>
      </c>
      <c r="F1273" s="87" t="s">
        <v>4078</v>
      </c>
      <c r="I1273" s="87" t="s">
        <v>58</v>
      </c>
      <c r="J1273" s="87" t="s">
        <v>4079</v>
      </c>
      <c r="K1273" s="90">
        <v>0.0</v>
      </c>
      <c r="L1273" s="92"/>
      <c r="M1273" s="93"/>
      <c r="N1273" s="87" t="s">
        <v>3622</v>
      </c>
      <c r="O1273" s="87" t="s">
        <v>377</v>
      </c>
      <c r="P1273" s="87" t="s">
        <v>372</v>
      </c>
    </row>
    <row r="1274" ht="15.75" customHeight="1">
      <c r="A1274" s="87" t="s">
        <v>4080</v>
      </c>
      <c r="B1274" s="88">
        <v>1.22E18</v>
      </c>
      <c r="C1274" s="87" t="s">
        <v>4081</v>
      </c>
      <c r="D1274" s="87" t="s">
        <v>262</v>
      </c>
      <c r="E1274" s="87" t="s">
        <v>267</v>
      </c>
      <c r="F1274" s="87" t="s">
        <v>4081</v>
      </c>
      <c r="I1274" s="87" t="s">
        <v>58</v>
      </c>
      <c r="J1274" s="87" t="s">
        <v>4082</v>
      </c>
      <c r="K1274" s="90">
        <v>0.0</v>
      </c>
      <c r="L1274" s="92"/>
      <c r="M1274" s="93"/>
      <c r="N1274" s="93"/>
      <c r="O1274" s="87" t="s">
        <v>377</v>
      </c>
      <c r="P1274" s="87" t="s">
        <v>372</v>
      </c>
    </row>
    <row r="1275" ht="15.75" customHeight="1">
      <c r="A1275" s="87" t="s">
        <v>4083</v>
      </c>
      <c r="B1275" s="88">
        <v>1.22E18</v>
      </c>
      <c r="C1275" s="87" t="s">
        <v>4084</v>
      </c>
      <c r="D1275" s="87" t="s">
        <v>262</v>
      </c>
      <c r="E1275" s="87" t="s">
        <v>270</v>
      </c>
      <c r="F1275" s="87" t="s">
        <v>4084</v>
      </c>
      <c r="I1275" s="87" t="s">
        <v>58</v>
      </c>
      <c r="J1275" s="87" t="s">
        <v>4085</v>
      </c>
      <c r="K1275" s="90">
        <v>0.0</v>
      </c>
      <c r="L1275" s="92"/>
      <c r="M1275" s="93"/>
      <c r="N1275" s="93"/>
      <c r="O1275" s="87" t="s">
        <v>377</v>
      </c>
      <c r="P1275" s="87" t="s">
        <v>372</v>
      </c>
    </row>
    <row r="1276" ht="15.75" customHeight="1">
      <c r="A1276" s="87" t="s">
        <v>4086</v>
      </c>
      <c r="B1276" s="88">
        <v>1.22E18</v>
      </c>
      <c r="C1276" s="87" t="s">
        <v>4087</v>
      </c>
      <c r="D1276" s="87" t="s">
        <v>262</v>
      </c>
      <c r="E1276" s="87" t="s">
        <v>270</v>
      </c>
      <c r="F1276" s="87" t="s">
        <v>4087</v>
      </c>
      <c r="I1276" s="87" t="s">
        <v>58</v>
      </c>
      <c r="J1276" s="87" t="s">
        <v>4088</v>
      </c>
      <c r="K1276" s="90">
        <v>0.0</v>
      </c>
      <c r="L1276" s="92"/>
      <c r="M1276" s="93"/>
      <c r="N1276" s="87" t="s">
        <v>3622</v>
      </c>
      <c r="O1276" s="87" t="s">
        <v>377</v>
      </c>
      <c r="P1276" s="87" t="s">
        <v>372</v>
      </c>
    </row>
    <row r="1277" ht="15.75" customHeight="1">
      <c r="A1277" s="87" t="s">
        <v>4089</v>
      </c>
      <c r="B1277" s="88">
        <v>1.22E18</v>
      </c>
      <c r="C1277" s="87" t="s">
        <v>4090</v>
      </c>
      <c r="D1277" s="87" t="s">
        <v>262</v>
      </c>
      <c r="E1277" s="87" t="s">
        <v>270</v>
      </c>
      <c r="F1277" s="118" t="s">
        <v>4090</v>
      </c>
      <c r="G1277" s="130"/>
      <c r="H1277" s="119"/>
      <c r="I1277" s="87" t="s">
        <v>58</v>
      </c>
      <c r="J1277" s="87" t="s">
        <v>4091</v>
      </c>
      <c r="K1277" s="90">
        <v>0.0</v>
      </c>
      <c r="L1277" s="92"/>
      <c r="M1277" s="93"/>
      <c r="N1277" s="87" t="s">
        <v>2835</v>
      </c>
      <c r="O1277" s="87" t="s">
        <v>377</v>
      </c>
      <c r="P1277" s="87" t="s">
        <v>372</v>
      </c>
    </row>
    <row r="1278" ht="15.75" customHeight="1">
      <c r="A1278" s="87" t="s">
        <v>4092</v>
      </c>
      <c r="B1278" s="88">
        <v>1.22E18</v>
      </c>
      <c r="C1278" s="87" t="s">
        <v>4093</v>
      </c>
      <c r="D1278" s="87" t="s">
        <v>87</v>
      </c>
      <c r="E1278" s="87" t="s">
        <v>88</v>
      </c>
      <c r="F1278" s="87" t="s">
        <v>4093</v>
      </c>
      <c r="I1278" s="87" t="s">
        <v>58</v>
      </c>
      <c r="J1278" s="87" t="s">
        <v>4094</v>
      </c>
      <c r="K1278" s="90">
        <v>0.0</v>
      </c>
      <c r="L1278" s="92"/>
      <c r="M1278" s="93"/>
      <c r="N1278" s="87" t="s">
        <v>1789</v>
      </c>
      <c r="O1278" s="87" t="s">
        <v>377</v>
      </c>
      <c r="P1278" s="87" t="s">
        <v>372</v>
      </c>
    </row>
    <row r="1279" ht="15.75" customHeight="1">
      <c r="A1279" s="87" t="s">
        <v>4095</v>
      </c>
      <c r="B1279" s="88">
        <v>1.22E18</v>
      </c>
      <c r="C1279" s="87" t="s">
        <v>4096</v>
      </c>
      <c r="D1279" s="87" t="s">
        <v>87</v>
      </c>
      <c r="E1279" s="87" t="s">
        <v>88</v>
      </c>
      <c r="F1279" s="87" t="s">
        <v>4096</v>
      </c>
      <c r="I1279" s="87" t="s">
        <v>58</v>
      </c>
      <c r="J1279" s="87" t="s">
        <v>1788</v>
      </c>
      <c r="K1279" s="90">
        <v>0.0</v>
      </c>
      <c r="L1279" s="92"/>
      <c r="M1279" s="93"/>
      <c r="N1279" s="87" t="s">
        <v>1789</v>
      </c>
      <c r="O1279" s="87" t="s">
        <v>377</v>
      </c>
      <c r="P1279" s="87" t="s">
        <v>372</v>
      </c>
    </row>
    <row r="1280" ht="15.75" customHeight="1">
      <c r="A1280" s="87" t="s">
        <v>4097</v>
      </c>
      <c r="B1280" s="88">
        <v>1.22E18</v>
      </c>
      <c r="C1280" s="87" t="s">
        <v>4098</v>
      </c>
      <c r="D1280" s="87" t="s">
        <v>87</v>
      </c>
      <c r="E1280" s="87" t="s">
        <v>88</v>
      </c>
      <c r="F1280" s="87" t="s">
        <v>4098</v>
      </c>
      <c r="I1280" s="87" t="s">
        <v>58</v>
      </c>
      <c r="J1280" s="87" t="s">
        <v>4099</v>
      </c>
      <c r="K1280" s="90">
        <v>0.0</v>
      </c>
      <c r="L1280" s="92"/>
      <c r="M1280" s="93"/>
      <c r="N1280" s="87" t="s">
        <v>1789</v>
      </c>
      <c r="O1280" s="87" t="s">
        <v>377</v>
      </c>
      <c r="P1280" s="87" t="s">
        <v>372</v>
      </c>
    </row>
    <row r="1281" ht="15.75" customHeight="1">
      <c r="A1281" s="87" t="s">
        <v>4100</v>
      </c>
      <c r="B1281" s="88">
        <v>1.22E18</v>
      </c>
      <c r="C1281" s="87" t="s">
        <v>4101</v>
      </c>
      <c r="D1281" s="87" t="s">
        <v>87</v>
      </c>
      <c r="E1281" s="87" t="s">
        <v>88</v>
      </c>
      <c r="F1281" s="87" t="s">
        <v>4101</v>
      </c>
      <c r="I1281" s="87" t="s">
        <v>58</v>
      </c>
      <c r="J1281" s="87" t="s">
        <v>2095</v>
      </c>
      <c r="K1281" s="90">
        <v>0.0</v>
      </c>
      <c r="L1281" s="92"/>
      <c r="M1281" s="93"/>
      <c r="N1281" s="87" t="s">
        <v>1789</v>
      </c>
      <c r="O1281" s="87" t="s">
        <v>377</v>
      </c>
      <c r="P1281" s="87" t="s">
        <v>372</v>
      </c>
    </row>
    <row r="1282" ht="15.75" customHeight="1">
      <c r="A1282" s="87" t="s">
        <v>4102</v>
      </c>
      <c r="B1282" s="88">
        <v>1.22E18</v>
      </c>
      <c r="C1282" s="87" t="s">
        <v>4103</v>
      </c>
      <c r="D1282" s="87" t="s">
        <v>87</v>
      </c>
      <c r="E1282" s="87" t="s">
        <v>88</v>
      </c>
      <c r="F1282" s="118" t="s">
        <v>4103</v>
      </c>
      <c r="G1282" s="130"/>
      <c r="H1282" s="119"/>
      <c r="I1282" s="87" t="s">
        <v>58</v>
      </c>
      <c r="J1282" s="87" t="s">
        <v>4104</v>
      </c>
      <c r="K1282" s="90">
        <v>0.0</v>
      </c>
      <c r="L1282" s="92"/>
      <c r="M1282" s="93"/>
      <c r="N1282" s="87" t="s">
        <v>1789</v>
      </c>
      <c r="O1282" s="87" t="s">
        <v>377</v>
      </c>
      <c r="P1282" s="87" t="s">
        <v>372</v>
      </c>
    </row>
    <row r="1283" ht="15.75" customHeight="1">
      <c r="A1283" s="87" t="s">
        <v>4105</v>
      </c>
      <c r="B1283" s="88">
        <v>1.22E18</v>
      </c>
      <c r="C1283" s="87" t="s">
        <v>4106</v>
      </c>
      <c r="D1283" s="87" t="s">
        <v>262</v>
      </c>
      <c r="E1283" s="87" t="s">
        <v>267</v>
      </c>
      <c r="F1283" s="118" t="s">
        <v>4106</v>
      </c>
      <c r="G1283" s="130"/>
      <c r="H1283" s="119"/>
      <c r="I1283" s="87" t="s">
        <v>58</v>
      </c>
      <c r="J1283" s="87" t="s">
        <v>4107</v>
      </c>
      <c r="K1283" s="90">
        <v>0.0</v>
      </c>
      <c r="L1283" s="92"/>
      <c r="M1283" s="93"/>
      <c r="N1283" s="87" t="s">
        <v>1789</v>
      </c>
      <c r="O1283" s="87" t="s">
        <v>377</v>
      </c>
      <c r="P1283" s="87" t="s">
        <v>372</v>
      </c>
    </row>
    <row r="1284" ht="15.75" customHeight="1">
      <c r="A1284" s="87" t="s">
        <v>4108</v>
      </c>
      <c r="B1284" s="88">
        <v>1.22E18</v>
      </c>
      <c r="C1284" s="87" t="s">
        <v>4109</v>
      </c>
      <c r="D1284" s="87" t="s">
        <v>262</v>
      </c>
      <c r="E1284" s="87" t="s">
        <v>267</v>
      </c>
      <c r="F1284" s="118" t="s">
        <v>4109</v>
      </c>
      <c r="G1284" s="130"/>
      <c r="H1284" s="119"/>
      <c r="I1284" s="87" t="s">
        <v>58</v>
      </c>
      <c r="J1284" s="87" t="s">
        <v>4110</v>
      </c>
      <c r="K1284" s="90">
        <v>0.0</v>
      </c>
      <c r="L1284" s="92"/>
      <c r="M1284" s="93"/>
      <c r="N1284" s="87" t="s">
        <v>4111</v>
      </c>
      <c r="O1284" s="87" t="s">
        <v>377</v>
      </c>
      <c r="P1284" s="87" t="s">
        <v>372</v>
      </c>
    </row>
    <row r="1285" ht="15.75" customHeight="1">
      <c r="A1285" s="87" t="s">
        <v>4112</v>
      </c>
      <c r="B1285" s="88">
        <v>1.22E18</v>
      </c>
      <c r="C1285" s="87" t="s">
        <v>4113</v>
      </c>
      <c r="D1285" s="87" t="s">
        <v>262</v>
      </c>
      <c r="E1285" s="87" t="s">
        <v>278</v>
      </c>
      <c r="F1285" s="87" t="s">
        <v>4113</v>
      </c>
      <c r="H1285" s="93"/>
      <c r="I1285" s="87" t="s">
        <v>58</v>
      </c>
      <c r="J1285" s="87" t="s">
        <v>4114</v>
      </c>
      <c r="L1285" s="92"/>
      <c r="M1285" s="93"/>
      <c r="N1285" s="87" t="s">
        <v>4115</v>
      </c>
      <c r="O1285" s="87" t="s">
        <v>377</v>
      </c>
      <c r="P1285" s="87" t="s">
        <v>2565</v>
      </c>
    </row>
    <row r="1286" ht="15.75" customHeight="1">
      <c r="A1286" s="87" t="s">
        <v>4116</v>
      </c>
      <c r="B1286" s="88">
        <v>1.22E18</v>
      </c>
      <c r="C1286" s="87" t="s">
        <v>4117</v>
      </c>
      <c r="D1286" s="87" t="s">
        <v>87</v>
      </c>
      <c r="E1286" s="87" t="s">
        <v>102</v>
      </c>
      <c r="F1286" s="118" t="s">
        <v>4117</v>
      </c>
      <c r="G1286" s="130"/>
      <c r="H1286" s="119"/>
      <c r="I1286" s="87" t="s">
        <v>58</v>
      </c>
      <c r="J1286" s="87" t="s">
        <v>4118</v>
      </c>
      <c r="K1286" s="90">
        <v>0.0</v>
      </c>
      <c r="L1286" s="92"/>
      <c r="M1286" s="93"/>
      <c r="N1286" s="87" t="s">
        <v>1772</v>
      </c>
      <c r="O1286" s="87" t="s">
        <v>377</v>
      </c>
      <c r="P1286" s="87" t="s">
        <v>372</v>
      </c>
    </row>
    <row r="1287" ht="15.75" customHeight="1">
      <c r="A1287" s="87" t="s">
        <v>4119</v>
      </c>
      <c r="B1287" s="88">
        <v>1.22E18</v>
      </c>
      <c r="C1287" s="87" t="s">
        <v>4120</v>
      </c>
      <c r="D1287" s="87" t="s">
        <v>87</v>
      </c>
      <c r="E1287" s="87" t="s">
        <v>102</v>
      </c>
      <c r="F1287" s="118" t="s">
        <v>4120</v>
      </c>
      <c r="G1287" s="130"/>
      <c r="H1287" s="119"/>
      <c r="I1287" s="87" t="s">
        <v>58</v>
      </c>
      <c r="J1287" s="87" t="s">
        <v>4121</v>
      </c>
      <c r="K1287" s="90">
        <v>0.0</v>
      </c>
      <c r="L1287" s="92"/>
      <c r="M1287" s="93"/>
      <c r="N1287" s="87" t="s">
        <v>1772</v>
      </c>
      <c r="O1287" s="87" t="s">
        <v>377</v>
      </c>
      <c r="P1287" s="87" t="s">
        <v>372</v>
      </c>
    </row>
    <row r="1288" ht="15.75" customHeight="1">
      <c r="A1288" s="87" t="s">
        <v>4122</v>
      </c>
      <c r="B1288" s="88">
        <v>1.22E18</v>
      </c>
      <c r="C1288" s="87" t="s">
        <v>4123</v>
      </c>
      <c r="D1288" s="87" t="s">
        <v>57</v>
      </c>
      <c r="E1288" s="87" t="s">
        <v>281</v>
      </c>
      <c r="F1288" s="118" t="s">
        <v>4123</v>
      </c>
      <c r="G1288" s="130"/>
      <c r="H1288" s="119"/>
      <c r="I1288" s="87" t="s">
        <v>58</v>
      </c>
      <c r="J1288" s="87" t="s">
        <v>4124</v>
      </c>
      <c r="K1288" s="90">
        <v>0.0</v>
      </c>
      <c r="L1288" s="92"/>
      <c r="M1288" s="93"/>
      <c r="N1288" s="87" t="s">
        <v>1772</v>
      </c>
      <c r="O1288" s="87" t="s">
        <v>377</v>
      </c>
      <c r="P1288" s="87" t="s">
        <v>372</v>
      </c>
    </row>
    <row r="1289" ht="15.75" customHeight="1">
      <c r="A1289" s="87" t="s">
        <v>4125</v>
      </c>
      <c r="B1289" s="88">
        <v>1.22E18</v>
      </c>
      <c r="C1289" s="87" t="s">
        <v>4126</v>
      </c>
      <c r="D1289" s="87" t="s">
        <v>56</v>
      </c>
      <c r="E1289" s="87" t="s">
        <v>59</v>
      </c>
      <c r="F1289" s="87" t="s">
        <v>4126</v>
      </c>
      <c r="I1289" s="87" t="s">
        <v>58</v>
      </c>
      <c r="J1289" s="87" t="s">
        <v>4127</v>
      </c>
      <c r="K1289" s="90">
        <v>0.0</v>
      </c>
      <c r="L1289" s="92"/>
      <c r="M1289" s="93"/>
      <c r="N1289" s="87" t="s">
        <v>1772</v>
      </c>
      <c r="O1289" s="87" t="s">
        <v>377</v>
      </c>
      <c r="P1289" s="87" t="s">
        <v>372</v>
      </c>
    </row>
    <row r="1290" ht="15.75" customHeight="1">
      <c r="A1290" s="87" t="s">
        <v>4128</v>
      </c>
      <c r="B1290" s="88">
        <v>1.22E18</v>
      </c>
      <c r="C1290" s="87" t="s">
        <v>4129</v>
      </c>
      <c r="D1290" s="87" t="s">
        <v>87</v>
      </c>
      <c r="E1290" s="87" t="s">
        <v>88</v>
      </c>
      <c r="F1290" s="87" t="s">
        <v>4129</v>
      </c>
      <c r="H1290" s="93"/>
      <c r="I1290" s="87" t="s">
        <v>58</v>
      </c>
      <c r="J1290" s="87" t="s">
        <v>4130</v>
      </c>
      <c r="K1290" s="90">
        <v>0.0</v>
      </c>
      <c r="L1290" s="92"/>
      <c r="M1290" s="93"/>
      <c r="N1290" s="87" t="s">
        <v>1772</v>
      </c>
      <c r="O1290" s="87" t="s">
        <v>377</v>
      </c>
      <c r="P1290" s="87" t="s">
        <v>372</v>
      </c>
    </row>
    <row r="1291" ht="15.75" customHeight="1">
      <c r="A1291" s="87" t="s">
        <v>4131</v>
      </c>
      <c r="B1291" s="88">
        <v>1.22E18</v>
      </c>
      <c r="C1291" s="87" t="s">
        <v>4132</v>
      </c>
      <c r="D1291" s="87" t="s">
        <v>87</v>
      </c>
      <c r="E1291" s="87" t="s">
        <v>88</v>
      </c>
      <c r="F1291" s="87" t="s">
        <v>4132</v>
      </c>
      <c r="I1291" s="87" t="s">
        <v>58</v>
      </c>
      <c r="J1291" s="87" t="s">
        <v>4133</v>
      </c>
      <c r="K1291" s="90">
        <v>0.0</v>
      </c>
      <c r="L1291" s="92"/>
      <c r="M1291" s="93"/>
      <c r="N1291" s="87" t="s">
        <v>1772</v>
      </c>
      <c r="O1291" s="87" t="s">
        <v>377</v>
      </c>
      <c r="P1291" s="87" t="s">
        <v>372</v>
      </c>
    </row>
    <row r="1292" ht="15.75" customHeight="1">
      <c r="A1292" s="87" t="s">
        <v>4134</v>
      </c>
      <c r="B1292" s="88">
        <v>1.22E18</v>
      </c>
      <c r="C1292" s="87" t="s">
        <v>4135</v>
      </c>
      <c r="D1292" s="87" t="s">
        <v>87</v>
      </c>
      <c r="E1292" s="87" t="s">
        <v>88</v>
      </c>
      <c r="F1292" s="87" t="s">
        <v>4135</v>
      </c>
      <c r="H1292" s="87" t="s">
        <v>369</v>
      </c>
      <c r="I1292" s="87" t="s">
        <v>327</v>
      </c>
      <c r="J1292" s="87" t="s">
        <v>513</v>
      </c>
      <c r="K1292" s="90">
        <v>220000.0</v>
      </c>
      <c r="L1292" s="92"/>
      <c r="M1292" s="93"/>
      <c r="N1292" s="87" t="s">
        <v>390</v>
      </c>
      <c r="O1292" s="87" t="s">
        <v>377</v>
      </c>
      <c r="P1292" s="87" t="s">
        <v>372</v>
      </c>
    </row>
    <row r="1293" ht="15.75" customHeight="1">
      <c r="A1293" s="87" t="s">
        <v>4136</v>
      </c>
      <c r="B1293" s="88">
        <v>1.22E18</v>
      </c>
      <c r="C1293" s="87" t="s">
        <v>4137</v>
      </c>
      <c r="D1293" s="87" t="s">
        <v>87</v>
      </c>
      <c r="E1293" s="87" t="s">
        <v>88</v>
      </c>
      <c r="F1293" s="87" t="s">
        <v>4137</v>
      </c>
      <c r="H1293" s="87" t="s">
        <v>369</v>
      </c>
      <c r="I1293" s="87" t="s">
        <v>327</v>
      </c>
      <c r="J1293" s="87" t="s">
        <v>4138</v>
      </c>
      <c r="K1293" s="90">
        <v>40000.0</v>
      </c>
      <c r="L1293" s="92"/>
      <c r="M1293" s="93"/>
      <c r="N1293" s="87" t="s">
        <v>390</v>
      </c>
      <c r="O1293" s="87" t="s">
        <v>377</v>
      </c>
      <c r="P1293" s="87" t="s">
        <v>372</v>
      </c>
    </row>
    <row r="1294" ht="15.75" customHeight="1">
      <c r="A1294" s="87" t="s">
        <v>4139</v>
      </c>
      <c r="B1294" s="88">
        <v>1.22E18</v>
      </c>
      <c r="C1294" s="87" t="s">
        <v>4140</v>
      </c>
      <c r="D1294" s="87" t="s">
        <v>87</v>
      </c>
      <c r="E1294" s="87" t="s">
        <v>88</v>
      </c>
      <c r="F1294" s="87" t="s">
        <v>373</v>
      </c>
      <c r="H1294" s="93"/>
      <c r="I1294" s="93"/>
      <c r="J1294" s="87" t="s">
        <v>449</v>
      </c>
      <c r="K1294" s="90">
        <v>1500.0</v>
      </c>
      <c r="L1294" s="92"/>
      <c r="M1294" s="93"/>
      <c r="N1294" s="87" t="s">
        <v>2483</v>
      </c>
      <c r="O1294" s="87" t="s">
        <v>377</v>
      </c>
      <c r="P1294" s="87" t="s">
        <v>372</v>
      </c>
    </row>
    <row r="1295" ht="15.75" customHeight="1">
      <c r="A1295" s="87" t="s">
        <v>4141</v>
      </c>
      <c r="B1295" s="88">
        <v>1.22E18</v>
      </c>
      <c r="C1295" s="87" t="s">
        <v>4142</v>
      </c>
      <c r="D1295" s="87" t="s">
        <v>87</v>
      </c>
      <c r="E1295" s="87" t="s">
        <v>228</v>
      </c>
      <c r="F1295" s="87" t="s">
        <v>4142</v>
      </c>
      <c r="I1295" s="87" t="s">
        <v>340</v>
      </c>
      <c r="J1295" s="87" t="s">
        <v>449</v>
      </c>
      <c r="K1295" s="90">
        <v>1000.0</v>
      </c>
      <c r="L1295" s="92"/>
      <c r="M1295" s="93"/>
      <c r="N1295" s="87" t="s">
        <v>2483</v>
      </c>
      <c r="O1295" s="87" t="s">
        <v>377</v>
      </c>
      <c r="P1295" s="87" t="s">
        <v>372</v>
      </c>
    </row>
    <row r="1296" ht="15.75" customHeight="1">
      <c r="A1296" s="87" t="s">
        <v>4143</v>
      </c>
      <c r="B1296" s="88">
        <v>1.22E18</v>
      </c>
      <c r="C1296" s="87" t="s">
        <v>4144</v>
      </c>
      <c r="D1296" s="87" t="s">
        <v>87</v>
      </c>
      <c r="E1296" s="87" t="s">
        <v>228</v>
      </c>
      <c r="F1296" s="87" t="s">
        <v>4144</v>
      </c>
      <c r="I1296" s="87" t="s">
        <v>340</v>
      </c>
      <c r="J1296" s="87" t="s">
        <v>449</v>
      </c>
      <c r="K1296" s="90">
        <v>800.0</v>
      </c>
      <c r="L1296" s="92"/>
      <c r="M1296" s="93"/>
      <c r="N1296" s="87" t="s">
        <v>2483</v>
      </c>
      <c r="O1296" s="87" t="s">
        <v>377</v>
      </c>
      <c r="P1296" s="87" t="s">
        <v>372</v>
      </c>
    </row>
    <row r="1297" ht="15.75" customHeight="1">
      <c r="A1297" s="87" t="s">
        <v>4145</v>
      </c>
      <c r="B1297" s="88">
        <v>1.22E18</v>
      </c>
      <c r="C1297" s="87" t="s">
        <v>4146</v>
      </c>
      <c r="D1297" s="87" t="s">
        <v>87</v>
      </c>
      <c r="E1297" s="87" t="s">
        <v>88</v>
      </c>
      <c r="F1297" s="87" t="s">
        <v>379</v>
      </c>
      <c r="G1297" s="93"/>
      <c r="H1297" s="93"/>
      <c r="I1297" s="93"/>
      <c r="J1297" s="87" t="s">
        <v>449</v>
      </c>
      <c r="K1297" s="90">
        <v>500.0</v>
      </c>
      <c r="L1297" s="92"/>
      <c r="M1297" s="93"/>
      <c r="N1297" s="87" t="s">
        <v>2483</v>
      </c>
      <c r="O1297" s="87" t="s">
        <v>377</v>
      </c>
      <c r="P1297" s="87" t="s">
        <v>372</v>
      </c>
    </row>
    <row r="1298" ht="15.75" customHeight="1">
      <c r="A1298" s="87" t="s">
        <v>4147</v>
      </c>
      <c r="B1298" s="88">
        <v>1.22E18</v>
      </c>
      <c r="C1298" s="87" t="s">
        <v>4148</v>
      </c>
      <c r="D1298" s="87" t="s">
        <v>87</v>
      </c>
      <c r="E1298" s="87" t="s">
        <v>88</v>
      </c>
      <c r="F1298" s="87" t="s">
        <v>379</v>
      </c>
      <c r="G1298" s="93"/>
      <c r="H1298" s="93"/>
      <c r="I1298" s="93"/>
      <c r="J1298" s="87" t="s">
        <v>449</v>
      </c>
      <c r="K1298" s="90">
        <v>0.0</v>
      </c>
      <c r="L1298" s="92"/>
      <c r="M1298" s="93"/>
      <c r="N1298" s="87" t="s">
        <v>2483</v>
      </c>
      <c r="O1298" s="87" t="s">
        <v>377</v>
      </c>
      <c r="P1298" s="87" t="s">
        <v>372</v>
      </c>
    </row>
    <row r="1299" ht="15.75" customHeight="1">
      <c r="A1299" s="87" t="s">
        <v>4149</v>
      </c>
      <c r="B1299" s="88">
        <v>1.22E18</v>
      </c>
      <c r="C1299" s="87" t="s">
        <v>4150</v>
      </c>
      <c r="D1299" s="87" t="s">
        <v>87</v>
      </c>
      <c r="E1299" s="87" t="s">
        <v>88</v>
      </c>
      <c r="F1299" s="87" t="s">
        <v>379</v>
      </c>
      <c r="G1299" s="93"/>
      <c r="H1299" s="93"/>
      <c r="I1299" s="93"/>
      <c r="J1299" s="87" t="s">
        <v>2998</v>
      </c>
      <c r="K1299" s="90">
        <v>900.0</v>
      </c>
      <c r="L1299" s="92"/>
      <c r="M1299" s="93"/>
      <c r="N1299" s="87" t="s">
        <v>2483</v>
      </c>
      <c r="O1299" s="87" t="s">
        <v>377</v>
      </c>
      <c r="P1299" s="87" t="s">
        <v>372</v>
      </c>
    </row>
    <row r="1300" ht="15.75" customHeight="1">
      <c r="A1300" s="87" t="s">
        <v>4151</v>
      </c>
      <c r="B1300" s="88">
        <v>1.22E18</v>
      </c>
      <c r="C1300" s="87" t="s">
        <v>4152</v>
      </c>
      <c r="D1300" s="87" t="s">
        <v>87</v>
      </c>
      <c r="E1300" s="87" t="s">
        <v>228</v>
      </c>
      <c r="F1300" s="87" t="s">
        <v>4152</v>
      </c>
      <c r="H1300" s="93"/>
      <c r="I1300" s="87" t="s">
        <v>340</v>
      </c>
      <c r="J1300" s="87" t="s">
        <v>4153</v>
      </c>
      <c r="K1300" s="90">
        <v>500.0</v>
      </c>
      <c r="L1300" s="92"/>
      <c r="M1300" s="93"/>
      <c r="N1300" s="87" t="s">
        <v>2483</v>
      </c>
      <c r="O1300" s="87" t="s">
        <v>377</v>
      </c>
      <c r="P1300" s="87" t="s">
        <v>372</v>
      </c>
    </row>
    <row r="1301" ht="15.75" customHeight="1">
      <c r="A1301" s="87" t="s">
        <v>4154</v>
      </c>
      <c r="B1301" s="88">
        <v>1.22E18</v>
      </c>
      <c r="C1301" s="87" t="s">
        <v>4155</v>
      </c>
      <c r="D1301" s="87" t="s">
        <v>87</v>
      </c>
      <c r="E1301" s="87" t="s">
        <v>228</v>
      </c>
      <c r="F1301" s="87" t="s">
        <v>4155</v>
      </c>
      <c r="I1301" s="87" t="s">
        <v>58</v>
      </c>
      <c r="J1301" s="87" t="s">
        <v>4156</v>
      </c>
      <c r="K1301" s="90">
        <v>0.0</v>
      </c>
      <c r="L1301" s="92"/>
      <c r="M1301" s="93"/>
      <c r="N1301" s="87" t="s">
        <v>2483</v>
      </c>
      <c r="O1301" s="87" t="s">
        <v>377</v>
      </c>
      <c r="P1301" s="87" t="s">
        <v>372</v>
      </c>
    </row>
    <row r="1302" ht="15.75" customHeight="1">
      <c r="A1302" s="87" t="s">
        <v>4157</v>
      </c>
      <c r="B1302" s="88">
        <v>1.22E18</v>
      </c>
      <c r="C1302" s="87" t="s">
        <v>4158</v>
      </c>
      <c r="D1302" s="87" t="s">
        <v>87</v>
      </c>
      <c r="E1302" s="87" t="s">
        <v>228</v>
      </c>
      <c r="F1302" s="87" t="s">
        <v>373</v>
      </c>
      <c r="H1302" s="93"/>
      <c r="I1302" s="87" t="s">
        <v>315</v>
      </c>
      <c r="J1302" s="87" t="s">
        <v>4159</v>
      </c>
      <c r="K1302" s="90">
        <v>0.0</v>
      </c>
      <c r="L1302" s="92"/>
      <c r="M1302" s="93"/>
      <c r="N1302" s="87" t="s">
        <v>4160</v>
      </c>
      <c r="O1302" s="87" t="s">
        <v>377</v>
      </c>
      <c r="P1302" s="87" t="s">
        <v>372</v>
      </c>
    </row>
    <row r="1303" ht="15.75" customHeight="1">
      <c r="A1303" s="87" t="s">
        <v>4161</v>
      </c>
      <c r="B1303" s="88">
        <v>1.22E18</v>
      </c>
      <c r="C1303" s="87" t="s">
        <v>4162</v>
      </c>
      <c r="D1303" s="87" t="s">
        <v>87</v>
      </c>
      <c r="E1303" s="87" t="s">
        <v>102</v>
      </c>
      <c r="F1303" s="118" t="s">
        <v>4162</v>
      </c>
      <c r="G1303" s="130"/>
      <c r="H1303" s="119"/>
      <c r="I1303" s="87" t="s">
        <v>58</v>
      </c>
      <c r="J1303" s="87" t="s">
        <v>4163</v>
      </c>
      <c r="K1303" s="90">
        <v>0.0</v>
      </c>
      <c r="L1303" s="92"/>
      <c r="M1303" s="93"/>
      <c r="N1303" s="87" t="s">
        <v>3967</v>
      </c>
      <c r="O1303" s="87" t="s">
        <v>377</v>
      </c>
      <c r="P1303" s="87" t="s">
        <v>372</v>
      </c>
    </row>
    <row r="1304" ht="15.75" customHeight="1">
      <c r="A1304" s="87" t="s">
        <v>4164</v>
      </c>
      <c r="B1304" s="88">
        <v>1.22E18</v>
      </c>
      <c r="C1304" s="87" t="s">
        <v>4165</v>
      </c>
      <c r="D1304" s="87" t="s">
        <v>87</v>
      </c>
      <c r="E1304" s="87" t="s">
        <v>102</v>
      </c>
      <c r="F1304" s="87" t="s">
        <v>415</v>
      </c>
      <c r="G1304" s="93"/>
      <c r="H1304" s="93"/>
      <c r="I1304" s="87" t="s">
        <v>58</v>
      </c>
      <c r="J1304" s="87" t="s">
        <v>4166</v>
      </c>
      <c r="K1304" s="90">
        <v>1.0</v>
      </c>
      <c r="L1304" s="92"/>
      <c r="M1304" s="93"/>
      <c r="N1304" s="87" t="s">
        <v>2577</v>
      </c>
      <c r="O1304" s="87" t="s">
        <v>377</v>
      </c>
      <c r="P1304" s="87" t="s">
        <v>372</v>
      </c>
    </row>
    <row r="1305" ht="15.75" customHeight="1">
      <c r="A1305" s="87" t="s">
        <v>4167</v>
      </c>
      <c r="B1305" s="88">
        <v>1.22E18</v>
      </c>
      <c r="C1305" s="87" t="s">
        <v>4168</v>
      </c>
      <c r="D1305" s="87" t="s">
        <v>87</v>
      </c>
      <c r="E1305" s="87" t="s">
        <v>88</v>
      </c>
      <c r="F1305" s="118" t="s">
        <v>4168</v>
      </c>
      <c r="G1305" s="130"/>
      <c r="H1305" s="119"/>
      <c r="I1305" s="87" t="s">
        <v>2770</v>
      </c>
      <c r="J1305" s="87" t="s">
        <v>4169</v>
      </c>
      <c r="K1305" s="90">
        <v>0.0</v>
      </c>
      <c r="L1305" s="92"/>
      <c r="M1305" s="93"/>
      <c r="N1305" s="87" t="s">
        <v>1772</v>
      </c>
      <c r="O1305" s="87" t="s">
        <v>377</v>
      </c>
      <c r="P1305" s="87" t="s">
        <v>372</v>
      </c>
    </row>
    <row r="1306" ht="15.75" customHeight="1">
      <c r="A1306" s="87" t="s">
        <v>4170</v>
      </c>
      <c r="B1306" s="88">
        <v>1.22E18</v>
      </c>
      <c r="C1306" s="87" t="s">
        <v>4171</v>
      </c>
      <c r="D1306" s="87" t="s">
        <v>87</v>
      </c>
      <c r="E1306" s="87" t="s">
        <v>233</v>
      </c>
      <c r="F1306" s="118" t="s">
        <v>4171</v>
      </c>
      <c r="G1306" s="130"/>
      <c r="H1306" s="119"/>
      <c r="I1306" s="87" t="s">
        <v>315</v>
      </c>
      <c r="J1306" s="87" t="s">
        <v>4172</v>
      </c>
      <c r="K1306" s="90">
        <v>0.0</v>
      </c>
      <c r="L1306" s="92"/>
      <c r="M1306" s="93"/>
      <c r="N1306" s="87" t="s">
        <v>588</v>
      </c>
      <c r="O1306" s="87" t="s">
        <v>377</v>
      </c>
      <c r="P1306" s="87" t="s">
        <v>372</v>
      </c>
    </row>
    <row r="1307" ht="15.75" customHeight="1">
      <c r="A1307" s="87" t="s">
        <v>4173</v>
      </c>
      <c r="B1307" s="88">
        <v>1.22E18</v>
      </c>
      <c r="C1307" s="87" t="s">
        <v>4174</v>
      </c>
      <c r="D1307" s="87" t="s">
        <v>87</v>
      </c>
      <c r="E1307" s="87" t="s">
        <v>102</v>
      </c>
      <c r="F1307" s="118" t="s">
        <v>4174</v>
      </c>
      <c r="G1307" s="119"/>
      <c r="H1307" s="87" t="s">
        <v>2227</v>
      </c>
      <c r="I1307" s="87" t="s">
        <v>58</v>
      </c>
      <c r="J1307" s="87" t="s">
        <v>4175</v>
      </c>
      <c r="K1307" s="90">
        <v>0.0</v>
      </c>
      <c r="L1307" s="92"/>
      <c r="M1307" s="93"/>
      <c r="N1307" s="87" t="s">
        <v>3315</v>
      </c>
      <c r="O1307" s="87" t="s">
        <v>377</v>
      </c>
      <c r="P1307" s="87" t="s">
        <v>372</v>
      </c>
    </row>
    <row r="1308" ht="15.75" customHeight="1">
      <c r="A1308" s="87" t="s">
        <v>4176</v>
      </c>
      <c r="B1308" s="88">
        <v>1.22E18</v>
      </c>
      <c r="C1308" s="87" t="s">
        <v>4177</v>
      </c>
      <c r="D1308" s="87" t="s">
        <v>87</v>
      </c>
      <c r="E1308" s="87" t="s">
        <v>102</v>
      </c>
      <c r="F1308" s="118" t="s">
        <v>4177</v>
      </c>
      <c r="G1308" s="119"/>
      <c r="H1308" s="87" t="s">
        <v>2227</v>
      </c>
      <c r="I1308" s="87" t="s">
        <v>58</v>
      </c>
      <c r="J1308" s="87" t="s">
        <v>4178</v>
      </c>
      <c r="K1308" s="90">
        <v>0.0</v>
      </c>
      <c r="L1308" s="92"/>
      <c r="M1308" s="93"/>
      <c r="N1308" s="87" t="s">
        <v>3315</v>
      </c>
      <c r="O1308" s="87" t="s">
        <v>377</v>
      </c>
      <c r="P1308" s="87" t="s">
        <v>372</v>
      </c>
    </row>
    <row r="1309" ht="15.75" customHeight="1">
      <c r="A1309" s="87" t="s">
        <v>4179</v>
      </c>
      <c r="B1309" s="88">
        <v>1.22E18</v>
      </c>
      <c r="C1309" s="87" t="s">
        <v>4180</v>
      </c>
      <c r="D1309" s="87" t="s">
        <v>262</v>
      </c>
      <c r="E1309" s="87" t="s">
        <v>263</v>
      </c>
      <c r="F1309" s="87" t="s">
        <v>4180</v>
      </c>
      <c r="I1309" s="87" t="s">
        <v>58</v>
      </c>
      <c r="J1309" s="87" t="s">
        <v>4181</v>
      </c>
      <c r="K1309" s="90">
        <v>0.0</v>
      </c>
      <c r="L1309" s="92"/>
      <c r="M1309" s="93"/>
      <c r="N1309" s="87" t="s">
        <v>4182</v>
      </c>
      <c r="O1309" s="87" t="s">
        <v>377</v>
      </c>
      <c r="P1309" s="87" t="s">
        <v>372</v>
      </c>
    </row>
    <row r="1310" ht="15.75" customHeight="1">
      <c r="A1310" s="87" t="s">
        <v>4183</v>
      </c>
      <c r="B1310" s="88">
        <v>1.22E18</v>
      </c>
      <c r="C1310" s="87" t="s">
        <v>4184</v>
      </c>
      <c r="D1310" s="87" t="s">
        <v>87</v>
      </c>
      <c r="E1310" s="87" t="s">
        <v>88</v>
      </c>
      <c r="F1310" s="87" t="s">
        <v>861</v>
      </c>
      <c r="G1310" s="93"/>
      <c r="H1310" s="93"/>
      <c r="I1310" s="87" t="s">
        <v>58</v>
      </c>
      <c r="J1310" s="87" t="s">
        <v>4185</v>
      </c>
      <c r="K1310" s="90">
        <v>0.0</v>
      </c>
      <c r="L1310" s="92"/>
      <c r="M1310" s="93"/>
      <c r="N1310" s="87" t="s">
        <v>4186</v>
      </c>
      <c r="O1310" s="87" t="s">
        <v>377</v>
      </c>
      <c r="P1310" s="87" t="s">
        <v>372</v>
      </c>
    </row>
    <row r="1311" ht="15.75" customHeight="1">
      <c r="A1311" s="87" t="s">
        <v>4187</v>
      </c>
      <c r="B1311" s="88">
        <v>1.22E18</v>
      </c>
      <c r="C1311" s="87" t="s">
        <v>4188</v>
      </c>
      <c r="D1311" s="87" t="s">
        <v>56</v>
      </c>
      <c r="E1311" s="87" t="s">
        <v>142</v>
      </c>
      <c r="F1311" s="118" t="s">
        <v>4188</v>
      </c>
      <c r="G1311" s="130"/>
      <c r="H1311" s="119"/>
      <c r="I1311" s="87" t="s">
        <v>58</v>
      </c>
      <c r="J1311" s="87" t="s">
        <v>4185</v>
      </c>
      <c r="K1311" s="90">
        <v>0.0</v>
      </c>
      <c r="L1311" s="92"/>
      <c r="M1311" s="93"/>
      <c r="N1311" s="87" t="s">
        <v>4186</v>
      </c>
      <c r="O1311" s="87" t="s">
        <v>377</v>
      </c>
      <c r="P1311" s="87" t="s">
        <v>372</v>
      </c>
    </row>
    <row r="1312" ht="15.75" customHeight="1">
      <c r="A1312" s="87" t="s">
        <v>4189</v>
      </c>
      <c r="B1312" s="88">
        <v>1.22E18</v>
      </c>
      <c r="C1312" s="87" t="s">
        <v>4190</v>
      </c>
      <c r="D1312" s="87" t="s">
        <v>87</v>
      </c>
      <c r="E1312" s="87" t="s">
        <v>88</v>
      </c>
      <c r="F1312" s="87" t="s">
        <v>861</v>
      </c>
      <c r="G1312" s="93"/>
      <c r="H1312" s="93"/>
      <c r="I1312" s="87" t="s">
        <v>58</v>
      </c>
      <c r="J1312" s="87" t="s">
        <v>4185</v>
      </c>
      <c r="K1312" s="90">
        <v>0.0</v>
      </c>
      <c r="L1312" s="92"/>
      <c r="M1312" s="93"/>
      <c r="N1312" s="87" t="s">
        <v>4186</v>
      </c>
      <c r="O1312" s="87" t="s">
        <v>377</v>
      </c>
      <c r="P1312" s="87" t="s">
        <v>372</v>
      </c>
    </row>
    <row r="1313" ht="15.75" customHeight="1">
      <c r="A1313" s="87" t="s">
        <v>4191</v>
      </c>
      <c r="B1313" s="88">
        <v>1.22E18</v>
      </c>
      <c r="C1313" s="87" t="s">
        <v>4192</v>
      </c>
      <c r="D1313" s="87" t="s">
        <v>57</v>
      </c>
      <c r="E1313" s="87" t="s">
        <v>281</v>
      </c>
      <c r="F1313" s="87" t="s">
        <v>4192</v>
      </c>
      <c r="I1313" s="87" t="s">
        <v>1923</v>
      </c>
      <c r="J1313" s="87" t="s">
        <v>1215</v>
      </c>
      <c r="K1313" s="90">
        <v>0.0</v>
      </c>
      <c r="L1313" s="92"/>
      <c r="M1313" s="93"/>
      <c r="N1313" s="87" t="s">
        <v>4193</v>
      </c>
      <c r="O1313" s="87" t="s">
        <v>377</v>
      </c>
      <c r="P1313" s="87" t="s">
        <v>372</v>
      </c>
    </row>
    <row r="1314" ht="15.75" customHeight="1">
      <c r="A1314" s="87" t="s">
        <v>4194</v>
      </c>
      <c r="B1314" s="88">
        <v>1.22E18</v>
      </c>
      <c r="C1314" s="87" t="s">
        <v>4195</v>
      </c>
      <c r="D1314" s="87" t="s">
        <v>57</v>
      </c>
      <c r="E1314" s="87" t="s">
        <v>281</v>
      </c>
      <c r="F1314" s="87" t="s">
        <v>4195</v>
      </c>
      <c r="I1314" s="87" t="s">
        <v>1923</v>
      </c>
      <c r="J1314" s="87" t="s">
        <v>1215</v>
      </c>
      <c r="K1314" s="90">
        <v>0.0</v>
      </c>
      <c r="L1314" s="92"/>
      <c r="M1314" s="93"/>
      <c r="N1314" s="87" t="s">
        <v>4193</v>
      </c>
      <c r="O1314" s="87" t="s">
        <v>377</v>
      </c>
      <c r="P1314" s="87" t="s">
        <v>372</v>
      </c>
    </row>
    <row r="1315" ht="15.75" customHeight="1">
      <c r="A1315" s="87" t="s">
        <v>4196</v>
      </c>
      <c r="B1315" s="88">
        <v>1.22E18</v>
      </c>
      <c r="C1315" s="87" t="s">
        <v>4197</v>
      </c>
      <c r="D1315" s="87" t="s">
        <v>57</v>
      </c>
      <c r="E1315" s="87" t="s">
        <v>281</v>
      </c>
      <c r="F1315" s="87" t="s">
        <v>4197</v>
      </c>
      <c r="I1315" s="87" t="s">
        <v>1923</v>
      </c>
      <c r="J1315" s="87" t="s">
        <v>1215</v>
      </c>
      <c r="K1315" s="90">
        <v>0.0</v>
      </c>
      <c r="L1315" s="92"/>
      <c r="M1315" s="93"/>
      <c r="N1315" s="87" t="s">
        <v>4193</v>
      </c>
      <c r="O1315" s="87" t="s">
        <v>377</v>
      </c>
      <c r="P1315" s="87" t="s">
        <v>372</v>
      </c>
    </row>
    <row r="1316" ht="15.75" customHeight="1">
      <c r="A1316" s="87" t="s">
        <v>4198</v>
      </c>
      <c r="B1316" s="88">
        <v>1.22E18</v>
      </c>
      <c r="C1316" s="87" t="s">
        <v>4199</v>
      </c>
      <c r="D1316" s="87" t="s">
        <v>87</v>
      </c>
      <c r="E1316" s="87" t="s">
        <v>88</v>
      </c>
      <c r="F1316" s="118" t="s">
        <v>4199</v>
      </c>
      <c r="G1316" s="130"/>
      <c r="H1316" s="119"/>
      <c r="I1316" s="87" t="s">
        <v>58</v>
      </c>
      <c r="J1316" s="87" t="s">
        <v>4200</v>
      </c>
      <c r="K1316" s="90">
        <v>0.0</v>
      </c>
      <c r="L1316" s="92"/>
      <c r="M1316" s="93"/>
      <c r="N1316" s="93"/>
      <c r="O1316" s="87" t="s">
        <v>377</v>
      </c>
      <c r="P1316" s="87" t="s">
        <v>372</v>
      </c>
    </row>
    <row r="1317" ht="15.75" customHeight="1">
      <c r="A1317" s="87" t="s">
        <v>4201</v>
      </c>
      <c r="B1317" s="88">
        <v>1.22E18</v>
      </c>
      <c r="C1317" s="87" t="s">
        <v>4202</v>
      </c>
      <c r="D1317" s="87" t="s">
        <v>87</v>
      </c>
      <c r="E1317" s="87" t="s">
        <v>88</v>
      </c>
      <c r="F1317" s="87" t="s">
        <v>4202</v>
      </c>
      <c r="I1317" s="87" t="s">
        <v>58</v>
      </c>
      <c r="J1317" s="87" t="s">
        <v>4203</v>
      </c>
      <c r="K1317" s="90">
        <v>0.0</v>
      </c>
      <c r="L1317" s="92"/>
      <c r="M1317" s="93"/>
      <c r="N1317" s="87" t="s">
        <v>1772</v>
      </c>
      <c r="O1317" s="87" t="s">
        <v>377</v>
      </c>
      <c r="P1317" s="87" t="s">
        <v>372</v>
      </c>
    </row>
    <row r="1318" ht="15.75" customHeight="1">
      <c r="A1318" s="87" t="s">
        <v>4204</v>
      </c>
      <c r="B1318" s="88">
        <v>1.22E18</v>
      </c>
      <c r="C1318" s="87" t="s">
        <v>4205</v>
      </c>
      <c r="D1318" s="87" t="s">
        <v>57</v>
      </c>
      <c r="E1318" s="87" t="s">
        <v>287</v>
      </c>
      <c r="F1318" s="118" t="s">
        <v>4205</v>
      </c>
      <c r="G1318" s="130"/>
      <c r="H1318" s="119"/>
      <c r="I1318" s="87" t="s">
        <v>1742</v>
      </c>
      <c r="J1318" s="87" t="s">
        <v>4206</v>
      </c>
      <c r="K1318" s="90">
        <v>0.0</v>
      </c>
      <c r="L1318" s="92"/>
      <c r="M1318" s="93"/>
      <c r="N1318" s="87" t="s">
        <v>1772</v>
      </c>
      <c r="O1318" s="87" t="s">
        <v>377</v>
      </c>
      <c r="P1318" s="87" t="s">
        <v>372</v>
      </c>
    </row>
    <row r="1319" ht="15.75" customHeight="1">
      <c r="A1319" s="87" t="s">
        <v>4207</v>
      </c>
      <c r="B1319" s="88">
        <v>1.22E18</v>
      </c>
      <c r="C1319" s="87" t="s">
        <v>4208</v>
      </c>
      <c r="D1319" s="87" t="s">
        <v>57</v>
      </c>
      <c r="E1319" s="87" t="s">
        <v>287</v>
      </c>
      <c r="F1319" s="118" t="s">
        <v>4208</v>
      </c>
      <c r="G1319" s="130"/>
      <c r="H1319" s="119"/>
      <c r="I1319" s="87" t="s">
        <v>58</v>
      </c>
      <c r="J1319" s="87" t="s">
        <v>4209</v>
      </c>
      <c r="K1319" s="90">
        <v>0.0</v>
      </c>
      <c r="L1319" s="92"/>
      <c r="M1319" s="93"/>
      <c r="N1319" s="87" t="s">
        <v>1772</v>
      </c>
      <c r="O1319" s="87" t="s">
        <v>377</v>
      </c>
      <c r="P1319" s="87" t="s">
        <v>372</v>
      </c>
    </row>
    <row r="1320" ht="15.75" customHeight="1">
      <c r="A1320" s="87" t="s">
        <v>4210</v>
      </c>
      <c r="B1320" s="88">
        <v>1.22E18</v>
      </c>
      <c r="C1320" s="87" t="s">
        <v>4211</v>
      </c>
      <c r="D1320" s="87" t="s">
        <v>262</v>
      </c>
      <c r="E1320" s="87" t="s">
        <v>263</v>
      </c>
      <c r="F1320" s="87" t="s">
        <v>415</v>
      </c>
      <c r="G1320" s="93"/>
      <c r="H1320" s="93"/>
      <c r="I1320" s="87" t="s">
        <v>58</v>
      </c>
      <c r="J1320" s="87" t="s">
        <v>4212</v>
      </c>
      <c r="K1320" s="90">
        <v>1.0</v>
      </c>
      <c r="L1320" s="92"/>
      <c r="M1320" s="93"/>
      <c r="N1320" s="87" t="s">
        <v>1772</v>
      </c>
      <c r="O1320" s="87" t="s">
        <v>377</v>
      </c>
      <c r="P1320" s="87" t="s">
        <v>372</v>
      </c>
    </row>
    <row r="1321" ht="15.75" customHeight="1">
      <c r="A1321" s="87" t="s">
        <v>4213</v>
      </c>
      <c r="B1321" s="88">
        <v>1.22E18</v>
      </c>
      <c r="C1321" s="87" t="s">
        <v>4214</v>
      </c>
      <c r="D1321" s="87" t="s">
        <v>262</v>
      </c>
      <c r="E1321" s="87" t="s">
        <v>263</v>
      </c>
      <c r="F1321" s="87" t="s">
        <v>415</v>
      </c>
      <c r="G1321" s="93"/>
      <c r="H1321" s="93"/>
      <c r="I1321" s="87" t="s">
        <v>58</v>
      </c>
      <c r="J1321" s="87" t="s">
        <v>4215</v>
      </c>
      <c r="K1321" s="90">
        <v>1.0</v>
      </c>
      <c r="L1321" s="92"/>
      <c r="M1321" s="93"/>
      <c r="N1321" s="87" t="s">
        <v>3315</v>
      </c>
      <c r="O1321" s="87" t="s">
        <v>377</v>
      </c>
      <c r="P1321" s="87" t="s">
        <v>372</v>
      </c>
    </row>
    <row r="1322" ht="15.75" customHeight="1">
      <c r="A1322" s="87" t="s">
        <v>4216</v>
      </c>
      <c r="B1322" s="88">
        <v>1.22E18</v>
      </c>
      <c r="C1322" s="87" t="s">
        <v>4217</v>
      </c>
      <c r="D1322" s="87" t="s">
        <v>262</v>
      </c>
      <c r="E1322" s="87" t="s">
        <v>263</v>
      </c>
      <c r="F1322" s="87" t="s">
        <v>415</v>
      </c>
      <c r="G1322" s="93"/>
      <c r="H1322" s="93"/>
      <c r="I1322" s="87" t="s">
        <v>58</v>
      </c>
      <c r="J1322" s="87" t="s">
        <v>4218</v>
      </c>
      <c r="K1322" s="90">
        <v>1.0</v>
      </c>
      <c r="L1322" s="92"/>
      <c r="M1322" s="93"/>
      <c r="N1322" s="87" t="s">
        <v>3315</v>
      </c>
      <c r="O1322" s="87" t="s">
        <v>377</v>
      </c>
      <c r="P1322" s="87" t="s">
        <v>372</v>
      </c>
    </row>
    <row r="1323" ht="15.75" customHeight="1">
      <c r="A1323" s="87" t="s">
        <v>4219</v>
      </c>
      <c r="B1323" s="88">
        <v>1.22E18</v>
      </c>
      <c r="C1323" s="87" t="s">
        <v>4220</v>
      </c>
      <c r="D1323" s="87" t="s">
        <v>87</v>
      </c>
      <c r="E1323" s="87" t="s">
        <v>88</v>
      </c>
      <c r="F1323" s="87" t="s">
        <v>4220</v>
      </c>
      <c r="I1323" s="87" t="s">
        <v>3984</v>
      </c>
      <c r="J1323" s="87" t="s">
        <v>4221</v>
      </c>
      <c r="K1323" s="90">
        <v>1.0</v>
      </c>
      <c r="L1323" s="92"/>
      <c r="M1323" s="93"/>
      <c r="N1323" s="87" t="s">
        <v>2906</v>
      </c>
      <c r="O1323" s="87" t="s">
        <v>377</v>
      </c>
      <c r="P1323" s="87" t="s">
        <v>372</v>
      </c>
    </row>
    <row r="1324" ht="15.75" customHeight="1">
      <c r="A1324" s="87" t="s">
        <v>4222</v>
      </c>
      <c r="B1324" s="88">
        <v>1.22E18</v>
      </c>
      <c r="C1324" s="87" t="s">
        <v>4223</v>
      </c>
      <c r="D1324" s="87" t="s">
        <v>87</v>
      </c>
      <c r="E1324" s="87" t="s">
        <v>88</v>
      </c>
      <c r="F1324" s="87" t="s">
        <v>4223</v>
      </c>
      <c r="I1324" s="87" t="s">
        <v>315</v>
      </c>
      <c r="J1324" s="87" t="s">
        <v>4224</v>
      </c>
      <c r="K1324" s="90">
        <v>0.0</v>
      </c>
      <c r="L1324" s="92"/>
      <c r="M1324" s="93"/>
      <c r="N1324" s="87" t="s">
        <v>2906</v>
      </c>
      <c r="O1324" s="87" t="s">
        <v>377</v>
      </c>
      <c r="P1324" s="87" t="s">
        <v>372</v>
      </c>
    </row>
    <row r="1325" ht="15.75" customHeight="1">
      <c r="A1325" s="87" t="s">
        <v>4225</v>
      </c>
      <c r="B1325" s="88">
        <v>1.22E18</v>
      </c>
      <c r="C1325" s="87" t="s">
        <v>4226</v>
      </c>
      <c r="D1325" s="87" t="s">
        <v>262</v>
      </c>
      <c r="E1325" s="87" t="s">
        <v>278</v>
      </c>
      <c r="F1325" s="87" t="s">
        <v>4226</v>
      </c>
      <c r="I1325" s="87" t="s">
        <v>58</v>
      </c>
      <c r="J1325" s="87" t="s">
        <v>2841</v>
      </c>
      <c r="L1325" s="92"/>
      <c r="M1325" s="93"/>
      <c r="N1325" s="93"/>
      <c r="O1325" s="87" t="s">
        <v>377</v>
      </c>
      <c r="P1325" s="87" t="s">
        <v>2565</v>
      </c>
    </row>
    <row r="1326" ht="15.75" customHeight="1">
      <c r="A1326" s="87" t="s">
        <v>4227</v>
      </c>
      <c r="B1326" s="88">
        <v>1.22E18</v>
      </c>
      <c r="C1326" s="87" t="s">
        <v>4228</v>
      </c>
      <c r="D1326" s="87" t="s">
        <v>262</v>
      </c>
      <c r="E1326" s="87" t="s">
        <v>267</v>
      </c>
      <c r="F1326" s="118" t="s">
        <v>4228</v>
      </c>
      <c r="G1326" s="130"/>
      <c r="H1326" s="119"/>
      <c r="I1326" s="87" t="s">
        <v>58</v>
      </c>
      <c r="J1326" s="87" t="s">
        <v>4229</v>
      </c>
      <c r="K1326" s="90">
        <v>0.0</v>
      </c>
      <c r="L1326" s="92"/>
      <c r="M1326" s="93"/>
      <c r="N1326" s="87" t="s">
        <v>2345</v>
      </c>
      <c r="O1326" s="87" t="s">
        <v>377</v>
      </c>
      <c r="P1326" s="87" t="s">
        <v>372</v>
      </c>
    </row>
    <row r="1327" ht="15.75" customHeight="1">
      <c r="A1327" s="87" t="s">
        <v>4230</v>
      </c>
      <c r="B1327" s="88">
        <v>1.22E18</v>
      </c>
      <c r="C1327" s="87" t="s">
        <v>4231</v>
      </c>
      <c r="D1327" s="87" t="s">
        <v>87</v>
      </c>
      <c r="E1327" s="87" t="s">
        <v>88</v>
      </c>
      <c r="F1327" s="118" t="s">
        <v>4231</v>
      </c>
      <c r="G1327" s="130"/>
      <c r="H1327" s="119"/>
      <c r="I1327" s="87" t="s">
        <v>58</v>
      </c>
      <c r="J1327" s="87" t="s">
        <v>4232</v>
      </c>
      <c r="K1327" s="90">
        <v>0.0</v>
      </c>
      <c r="L1327" s="92"/>
      <c r="M1327" s="93"/>
      <c r="N1327" s="87" t="s">
        <v>2345</v>
      </c>
      <c r="O1327" s="87" t="s">
        <v>377</v>
      </c>
      <c r="P1327" s="87" t="s">
        <v>372</v>
      </c>
    </row>
    <row r="1328" ht="15.75" customHeight="1">
      <c r="A1328" s="87" t="s">
        <v>4233</v>
      </c>
      <c r="B1328" s="88">
        <v>1.22E18</v>
      </c>
      <c r="C1328" s="87" t="s">
        <v>4234</v>
      </c>
      <c r="D1328" s="87" t="s">
        <v>56</v>
      </c>
      <c r="E1328" s="87" t="s">
        <v>154</v>
      </c>
      <c r="F1328" s="87" t="s">
        <v>4234</v>
      </c>
      <c r="I1328" s="87" t="s">
        <v>58</v>
      </c>
      <c r="J1328" s="87" t="s">
        <v>2491</v>
      </c>
      <c r="K1328" s="90">
        <v>0.0</v>
      </c>
      <c r="L1328" s="92"/>
      <c r="M1328" s="93"/>
      <c r="N1328" s="87" t="s">
        <v>2572</v>
      </c>
      <c r="O1328" s="87" t="s">
        <v>377</v>
      </c>
      <c r="P1328" s="87" t="s">
        <v>372</v>
      </c>
    </row>
    <row r="1329" ht="15.75" customHeight="1">
      <c r="A1329" s="87" t="s">
        <v>4235</v>
      </c>
      <c r="B1329" s="88">
        <v>1.22E18</v>
      </c>
      <c r="C1329" s="87" t="s">
        <v>4236</v>
      </c>
      <c r="D1329" s="87" t="s">
        <v>87</v>
      </c>
      <c r="E1329" s="87" t="s">
        <v>102</v>
      </c>
      <c r="F1329" s="87" t="s">
        <v>4236</v>
      </c>
      <c r="I1329" s="87" t="s">
        <v>58</v>
      </c>
      <c r="J1329" s="87" t="s">
        <v>4237</v>
      </c>
      <c r="K1329" s="90">
        <v>38.0</v>
      </c>
      <c r="L1329" s="92"/>
      <c r="M1329" s="93"/>
      <c r="N1329" s="87" t="s">
        <v>2572</v>
      </c>
      <c r="O1329" s="87" t="s">
        <v>377</v>
      </c>
      <c r="P1329" s="87" t="s">
        <v>372</v>
      </c>
    </row>
    <row r="1330" ht="15.75" customHeight="1">
      <c r="A1330" s="87" t="s">
        <v>4238</v>
      </c>
      <c r="B1330" s="88">
        <v>1.22E18</v>
      </c>
      <c r="C1330" s="87" t="s">
        <v>4239</v>
      </c>
      <c r="D1330" s="87" t="s">
        <v>56</v>
      </c>
      <c r="E1330" s="87" t="s">
        <v>59</v>
      </c>
      <c r="F1330" s="87" t="s">
        <v>4239</v>
      </c>
      <c r="H1330" s="93"/>
      <c r="I1330" s="87" t="s">
        <v>58</v>
      </c>
      <c r="J1330" s="87" t="s">
        <v>4240</v>
      </c>
      <c r="K1330" s="90">
        <v>0.0</v>
      </c>
      <c r="L1330" s="92"/>
      <c r="M1330" s="93"/>
      <c r="N1330" s="87" t="s">
        <v>2576</v>
      </c>
      <c r="O1330" s="87" t="s">
        <v>377</v>
      </c>
      <c r="P1330" s="87" t="s">
        <v>372</v>
      </c>
    </row>
    <row r="1331" ht="15.75" customHeight="1">
      <c r="A1331" s="87" t="s">
        <v>4241</v>
      </c>
      <c r="B1331" s="88">
        <v>1.22E18</v>
      </c>
      <c r="C1331" s="87" t="s">
        <v>4242</v>
      </c>
      <c r="D1331" s="87" t="s">
        <v>56</v>
      </c>
      <c r="E1331" s="87" t="s">
        <v>59</v>
      </c>
      <c r="F1331" s="87" t="s">
        <v>4242</v>
      </c>
      <c r="I1331" s="87" t="s">
        <v>58</v>
      </c>
      <c r="J1331" s="87" t="s">
        <v>2030</v>
      </c>
      <c r="K1331" s="90">
        <v>0.0</v>
      </c>
      <c r="L1331" s="92"/>
      <c r="M1331" s="93"/>
      <c r="N1331" s="87" t="s">
        <v>2576</v>
      </c>
      <c r="O1331" s="87" t="s">
        <v>377</v>
      </c>
      <c r="P1331" s="87" t="s">
        <v>372</v>
      </c>
    </row>
    <row r="1332" ht="15.75" customHeight="1">
      <c r="A1332" s="87" t="s">
        <v>4243</v>
      </c>
      <c r="B1332" s="88">
        <v>1.22E18</v>
      </c>
      <c r="C1332" s="87" t="s">
        <v>4244</v>
      </c>
      <c r="D1332" s="87" t="s">
        <v>56</v>
      </c>
      <c r="E1332" s="87" t="s">
        <v>59</v>
      </c>
      <c r="F1332" s="87" t="s">
        <v>4244</v>
      </c>
      <c r="I1332" s="87" t="s">
        <v>58</v>
      </c>
      <c r="J1332" s="87" t="s">
        <v>2852</v>
      </c>
      <c r="K1332" s="90">
        <v>0.0</v>
      </c>
      <c r="L1332" s="92"/>
      <c r="M1332" s="93"/>
      <c r="N1332" s="87" t="s">
        <v>2576</v>
      </c>
      <c r="O1332" s="87" t="s">
        <v>377</v>
      </c>
      <c r="P1332" s="87" t="s">
        <v>372</v>
      </c>
    </row>
    <row r="1333" ht="15.75" customHeight="1">
      <c r="A1333" s="87" t="s">
        <v>4245</v>
      </c>
      <c r="B1333" s="88">
        <v>1.22E18</v>
      </c>
      <c r="C1333" s="87" t="s">
        <v>4246</v>
      </c>
      <c r="D1333" s="87" t="s">
        <v>56</v>
      </c>
      <c r="E1333" s="87" t="s">
        <v>59</v>
      </c>
      <c r="F1333" s="87" t="s">
        <v>4246</v>
      </c>
      <c r="H1333" s="93"/>
      <c r="I1333" s="87" t="s">
        <v>58</v>
      </c>
      <c r="J1333" s="87" t="s">
        <v>4247</v>
      </c>
      <c r="K1333" s="90">
        <v>0.0</v>
      </c>
      <c r="L1333" s="92"/>
      <c r="M1333" s="93"/>
      <c r="N1333" s="87" t="s">
        <v>2576</v>
      </c>
      <c r="O1333" s="87" t="s">
        <v>377</v>
      </c>
      <c r="P1333" s="87" t="s">
        <v>372</v>
      </c>
    </row>
    <row r="1334" ht="15.75" customHeight="1">
      <c r="A1334" s="87" t="s">
        <v>4248</v>
      </c>
      <c r="B1334" s="88">
        <v>1.22E18</v>
      </c>
      <c r="C1334" s="87" t="s">
        <v>4249</v>
      </c>
      <c r="D1334" s="87" t="s">
        <v>262</v>
      </c>
      <c r="E1334" s="87" t="s">
        <v>263</v>
      </c>
      <c r="F1334" s="87" t="s">
        <v>415</v>
      </c>
      <c r="G1334" s="93"/>
      <c r="H1334" s="93"/>
      <c r="I1334" s="87" t="s">
        <v>58</v>
      </c>
      <c r="J1334" s="87" t="s">
        <v>4250</v>
      </c>
      <c r="K1334" s="90">
        <v>30.0</v>
      </c>
      <c r="L1334" s="92"/>
      <c r="M1334" s="93"/>
      <c r="N1334" s="87" t="s">
        <v>4251</v>
      </c>
      <c r="O1334" s="87" t="s">
        <v>377</v>
      </c>
      <c r="P1334" s="87" t="s">
        <v>372</v>
      </c>
    </row>
    <row r="1335" ht="15.75" customHeight="1">
      <c r="A1335" s="87" t="s">
        <v>4252</v>
      </c>
      <c r="B1335" s="88">
        <v>1.22E18</v>
      </c>
      <c r="C1335" s="87" t="s">
        <v>4253</v>
      </c>
      <c r="D1335" s="87" t="s">
        <v>262</v>
      </c>
      <c r="E1335" s="87" t="s">
        <v>278</v>
      </c>
      <c r="F1335" s="87" t="s">
        <v>4253</v>
      </c>
      <c r="I1335" s="87" t="s">
        <v>58</v>
      </c>
      <c r="J1335" s="87" t="s">
        <v>4254</v>
      </c>
      <c r="L1335" s="92"/>
      <c r="M1335" s="93"/>
      <c r="N1335" s="87" t="s">
        <v>4115</v>
      </c>
      <c r="O1335" s="87" t="s">
        <v>377</v>
      </c>
      <c r="P1335" s="87" t="s">
        <v>2565</v>
      </c>
    </row>
    <row r="1336" ht="15.75" customHeight="1">
      <c r="A1336" s="87" t="s">
        <v>4255</v>
      </c>
      <c r="B1336" s="88">
        <v>1.22E18</v>
      </c>
      <c r="C1336" s="87" t="s">
        <v>4256</v>
      </c>
      <c r="D1336" s="87" t="s">
        <v>262</v>
      </c>
      <c r="E1336" s="87" t="s">
        <v>278</v>
      </c>
      <c r="F1336" s="87" t="s">
        <v>4256</v>
      </c>
      <c r="I1336" s="87" t="s">
        <v>58</v>
      </c>
      <c r="J1336" s="87" t="s">
        <v>4257</v>
      </c>
      <c r="L1336" s="92"/>
      <c r="M1336" s="93"/>
      <c r="N1336" s="87" t="s">
        <v>4115</v>
      </c>
      <c r="O1336" s="87" t="s">
        <v>377</v>
      </c>
      <c r="P1336" s="87" t="s">
        <v>2565</v>
      </c>
    </row>
    <row r="1337" ht="15.75" customHeight="1">
      <c r="A1337" s="87" t="s">
        <v>4258</v>
      </c>
      <c r="B1337" s="88">
        <v>1.22E18</v>
      </c>
      <c r="C1337" s="87" t="s">
        <v>4259</v>
      </c>
      <c r="D1337" s="87" t="s">
        <v>57</v>
      </c>
      <c r="E1337" s="87" t="s">
        <v>281</v>
      </c>
      <c r="F1337" s="87" t="s">
        <v>4259</v>
      </c>
      <c r="I1337" s="87" t="s">
        <v>58</v>
      </c>
      <c r="J1337" s="87" t="s">
        <v>4260</v>
      </c>
      <c r="K1337" s="90">
        <v>0.0</v>
      </c>
      <c r="L1337" s="92"/>
      <c r="M1337" s="93"/>
      <c r="N1337" s="87" t="s">
        <v>1772</v>
      </c>
      <c r="O1337" s="87" t="s">
        <v>377</v>
      </c>
      <c r="P1337" s="87" t="s">
        <v>372</v>
      </c>
    </row>
    <row r="1338" ht="15.75" customHeight="1">
      <c r="A1338" s="87" t="s">
        <v>4261</v>
      </c>
      <c r="B1338" s="88">
        <v>1.22E18</v>
      </c>
      <c r="C1338" s="87" t="s">
        <v>4262</v>
      </c>
      <c r="D1338" s="87" t="s">
        <v>87</v>
      </c>
      <c r="E1338" s="87" t="s">
        <v>102</v>
      </c>
      <c r="F1338" s="87" t="s">
        <v>4262</v>
      </c>
      <c r="I1338" s="87" t="s">
        <v>58</v>
      </c>
      <c r="J1338" s="87" t="s">
        <v>4263</v>
      </c>
      <c r="K1338" s="90">
        <v>0.0</v>
      </c>
      <c r="L1338" s="92"/>
      <c r="M1338" s="93"/>
      <c r="N1338" s="87" t="s">
        <v>1772</v>
      </c>
      <c r="O1338" s="87" t="s">
        <v>377</v>
      </c>
      <c r="P1338" s="87" t="s">
        <v>372</v>
      </c>
    </row>
    <row r="1339" ht="15.75" customHeight="1">
      <c r="A1339" s="87" t="s">
        <v>4264</v>
      </c>
      <c r="B1339" s="88">
        <v>1.22E18</v>
      </c>
      <c r="C1339" s="87" t="s">
        <v>4265</v>
      </c>
      <c r="D1339" s="87" t="s">
        <v>262</v>
      </c>
      <c r="E1339" s="87" t="s">
        <v>263</v>
      </c>
      <c r="F1339" s="118" t="s">
        <v>4265</v>
      </c>
      <c r="G1339" s="130"/>
      <c r="H1339" s="119"/>
      <c r="I1339" s="87" t="s">
        <v>58</v>
      </c>
      <c r="J1339" s="87" t="s">
        <v>4266</v>
      </c>
      <c r="K1339" s="90">
        <v>0.0</v>
      </c>
      <c r="L1339" s="92"/>
      <c r="M1339" s="93"/>
      <c r="N1339" s="87" t="s">
        <v>1772</v>
      </c>
      <c r="O1339" s="87" t="s">
        <v>377</v>
      </c>
      <c r="P1339" s="87" t="s">
        <v>372</v>
      </c>
    </row>
    <row r="1340" ht="15.75" customHeight="1">
      <c r="A1340" s="87" t="s">
        <v>4267</v>
      </c>
      <c r="B1340" s="88">
        <v>1.22E18</v>
      </c>
      <c r="C1340" s="87" t="s">
        <v>4268</v>
      </c>
      <c r="D1340" s="87" t="s">
        <v>87</v>
      </c>
      <c r="E1340" s="87" t="s">
        <v>102</v>
      </c>
      <c r="F1340" s="87" t="s">
        <v>4268</v>
      </c>
      <c r="I1340" s="87" t="s">
        <v>58</v>
      </c>
      <c r="J1340" s="87" t="s">
        <v>4269</v>
      </c>
      <c r="K1340" s="90">
        <v>0.0</v>
      </c>
      <c r="L1340" s="92"/>
      <c r="M1340" s="93"/>
      <c r="N1340" s="93"/>
      <c r="O1340" s="87" t="s">
        <v>377</v>
      </c>
      <c r="P1340" s="87" t="s">
        <v>372</v>
      </c>
    </row>
    <row r="1341" ht="15.75" customHeight="1">
      <c r="A1341" s="87" t="s">
        <v>4270</v>
      </c>
      <c r="B1341" s="88">
        <v>1.22E18</v>
      </c>
      <c r="C1341" s="87" t="s">
        <v>4271</v>
      </c>
      <c r="D1341" s="87" t="s">
        <v>262</v>
      </c>
      <c r="E1341" s="87" t="s">
        <v>267</v>
      </c>
      <c r="F1341" s="118" t="s">
        <v>4271</v>
      </c>
      <c r="G1341" s="130"/>
      <c r="H1341" s="119"/>
      <c r="I1341" s="87" t="s">
        <v>58</v>
      </c>
      <c r="J1341" s="87" t="s">
        <v>4272</v>
      </c>
      <c r="K1341" s="90">
        <v>0.0</v>
      </c>
      <c r="L1341" s="92"/>
      <c r="M1341" s="93"/>
      <c r="N1341" s="87" t="s">
        <v>2345</v>
      </c>
      <c r="O1341" s="87" t="s">
        <v>377</v>
      </c>
      <c r="P1341" s="87" t="s">
        <v>372</v>
      </c>
    </row>
    <row r="1342" ht="15.75" customHeight="1">
      <c r="A1342" s="87" t="s">
        <v>4273</v>
      </c>
      <c r="B1342" s="88">
        <v>1.22E18</v>
      </c>
      <c r="C1342" s="87" t="s">
        <v>4274</v>
      </c>
      <c r="D1342" s="87" t="s">
        <v>262</v>
      </c>
      <c r="E1342" s="87" t="s">
        <v>267</v>
      </c>
      <c r="F1342" s="118" t="s">
        <v>4274</v>
      </c>
      <c r="G1342" s="130"/>
      <c r="H1342" s="119"/>
      <c r="I1342" s="87" t="s">
        <v>58</v>
      </c>
      <c r="J1342" s="87" t="s">
        <v>4275</v>
      </c>
      <c r="K1342" s="90">
        <v>0.0</v>
      </c>
      <c r="L1342" s="92"/>
      <c r="M1342" s="93"/>
      <c r="N1342" s="87" t="s">
        <v>2345</v>
      </c>
      <c r="O1342" s="87" t="s">
        <v>377</v>
      </c>
      <c r="P1342" s="87" t="s">
        <v>372</v>
      </c>
    </row>
    <row r="1343" ht="15.75" customHeight="1">
      <c r="A1343" s="87" t="s">
        <v>4276</v>
      </c>
      <c r="B1343" s="88">
        <v>1.22E18</v>
      </c>
      <c r="C1343" s="87" t="s">
        <v>4277</v>
      </c>
      <c r="D1343" s="87" t="s">
        <v>262</v>
      </c>
      <c r="E1343" s="87" t="s">
        <v>267</v>
      </c>
      <c r="F1343" s="118" t="s">
        <v>4277</v>
      </c>
      <c r="G1343" s="130"/>
      <c r="H1343" s="119"/>
      <c r="I1343" s="87" t="s">
        <v>58</v>
      </c>
      <c r="J1343" s="87" t="s">
        <v>4278</v>
      </c>
      <c r="K1343" s="90">
        <v>0.0</v>
      </c>
      <c r="L1343" s="92"/>
      <c r="M1343" s="93"/>
      <c r="N1343" s="87" t="s">
        <v>2345</v>
      </c>
      <c r="O1343" s="87" t="s">
        <v>377</v>
      </c>
      <c r="P1343" s="87" t="s">
        <v>372</v>
      </c>
    </row>
    <row r="1344" ht="15.75" customHeight="1">
      <c r="A1344" s="87" t="s">
        <v>4279</v>
      </c>
      <c r="B1344" s="88">
        <v>1.22E18</v>
      </c>
      <c r="C1344" s="87" t="s">
        <v>4280</v>
      </c>
      <c r="D1344" s="87" t="s">
        <v>87</v>
      </c>
      <c r="E1344" s="87" t="s">
        <v>88</v>
      </c>
      <c r="F1344" s="87" t="s">
        <v>4280</v>
      </c>
      <c r="I1344" s="87" t="s">
        <v>58</v>
      </c>
      <c r="J1344" s="87" t="s">
        <v>4281</v>
      </c>
      <c r="K1344" s="90">
        <v>0.0</v>
      </c>
      <c r="L1344" s="92"/>
      <c r="M1344" s="93"/>
      <c r="N1344" s="87" t="s">
        <v>2345</v>
      </c>
      <c r="O1344" s="87" t="s">
        <v>377</v>
      </c>
      <c r="P1344" s="87" t="s">
        <v>372</v>
      </c>
    </row>
    <row r="1345" ht="15.75" customHeight="1">
      <c r="A1345" s="87" t="s">
        <v>4282</v>
      </c>
      <c r="B1345" s="88">
        <v>1.22E18</v>
      </c>
      <c r="C1345" s="87" t="s">
        <v>4283</v>
      </c>
      <c r="D1345" s="87" t="s">
        <v>87</v>
      </c>
      <c r="E1345" s="87" t="s">
        <v>88</v>
      </c>
      <c r="F1345" s="87" t="s">
        <v>4283</v>
      </c>
      <c r="I1345" s="87" t="s">
        <v>58</v>
      </c>
      <c r="J1345" s="87" t="s">
        <v>4284</v>
      </c>
      <c r="K1345" s="90">
        <v>0.0</v>
      </c>
      <c r="L1345" s="92"/>
      <c r="M1345" s="93"/>
      <c r="N1345" s="87" t="s">
        <v>2345</v>
      </c>
      <c r="O1345" s="87" t="s">
        <v>377</v>
      </c>
      <c r="P1345" s="87" t="s">
        <v>372</v>
      </c>
    </row>
    <row r="1346" ht="15.75" customHeight="1">
      <c r="A1346" s="87" t="s">
        <v>4285</v>
      </c>
      <c r="B1346" s="88">
        <v>1.22E18</v>
      </c>
      <c r="C1346" s="87" t="s">
        <v>4286</v>
      </c>
      <c r="D1346" s="87" t="s">
        <v>87</v>
      </c>
      <c r="E1346" s="87" t="s">
        <v>88</v>
      </c>
      <c r="F1346" s="118" t="s">
        <v>4286</v>
      </c>
      <c r="G1346" s="130"/>
      <c r="H1346" s="119"/>
      <c r="I1346" s="87" t="s">
        <v>58</v>
      </c>
      <c r="J1346" s="87" t="s">
        <v>4287</v>
      </c>
      <c r="K1346" s="90">
        <v>0.0</v>
      </c>
      <c r="L1346" s="92"/>
      <c r="M1346" s="93"/>
      <c r="N1346" s="87" t="s">
        <v>2345</v>
      </c>
      <c r="O1346" s="87" t="s">
        <v>377</v>
      </c>
      <c r="P1346" s="87" t="s">
        <v>372</v>
      </c>
    </row>
    <row r="1347" ht="15.75" customHeight="1">
      <c r="A1347" s="87" t="s">
        <v>4288</v>
      </c>
      <c r="B1347" s="88">
        <v>1.22E18</v>
      </c>
      <c r="C1347" s="87" t="s">
        <v>4289</v>
      </c>
      <c r="D1347" s="87" t="s">
        <v>87</v>
      </c>
      <c r="E1347" s="87" t="s">
        <v>88</v>
      </c>
      <c r="F1347" s="118" t="s">
        <v>4289</v>
      </c>
      <c r="G1347" s="130"/>
      <c r="H1347" s="119"/>
      <c r="I1347" s="87" t="s">
        <v>58</v>
      </c>
      <c r="J1347" s="87" t="s">
        <v>4290</v>
      </c>
      <c r="K1347" s="90">
        <v>0.0</v>
      </c>
      <c r="L1347" s="92"/>
      <c r="M1347" s="93"/>
      <c r="N1347" s="87" t="s">
        <v>2345</v>
      </c>
      <c r="O1347" s="87" t="s">
        <v>377</v>
      </c>
      <c r="P1347" s="87" t="s">
        <v>372</v>
      </c>
    </row>
    <row r="1348" ht="15.75" customHeight="1">
      <c r="A1348" s="87" t="s">
        <v>4291</v>
      </c>
      <c r="B1348" s="88">
        <v>1.22E18</v>
      </c>
      <c r="C1348" s="87" t="s">
        <v>4292</v>
      </c>
      <c r="D1348" s="87" t="s">
        <v>87</v>
      </c>
      <c r="E1348" s="87" t="s">
        <v>88</v>
      </c>
      <c r="F1348" s="118" t="s">
        <v>4292</v>
      </c>
      <c r="G1348" s="130"/>
      <c r="H1348" s="119"/>
      <c r="I1348" s="87" t="s">
        <v>58</v>
      </c>
      <c r="J1348" s="87" t="s">
        <v>4293</v>
      </c>
      <c r="K1348" s="90">
        <v>0.0</v>
      </c>
      <c r="L1348" s="92"/>
      <c r="M1348" s="93"/>
      <c r="N1348" s="87" t="s">
        <v>2345</v>
      </c>
      <c r="O1348" s="87" t="s">
        <v>377</v>
      </c>
      <c r="P1348" s="87" t="s">
        <v>372</v>
      </c>
    </row>
    <row r="1349" ht="15.75" customHeight="1">
      <c r="A1349" s="87" t="s">
        <v>4294</v>
      </c>
      <c r="B1349" s="88">
        <v>1.22E18</v>
      </c>
      <c r="C1349" s="87" t="s">
        <v>4295</v>
      </c>
      <c r="D1349" s="87" t="s">
        <v>87</v>
      </c>
      <c r="E1349" s="87" t="s">
        <v>88</v>
      </c>
      <c r="F1349" s="118" t="s">
        <v>4295</v>
      </c>
      <c r="G1349" s="130"/>
      <c r="H1349" s="119"/>
      <c r="I1349" s="87" t="s">
        <v>58</v>
      </c>
      <c r="J1349" s="87" t="s">
        <v>4296</v>
      </c>
      <c r="K1349" s="90">
        <v>0.0</v>
      </c>
      <c r="L1349" s="92"/>
      <c r="M1349" s="93"/>
      <c r="N1349" s="87" t="s">
        <v>2345</v>
      </c>
      <c r="O1349" s="87" t="s">
        <v>377</v>
      </c>
      <c r="P1349" s="87" t="s">
        <v>372</v>
      </c>
    </row>
    <row r="1350" ht="15.75" customHeight="1">
      <c r="A1350" s="87" t="s">
        <v>4297</v>
      </c>
      <c r="B1350" s="88">
        <v>1.22E18</v>
      </c>
      <c r="C1350" s="87" t="s">
        <v>4298</v>
      </c>
      <c r="D1350" s="87" t="s">
        <v>87</v>
      </c>
      <c r="E1350" s="87" t="s">
        <v>88</v>
      </c>
      <c r="F1350" s="118" t="s">
        <v>4298</v>
      </c>
      <c r="G1350" s="130"/>
      <c r="H1350" s="119"/>
      <c r="I1350" s="87" t="s">
        <v>58</v>
      </c>
      <c r="J1350" s="87" t="s">
        <v>4299</v>
      </c>
      <c r="K1350" s="90">
        <v>0.0</v>
      </c>
      <c r="L1350" s="92"/>
      <c r="M1350" s="93"/>
      <c r="N1350" s="87" t="s">
        <v>2345</v>
      </c>
      <c r="O1350" s="87" t="s">
        <v>377</v>
      </c>
      <c r="P1350" s="87" t="s">
        <v>372</v>
      </c>
    </row>
    <row r="1351" ht="15.75" customHeight="1">
      <c r="A1351" s="87" t="s">
        <v>4300</v>
      </c>
      <c r="B1351" s="88">
        <v>1.22E18</v>
      </c>
      <c r="C1351" s="87" t="s">
        <v>4301</v>
      </c>
      <c r="D1351" s="87" t="s">
        <v>262</v>
      </c>
      <c r="E1351" s="87" t="s">
        <v>267</v>
      </c>
      <c r="F1351" s="118" t="s">
        <v>4301</v>
      </c>
      <c r="G1351" s="130"/>
      <c r="H1351" s="119"/>
      <c r="I1351" s="87" t="s">
        <v>58</v>
      </c>
      <c r="J1351" s="87" t="s">
        <v>4302</v>
      </c>
      <c r="K1351" s="90">
        <v>0.0</v>
      </c>
      <c r="L1351" s="92"/>
      <c r="M1351" s="93"/>
      <c r="N1351" s="87" t="s">
        <v>2345</v>
      </c>
      <c r="O1351" s="87" t="s">
        <v>377</v>
      </c>
      <c r="P1351" s="87" t="s">
        <v>372</v>
      </c>
    </row>
    <row r="1352" ht="15.75" customHeight="1">
      <c r="A1352" s="87" t="s">
        <v>4303</v>
      </c>
      <c r="B1352" s="88">
        <v>1.22E18</v>
      </c>
      <c r="C1352" s="87" t="s">
        <v>4304</v>
      </c>
      <c r="D1352" s="87" t="s">
        <v>262</v>
      </c>
      <c r="E1352" s="87" t="s">
        <v>267</v>
      </c>
      <c r="F1352" s="118" t="s">
        <v>4304</v>
      </c>
      <c r="G1352" s="130"/>
      <c r="H1352" s="119"/>
      <c r="I1352" s="87" t="s">
        <v>58</v>
      </c>
      <c r="J1352" s="87" t="s">
        <v>4305</v>
      </c>
      <c r="K1352" s="90">
        <v>0.0</v>
      </c>
      <c r="L1352" s="92"/>
      <c r="M1352" s="93"/>
      <c r="N1352" s="87" t="s">
        <v>2345</v>
      </c>
      <c r="O1352" s="87" t="s">
        <v>377</v>
      </c>
      <c r="P1352" s="87" t="s">
        <v>372</v>
      </c>
    </row>
    <row r="1353" ht="15.75" customHeight="1">
      <c r="A1353" s="87" t="s">
        <v>4306</v>
      </c>
      <c r="B1353" s="88">
        <v>1.22E18</v>
      </c>
      <c r="C1353" s="87" t="s">
        <v>4307</v>
      </c>
      <c r="D1353" s="87" t="s">
        <v>262</v>
      </c>
      <c r="E1353" s="87" t="s">
        <v>267</v>
      </c>
      <c r="F1353" s="118" t="s">
        <v>4307</v>
      </c>
      <c r="G1353" s="130"/>
      <c r="H1353" s="119"/>
      <c r="I1353" s="87" t="s">
        <v>58</v>
      </c>
      <c r="J1353" s="87" t="s">
        <v>4308</v>
      </c>
      <c r="K1353" s="90">
        <v>0.0</v>
      </c>
      <c r="L1353" s="92"/>
      <c r="M1353" s="93"/>
      <c r="N1353" s="87" t="s">
        <v>2345</v>
      </c>
      <c r="O1353" s="87" t="s">
        <v>377</v>
      </c>
      <c r="P1353" s="87" t="s">
        <v>372</v>
      </c>
    </row>
    <row r="1354" ht="15.75" customHeight="1">
      <c r="A1354" s="87" t="s">
        <v>4309</v>
      </c>
      <c r="B1354" s="88">
        <v>1.22E18</v>
      </c>
      <c r="C1354" s="87" t="s">
        <v>4310</v>
      </c>
      <c r="D1354" s="87" t="s">
        <v>262</v>
      </c>
      <c r="E1354" s="87" t="s">
        <v>267</v>
      </c>
      <c r="F1354" s="118" t="s">
        <v>4310</v>
      </c>
      <c r="G1354" s="130"/>
      <c r="H1354" s="119"/>
      <c r="I1354" s="87" t="s">
        <v>58</v>
      </c>
      <c r="J1354" s="87" t="s">
        <v>4308</v>
      </c>
      <c r="K1354" s="90">
        <v>0.0</v>
      </c>
      <c r="L1354" s="92"/>
      <c r="M1354" s="93"/>
      <c r="N1354" s="93"/>
      <c r="O1354" s="87" t="s">
        <v>377</v>
      </c>
      <c r="P1354" s="87" t="s">
        <v>372</v>
      </c>
    </row>
    <row r="1355" ht="15.75" customHeight="1">
      <c r="A1355" s="87" t="s">
        <v>4311</v>
      </c>
      <c r="B1355" s="88">
        <v>1.22E18</v>
      </c>
      <c r="C1355" s="87" t="s">
        <v>4312</v>
      </c>
      <c r="D1355" s="87" t="s">
        <v>262</v>
      </c>
      <c r="E1355" s="87" t="s">
        <v>275</v>
      </c>
      <c r="F1355" s="87" t="s">
        <v>4312</v>
      </c>
      <c r="I1355" s="87" t="s">
        <v>58</v>
      </c>
      <c r="J1355" s="87" t="s">
        <v>4313</v>
      </c>
      <c r="K1355" s="90">
        <v>0.0</v>
      </c>
      <c r="L1355" s="92"/>
      <c r="M1355" s="93"/>
      <c r="N1355" s="87" t="s">
        <v>4314</v>
      </c>
      <c r="O1355" s="87" t="s">
        <v>377</v>
      </c>
      <c r="P1355" s="87" t="s">
        <v>372</v>
      </c>
    </row>
    <row r="1356" ht="15.75" customHeight="1">
      <c r="A1356" s="87" t="s">
        <v>4315</v>
      </c>
      <c r="B1356" s="88">
        <v>1.22E18</v>
      </c>
      <c r="C1356" s="87" t="s">
        <v>4316</v>
      </c>
      <c r="D1356" s="87" t="s">
        <v>87</v>
      </c>
      <c r="E1356" s="87" t="s">
        <v>88</v>
      </c>
      <c r="F1356" s="87" t="s">
        <v>379</v>
      </c>
      <c r="G1356" s="93"/>
      <c r="H1356" s="93"/>
      <c r="I1356" s="93"/>
      <c r="J1356" s="87" t="s">
        <v>4317</v>
      </c>
      <c r="K1356" s="90">
        <v>0.0</v>
      </c>
      <c r="L1356" s="92"/>
      <c r="M1356" s="93"/>
      <c r="N1356" s="87" t="s">
        <v>1837</v>
      </c>
      <c r="O1356" s="87" t="s">
        <v>377</v>
      </c>
      <c r="P1356" s="87" t="s">
        <v>372</v>
      </c>
    </row>
    <row r="1357" ht="15.75" customHeight="1">
      <c r="A1357" s="87" t="s">
        <v>4318</v>
      </c>
      <c r="B1357" s="88">
        <v>1.22E18</v>
      </c>
      <c r="C1357" s="87" t="s">
        <v>4319</v>
      </c>
      <c r="D1357" s="87" t="s">
        <v>87</v>
      </c>
      <c r="E1357" s="87" t="s">
        <v>88</v>
      </c>
      <c r="F1357" s="87" t="s">
        <v>4319</v>
      </c>
      <c r="I1357" s="87" t="s">
        <v>58</v>
      </c>
      <c r="J1357" s="87" t="s">
        <v>4320</v>
      </c>
      <c r="K1357" s="90">
        <v>0.0</v>
      </c>
      <c r="L1357" s="92"/>
      <c r="M1357" s="93"/>
      <c r="N1357" s="87" t="s">
        <v>1837</v>
      </c>
      <c r="O1357" s="87" t="s">
        <v>377</v>
      </c>
      <c r="P1357" s="87" t="s">
        <v>372</v>
      </c>
    </row>
    <row r="1358" ht="15.75" customHeight="1">
      <c r="A1358" s="87" t="s">
        <v>4321</v>
      </c>
      <c r="B1358" s="88">
        <v>1.22E18</v>
      </c>
      <c r="C1358" s="87" t="s">
        <v>4322</v>
      </c>
      <c r="D1358" s="87" t="s">
        <v>57</v>
      </c>
      <c r="E1358" s="87" t="s">
        <v>287</v>
      </c>
      <c r="F1358" s="87" t="s">
        <v>4322</v>
      </c>
      <c r="I1358" s="87" t="s">
        <v>58</v>
      </c>
      <c r="J1358" s="87" t="s">
        <v>4323</v>
      </c>
      <c r="K1358" s="90">
        <v>0.0</v>
      </c>
      <c r="L1358" s="92"/>
      <c r="M1358" s="93"/>
      <c r="N1358" s="87" t="s">
        <v>1739</v>
      </c>
      <c r="O1358" s="87" t="s">
        <v>377</v>
      </c>
      <c r="P1358" s="87" t="s">
        <v>372</v>
      </c>
    </row>
    <row r="1359" ht="15.75" customHeight="1">
      <c r="A1359" s="87" t="s">
        <v>4324</v>
      </c>
      <c r="B1359" s="88">
        <v>1.22E18</v>
      </c>
      <c r="C1359" s="87" t="s">
        <v>4325</v>
      </c>
      <c r="D1359" s="87" t="s">
        <v>262</v>
      </c>
      <c r="E1359" s="87" t="s">
        <v>267</v>
      </c>
      <c r="F1359" s="87" t="s">
        <v>4325</v>
      </c>
      <c r="I1359" s="87" t="s">
        <v>58</v>
      </c>
      <c r="J1359" s="87" t="s">
        <v>4326</v>
      </c>
      <c r="K1359" s="90">
        <v>0.0</v>
      </c>
      <c r="L1359" s="92"/>
      <c r="M1359" s="93"/>
      <c r="N1359" s="87" t="s">
        <v>3006</v>
      </c>
      <c r="O1359" s="87" t="s">
        <v>377</v>
      </c>
      <c r="P1359" s="87" t="s">
        <v>372</v>
      </c>
    </row>
    <row r="1360" ht="15.75" customHeight="1">
      <c r="A1360" s="87" t="s">
        <v>4327</v>
      </c>
      <c r="B1360" s="88">
        <v>1.22E18</v>
      </c>
      <c r="C1360" s="87" t="s">
        <v>4328</v>
      </c>
      <c r="D1360" s="87" t="s">
        <v>87</v>
      </c>
      <c r="E1360" s="87" t="s">
        <v>88</v>
      </c>
      <c r="F1360" s="87" t="s">
        <v>4328</v>
      </c>
      <c r="I1360" s="87" t="s">
        <v>58</v>
      </c>
      <c r="J1360" s="87" t="s">
        <v>4329</v>
      </c>
      <c r="K1360" s="90">
        <v>0.0</v>
      </c>
      <c r="L1360" s="92"/>
      <c r="M1360" s="93"/>
      <c r="N1360" s="87" t="s">
        <v>3006</v>
      </c>
      <c r="O1360" s="87" t="s">
        <v>377</v>
      </c>
      <c r="P1360" s="87" t="s">
        <v>372</v>
      </c>
    </row>
    <row r="1361" ht="15.75" customHeight="1">
      <c r="A1361" s="87" t="s">
        <v>4330</v>
      </c>
      <c r="B1361" s="88">
        <v>1.22E18</v>
      </c>
      <c r="C1361" s="87" t="s">
        <v>4331</v>
      </c>
      <c r="D1361" s="87" t="s">
        <v>262</v>
      </c>
      <c r="E1361" s="87" t="s">
        <v>267</v>
      </c>
      <c r="F1361" s="87" t="s">
        <v>4331</v>
      </c>
      <c r="I1361" s="87" t="s">
        <v>58</v>
      </c>
      <c r="J1361" s="87" t="s">
        <v>4332</v>
      </c>
      <c r="K1361" s="90">
        <v>0.0</v>
      </c>
      <c r="L1361" s="92"/>
      <c r="M1361" s="93"/>
      <c r="N1361" s="87" t="s">
        <v>3006</v>
      </c>
      <c r="O1361" s="87" t="s">
        <v>377</v>
      </c>
      <c r="P1361" s="87" t="s">
        <v>372</v>
      </c>
    </row>
    <row r="1362" ht="15.75" customHeight="1">
      <c r="A1362" s="87" t="s">
        <v>4333</v>
      </c>
      <c r="B1362" s="88">
        <v>1.22E18</v>
      </c>
      <c r="C1362" s="87" t="s">
        <v>4334</v>
      </c>
      <c r="D1362" s="87" t="s">
        <v>262</v>
      </c>
      <c r="E1362" s="87" t="s">
        <v>267</v>
      </c>
      <c r="F1362" s="87" t="s">
        <v>4334</v>
      </c>
      <c r="I1362" s="87" t="s">
        <v>58</v>
      </c>
      <c r="J1362" s="87" t="s">
        <v>4329</v>
      </c>
      <c r="K1362" s="90">
        <v>0.0</v>
      </c>
      <c r="L1362" s="92"/>
      <c r="M1362" s="93"/>
      <c r="N1362" s="87" t="s">
        <v>3006</v>
      </c>
      <c r="O1362" s="87" t="s">
        <v>377</v>
      </c>
      <c r="P1362" s="87" t="s">
        <v>372</v>
      </c>
    </row>
    <row r="1363" ht="15.75" customHeight="1">
      <c r="A1363" s="87" t="s">
        <v>4335</v>
      </c>
      <c r="B1363" s="88">
        <v>1.22E18</v>
      </c>
      <c r="C1363" s="87" t="s">
        <v>4336</v>
      </c>
      <c r="D1363" s="87" t="s">
        <v>87</v>
      </c>
      <c r="E1363" s="87" t="s">
        <v>88</v>
      </c>
      <c r="F1363" s="87" t="s">
        <v>4336</v>
      </c>
      <c r="H1363" s="93"/>
      <c r="I1363" s="87" t="s">
        <v>58</v>
      </c>
      <c r="J1363" s="87" t="s">
        <v>4337</v>
      </c>
      <c r="K1363" s="90">
        <v>0.0</v>
      </c>
      <c r="L1363" s="92"/>
      <c r="M1363" s="93"/>
      <c r="N1363" s="87" t="s">
        <v>3006</v>
      </c>
      <c r="O1363" s="87" t="s">
        <v>377</v>
      </c>
      <c r="P1363" s="87" t="s">
        <v>372</v>
      </c>
    </row>
    <row r="1364" ht="15.75" customHeight="1">
      <c r="A1364" s="87" t="s">
        <v>4338</v>
      </c>
      <c r="B1364" s="88">
        <v>1.22E18</v>
      </c>
      <c r="C1364" s="87" t="s">
        <v>4339</v>
      </c>
      <c r="D1364" s="87" t="s">
        <v>262</v>
      </c>
      <c r="E1364" s="87" t="s">
        <v>267</v>
      </c>
      <c r="F1364" s="87" t="s">
        <v>4339</v>
      </c>
      <c r="I1364" s="87" t="s">
        <v>58</v>
      </c>
      <c r="J1364" s="87" t="s">
        <v>4340</v>
      </c>
      <c r="K1364" s="90">
        <v>0.0</v>
      </c>
      <c r="L1364" s="92"/>
      <c r="M1364" s="93"/>
      <c r="N1364" s="87" t="s">
        <v>3006</v>
      </c>
      <c r="O1364" s="87" t="s">
        <v>377</v>
      </c>
      <c r="P1364" s="87" t="s">
        <v>372</v>
      </c>
    </row>
    <row r="1365" ht="15.75" customHeight="1">
      <c r="A1365" s="87" t="s">
        <v>4341</v>
      </c>
      <c r="B1365" s="88">
        <v>1.22E18</v>
      </c>
      <c r="C1365" s="87" t="s">
        <v>4342</v>
      </c>
      <c r="D1365" s="87" t="s">
        <v>262</v>
      </c>
      <c r="E1365" s="87" t="s">
        <v>267</v>
      </c>
      <c r="F1365" s="87" t="s">
        <v>4342</v>
      </c>
      <c r="I1365" s="87" t="s">
        <v>58</v>
      </c>
      <c r="J1365" s="87" t="s">
        <v>4343</v>
      </c>
      <c r="K1365" s="90">
        <v>0.0</v>
      </c>
      <c r="L1365" s="92"/>
      <c r="M1365" s="93"/>
      <c r="N1365" s="87" t="s">
        <v>3006</v>
      </c>
      <c r="O1365" s="87" t="s">
        <v>377</v>
      </c>
      <c r="P1365" s="87" t="s">
        <v>372</v>
      </c>
    </row>
    <row r="1366" ht="15.75" customHeight="1">
      <c r="A1366" s="87" t="s">
        <v>4344</v>
      </c>
      <c r="B1366" s="88">
        <v>1.22E18</v>
      </c>
      <c r="C1366" s="87" t="s">
        <v>4345</v>
      </c>
      <c r="D1366" s="87" t="s">
        <v>262</v>
      </c>
      <c r="E1366" s="87" t="s">
        <v>267</v>
      </c>
      <c r="F1366" s="87" t="s">
        <v>4345</v>
      </c>
      <c r="I1366" s="87" t="s">
        <v>58</v>
      </c>
      <c r="J1366" s="87" t="s">
        <v>4346</v>
      </c>
      <c r="K1366" s="90">
        <v>0.0</v>
      </c>
      <c r="L1366" s="92"/>
      <c r="M1366" s="93"/>
      <c r="N1366" s="87" t="s">
        <v>3006</v>
      </c>
      <c r="O1366" s="87" t="s">
        <v>377</v>
      </c>
      <c r="P1366" s="87" t="s">
        <v>372</v>
      </c>
    </row>
    <row r="1367" ht="15.75" customHeight="1">
      <c r="A1367" s="87" t="s">
        <v>4347</v>
      </c>
      <c r="B1367" s="88">
        <v>1.22E18</v>
      </c>
      <c r="C1367" s="87" t="s">
        <v>4348</v>
      </c>
      <c r="D1367" s="87" t="s">
        <v>262</v>
      </c>
      <c r="E1367" s="87" t="s">
        <v>267</v>
      </c>
      <c r="F1367" s="87" t="s">
        <v>4348</v>
      </c>
      <c r="I1367" s="87" t="s">
        <v>58</v>
      </c>
      <c r="J1367" s="87" t="s">
        <v>2047</v>
      </c>
      <c r="K1367" s="90">
        <v>0.0</v>
      </c>
      <c r="L1367" s="92"/>
      <c r="M1367" s="93"/>
      <c r="N1367" s="93"/>
      <c r="O1367" s="87" t="s">
        <v>377</v>
      </c>
      <c r="P1367" s="87" t="s">
        <v>372</v>
      </c>
    </row>
    <row r="1368" ht="15.75" customHeight="1">
      <c r="A1368" s="87" t="s">
        <v>4349</v>
      </c>
      <c r="B1368" s="88">
        <v>1.22E18</v>
      </c>
      <c r="C1368" s="87" t="s">
        <v>4350</v>
      </c>
      <c r="D1368" s="87" t="s">
        <v>262</v>
      </c>
      <c r="E1368" s="87" t="s">
        <v>267</v>
      </c>
      <c r="F1368" s="87" t="s">
        <v>4350</v>
      </c>
      <c r="I1368" s="87" t="s">
        <v>58</v>
      </c>
      <c r="J1368" s="87" t="s">
        <v>4351</v>
      </c>
      <c r="K1368" s="90">
        <v>0.0</v>
      </c>
      <c r="L1368" s="92"/>
      <c r="M1368" s="93"/>
      <c r="N1368" s="87" t="s">
        <v>3006</v>
      </c>
      <c r="O1368" s="87" t="s">
        <v>377</v>
      </c>
      <c r="P1368" s="87" t="s">
        <v>372</v>
      </c>
    </row>
    <row r="1369" ht="15.75" customHeight="1">
      <c r="A1369" s="87" t="s">
        <v>4352</v>
      </c>
      <c r="B1369" s="88">
        <v>1.22E18</v>
      </c>
      <c r="C1369" s="87" t="s">
        <v>4353</v>
      </c>
      <c r="D1369" s="87" t="s">
        <v>262</v>
      </c>
      <c r="E1369" s="87" t="s">
        <v>267</v>
      </c>
      <c r="F1369" s="87" t="s">
        <v>4353</v>
      </c>
      <c r="I1369" s="87" t="s">
        <v>58</v>
      </c>
      <c r="J1369" s="87" t="s">
        <v>2575</v>
      </c>
      <c r="K1369" s="90">
        <v>0.0</v>
      </c>
      <c r="L1369" s="92"/>
      <c r="M1369" s="93"/>
      <c r="N1369" s="87" t="s">
        <v>3006</v>
      </c>
      <c r="O1369" s="87" t="s">
        <v>377</v>
      </c>
      <c r="P1369" s="87" t="s">
        <v>372</v>
      </c>
    </row>
    <row r="1370" ht="15.75" customHeight="1">
      <c r="A1370" s="87" t="s">
        <v>4354</v>
      </c>
      <c r="B1370" s="88">
        <v>1.22E18</v>
      </c>
      <c r="C1370" s="87" t="s">
        <v>4355</v>
      </c>
      <c r="D1370" s="87" t="s">
        <v>87</v>
      </c>
      <c r="E1370" s="87" t="s">
        <v>88</v>
      </c>
      <c r="F1370" s="87" t="s">
        <v>4355</v>
      </c>
      <c r="I1370" s="87" t="s">
        <v>58</v>
      </c>
      <c r="J1370" s="87" t="s">
        <v>2030</v>
      </c>
      <c r="K1370" s="90">
        <v>0.0</v>
      </c>
      <c r="L1370" s="92"/>
      <c r="M1370" s="93"/>
      <c r="N1370" s="87" t="s">
        <v>3006</v>
      </c>
      <c r="O1370" s="87" t="s">
        <v>377</v>
      </c>
      <c r="P1370" s="87" t="s">
        <v>372</v>
      </c>
    </row>
    <row r="1371" ht="15.75" customHeight="1">
      <c r="A1371" s="87" t="s">
        <v>4356</v>
      </c>
      <c r="B1371" s="88">
        <v>1.22E18</v>
      </c>
      <c r="C1371" s="87" t="s">
        <v>4357</v>
      </c>
      <c r="D1371" s="87" t="s">
        <v>262</v>
      </c>
      <c r="E1371" s="87" t="s">
        <v>267</v>
      </c>
      <c r="F1371" s="87" t="s">
        <v>4357</v>
      </c>
      <c r="I1371" s="87" t="s">
        <v>58</v>
      </c>
      <c r="J1371" s="87" t="s">
        <v>4358</v>
      </c>
      <c r="K1371" s="90">
        <v>0.0</v>
      </c>
      <c r="L1371" s="92"/>
      <c r="M1371" s="93"/>
      <c r="N1371" s="87" t="s">
        <v>3006</v>
      </c>
      <c r="O1371" s="87" t="s">
        <v>377</v>
      </c>
      <c r="P1371" s="87" t="s">
        <v>372</v>
      </c>
    </row>
    <row r="1372" ht="15.75" customHeight="1">
      <c r="A1372" s="87" t="s">
        <v>4359</v>
      </c>
      <c r="B1372" s="88">
        <v>1.22E18</v>
      </c>
      <c r="C1372" s="87" t="s">
        <v>4360</v>
      </c>
      <c r="D1372" s="87" t="s">
        <v>262</v>
      </c>
      <c r="E1372" s="87" t="s">
        <v>267</v>
      </c>
      <c r="F1372" s="118" t="s">
        <v>4360</v>
      </c>
      <c r="G1372" s="130"/>
      <c r="H1372" s="119"/>
      <c r="I1372" s="87" t="s">
        <v>58</v>
      </c>
      <c r="J1372" s="87" t="s">
        <v>3465</v>
      </c>
      <c r="K1372" s="90">
        <v>0.0</v>
      </c>
      <c r="L1372" s="92"/>
      <c r="M1372" s="93"/>
      <c r="N1372" s="87" t="s">
        <v>3006</v>
      </c>
      <c r="O1372" s="87" t="s">
        <v>377</v>
      </c>
      <c r="P1372" s="87" t="s">
        <v>372</v>
      </c>
    </row>
    <row r="1373" ht="15.75" customHeight="1">
      <c r="A1373" s="87" t="s">
        <v>4361</v>
      </c>
      <c r="B1373" s="88">
        <v>1.22E18</v>
      </c>
      <c r="C1373" s="87" t="s">
        <v>4362</v>
      </c>
      <c r="D1373" s="87" t="s">
        <v>262</v>
      </c>
      <c r="E1373" s="87" t="s">
        <v>267</v>
      </c>
      <c r="F1373" s="118" t="s">
        <v>4362</v>
      </c>
      <c r="G1373" s="130"/>
      <c r="H1373" s="119"/>
      <c r="I1373" s="87" t="s">
        <v>58</v>
      </c>
      <c r="J1373" s="87" t="s">
        <v>4363</v>
      </c>
      <c r="K1373" s="90">
        <v>0.0</v>
      </c>
      <c r="L1373" s="92"/>
      <c r="M1373" s="93"/>
      <c r="N1373" s="87" t="s">
        <v>3006</v>
      </c>
      <c r="O1373" s="87" t="s">
        <v>377</v>
      </c>
      <c r="P1373" s="87" t="s">
        <v>372</v>
      </c>
    </row>
    <row r="1374" ht="15.75" customHeight="1">
      <c r="A1374" s="87" t="s">
        <v>4364</v>
      </c>
      <c r="B1374" s="88">
        <v>1.22E18</v>
      </c>
      <c r="C1374" s="87" t="s">
        <v>4365</v>
      </c>
      <c r="D1374" s="87" t="s">
        <v>262</v>
      </c>
      <c r="E1374" s="87" t="s">
        <v>267</v>
      </c>
      <c r="F1374" s="118" t="s">
        <v>4365</v>
      </c>
      <c r="G1374" s="130"/>
      <c r="H1374" s="119"/>
      <c r="I1374" s="87" t="s">
        <v>58</v>
      </c>
      <c r="J1374" s="87" t="s">
        <v>3849</v>
      </c>
      <c r="K1374" s="90">
        <v>0.0</v>
      </c>
      <c r="L1374" s="92"/>
      <c r="M1374" s="93"/>
      <c r="N1374" s="87" t="s">
        <v>3006</v>
      </c>
      <c r="O1374" s="87" t="s">
        <v>377</v>
      </c>
      <c r="P1374" s="87" t="s">
        <v>372</v>
      </c>
    </row>
    <row r="1375" ht="15.75" customHeight="1">
      <c r="A1375" s="87" t="s">
        <v>4366</v>
      </c>
      <c r="B1375" s="88">
        <v>1.22E18</v>
      </c>
      <c r="C1375" s="87" t="s">
        <v>4367</v>
      </c>
      <c r="D1375" s="87" t="s">
        <v>262</v>
      </c>
      <c r="E1375" s="87" t="s">
        <v>267</v>
      </c>
      <c r="F1375" s="118" t="s">
        <v>4367</v>
      </c>
      <c r="G1375" s="130"/>
      <c r="H1375" s="119"/>
      <c r="I1375" s="87" t="s">
        <v>58</v>
      </c>
      <c r="J1375" s="87" t="s">
        <v>3849</v>
      </c>
      <c r="K1375" s="90">
        <v>0.0</v>
      </c>
      <c r="L1375" s="92"/>
      <c r="M1375" s="93"/>
      <c r="N1375" s="93"/>
      <c r="O1375" s="87" t="s">
        <v>377</v>
      </c>
      <c r="P1375" s="87" t="s">
        <v>372</v>
      </c>
    </row>
    <row r="1376" ht="15.75" customHeight="1">
      <c r="A1376" s="87" t="s">
        <v>4368</v>
      </c>
      <c r="B1376" s="88">
        <v>1.22E18</v>
      </c>
      <c r="C1376" s="87" t="s">
        <v>4369</v>
      </c>
      <c r="D1376" s="87" t="s">
        <v>262</v>
      </c>
      <c r="E1376" s="87" t="s">
        <v>267</v>
      </c>
      <c r="F1376" s="118" t="s">
        <v>4369</v>
      </c>
      <c r="G1376" s="130"/>
      <c r="H1376" s="119"/>
      <c r="I1376" s="87" t="s">
        <v>58</v>
      </c>
      <c r="J1376" s="87" t="s">
        <v>3180</v>
      </c>
      <c r="K1376" s="90">
        <v>0.0</v>
      </c>
      <c r="L1376" s="92"/>
      <c r="M1376" s="93"/>
      <c r="N1376" s="87" t="s">
        <v>3006</v>
      </c>
      <c r="O1376" s="87" t="s">
        <v>377</v>
      </c>
      <c r="P1376" s="87" t="s">
        <v>372</v>
      </c>
    </row>
    <row r="1377" ht="15.75" customHeight="1">
      <c r="A1377" s="87" t="s">
        <v>4370</v>
      </c>
      <c r="B1377" s="88">
        <v>1.22E18</v>
      </c>
      <c r="C1377" s="87" t="s">
        <v>4371</v>
      </c>
      <c r="D1377" s="87" t="s">
        <v>262</v>
      </c>
      <c r="E1377" s="87" t="s">
        <v>267</v>
      </c>
      <c r="F1377" s="87" t="s">
        <v>4371</v>
      </c>
      <c r="I1377" s="87" t="s">
        <v>58</v>
      </c>
      <c r="J1377" s="87" t="s">
        <v>4372</v>
      </c>
      <c r="K1377" s="90">
        <v>0.0</v>
      </c>
      <c r="L1377" s="92"/>
      <c r="M1377" s="93"/>
      <c r="N1377" s="93"/>
      <c r="O1377" s="87" t="s">
        <v>377</v>
      </c>
      <c r="P1377" s="87" t="s">
        <v>372</v>
      </c>
    </row>
    <row r="1378" ht="15.75" customHeight="1">
      <c r="A1378" s="87" t="s">
        <v>4373</v>
      </c>
      <c r="B1378" s="88">
        <v>1.22E18</v>
      </c>
      <c r="C1378" s="87" t="s">
        <v>4374</v>
      </c>
      <c r="D1378" s="87" t="s">
        <v>262</v>
      </c>
      <c r="E1378" s="87" t="s">
        <v>267</v>
      </c>
      <c r="F1378" s="87" t="s">
        <v>4374</v>
      </c>
      <c r="I1378" s="87" t="s">
        <v>58</v>
      </c>
      <c r="J1378" s="87" t="s">
        <v>4375</v>
      </c>
      <c r="K1378" s="90">
        <v>0.0</v>
      </c>
      <c r="L1378" s="92"/>
      <c r="M1378" s="93"/>
      <c r="N1378" s="93"/>
      <c r="O1378" s="87" t="s">
        <v>377</v>
      </c>
      <c r="P1378" s="87" t="s">
        <v>372</v>
      </c>
    </row>
    <row r="1379" ht="15.75" customHeight="1">
      <c r="A1379" s="87" t="s">
        <v>4376</v>
      </c>
      <c r="B1379" s="88">
        <v>1.22E18</v>
      </c>
      <c r="C1379" s="87" t="s">
        <v>4377</v>
      </c>
      <c r="D1379" s="87" t="s">
        <v>262</v>
      </c>
      <c r="E1379" s="87" t="s">
        <v>267</v>
      </c>
      <c r="F1379" s="87" t="s">
        <v>4377</v>
      </c>
      <c r="I1379" s="87" t="s">
        <v>58</v>
      </c>
      <c r="J1379" s="87" t="s">
        <v>4378</v>
      </c>
      <c r="K1379" s="90">
        <v>0.0</v>
      </c>
      <c r="L1379" s="92"/>
      <c r="M1379" s="93"/>
      <c r="N1379" s="87" t="s">
        <v>4379</v>
      </c>
      <c r="O1379" s="87" t="s">
        <v>377</v>
      </c>
      <c r="P1379" s="87" t="s">
        <v>372</v>
      </c>
    </row>
    <row r="1380" ht="15.75" customHeight="1">
      <c r="A1380" s="87" t="s">
        <v>4380</v>
      </c>
      <c r="B1380" s="88">
        <v>1.22E18</v>
      </c>
      <c r="C1380" s="87" t="s">
        <v>4381</v>
      </c>
      <c r="D1380" s="87" t="s">
        <v>262</v>
      </c>
      <c r="E1380" s="87" t="s">
        <v>278</v>
      </c>
      <c r="F1380" s="87" t="s">
        <v>4381</v>
      </c>
      <c r="I1380" s="87" t="s">
        <v>103</v>
      </c>
      <c r="J1380" s="87" t="s">
        <v>4382</v>
      </c>
      <c r="L1380" s="92"/>
      <c r="M1380" s="93"/>
      <c r="N1380" s="87" t="s">
        <v>4383</v>
      </c>
      <c r="O1380" s="87" t="s">
        <v>377</v>
      </c>
      <c r="P1380" s="87" t="s">
        <v>2565</v>
      </c>
    </row>
    <row r="1381" ht="15.75" customHeight="1">
      <c r="A1381" s="87" t="s">
        <v>4384</v>
      </c>
      <c r="B1381" s="88">
        <v>1.22E18</v>
      </c>
      <c r="C1381" s="87" t="s">
        <v>4385</v>
      </c>
      <c r="D1381" s="87" t="s">
        <v>262</v>
      </c>
      <c r="E1381" s="87" t="s">
        <v>278</v>
      </c>
      <c r="F1381" s="87" t="s">
        <v>4385</v>
      </c>
      <c r="I1381" s="87" t="s">
        <v>103</v>
      </c>
      <c r="J1381" s="87" t="s">
        <v>4240</v>
      </c>
      <c r="L1381" s="92"/>
      <c r="M1381" s="93"/>
      <c r="N1381" s="87" t="s">
        <v>4383</v>
      </c>
      <c r="O1381" s="87" t="s">
        <v>377</v>
      </c>
      <c r="P1381" s="87" t="s">
        <v>2565</v>
      </c>
    </row>
    <row r="1382" ht="15.75" customHeight="1">
      <c r="A1382" s="87" t="s">
        <v>4386</v>
      </c>
      <c r="B1382" s="88">
        <v>1.22E18</v>
      </c>
      <c r="C1382" s="87" t="s">
        <v>4387</v>
      </c>
      <c r="D1382" s="87" t="s">
        <v>262</v>
      </c>
      <c r="E1382" s="87" t="s">
        <v>278</v>
      </c>
      <c r="F1382" s="87" t="s">
        <v>4387</v>
      </c>
      <c r="I1382" s="87" t="s">
        <v>103</v>
      </c>
      <c r="J1382" s="87" t="s">
        <v>3370</v>
      </c>
      <c r="L1382" s="92"/>
      <c r="M1382" s="93"/>
      <c r="N1382" s="87" t="s">
        <v>4383</v>
      </c>
      <c r="O1382" s="87" t="s">
        <v>377</v>
      </c>
      <c r="P1382" s="87" t="s">
        <v>2565</v>
      </c>
    </row>
    <row r="1383" ht="15.75" customHeight="1">
      <c r="A1383" s="87" t="s">
        <v>4388</v>
      </c>
      <c r="B1383" s="88">
        <v>1.22E18</v>
      </c>
      <c r="C1383" s="87" t="s">
        <v>4389</v>
      </c>
      <c r="D1383" s="87" t="s">
        <v>87</v>
      </c>
      <c r="E1383" s="87" t="s">
        <v>236</v>
      </c>
      <c r="F1383" s="87" t="s">
        <v>4389</v>
      </c>
      <c r="I1383" s="87" t="s">
        <v>495</v>
      </c>
      <c r="J1383" s="87" t="s">
        <v>3075</v>
      </c>
      <c r="K1383" s="90">
        <v>0.0</v>
      </c>
      <c r="L1383" s="92"/>
      <c r="M1383" s="93"/>
      <c r="N1383" s="87" t="s">
        <v>497</v>
      </c>
      <c r="O1383" s="87" t="s">
        <v>377</v>
      </c>
      <c r="P1383" s="87" t="s">
        <v>372</v>
      </c>
    </row>
    <row r="1384" ht="15.75" customHeight="1">
      <c r="A1384" s="87" t="s">
        <v>4390</v>
      </c>
      <c r="B1384" s="88">
        <v>1.22E18</v>
      </c>
      <c r="C1384" s="87" t="s">
        <v>4391</v>
      </c>
      <c r="D1384" s="87" t="s">
        <v>87</v>
      </c>
      <c r="E1384" s="87" t="s">
        <v>88</v>
      </c>
      <c r="F1384" s="118" t="s">
        <v>4391</v>
      </c>
      <c r="G1384" s="130"/>
      <c r="H1384" s="119"/>
      <c r="I1384" s="87" t="s">
        <v>58</v>
      </c>
      <c r="J1384" s="87" t="s">
        <v>4392</v>
      </c>
      <c r="K1384" s="90">
        <v>0.0</v>
      </c>
      <c r="L1384" s="92"/>
      <c r="M1384" s="93"/>
      <c r="N1384" s="93"/>
      <c r="O1384" s="87" t="s">
        <v>377</v>
      </c>
      <c r="P1384" s="87" t="s">
        <v>372</v>
      </c>
    </row>
    <row r="1385" ht="15.75" customHeight="1">
      <c r="A1385" s="87" t="s">
        <v>4393</v>
      </c>
      <c r="B1385" s="88">
        <v>1.22E18</v>
      </c>
      <c r="C1385" s="87" t="s">
        <v>4394</v>
      </c>
      <c r="D1385" s="87" t="s">
        <v>87</v>
      </c>
      <c r="E1385" s="87" t="s">
        <v>88</v>
      </c>
      <c r="F1385" s="118" t="s">
        <v>4394</v>
      </c>
      <c r="G1385" s="130"/>
      <c r="H1385" s="119"/>
      <c r="I1385" s="87" t="s">
        <v>103</v>
      </c>
      <c r="J1385" s="87" t="s">
        <v>4392</v>
      </c>
      <c r="K1385" s="90">
        <v>0.0</v>
      </c>
      <c r="L1385" s="92"/>
      <c r="M1385" s="93"/>
      <c r="N1385" s="93"/>
      <c r="O1385" s="87" t="s">
        <v>377</v>
      </c>
      <c r="P1385" s="87" t="s">
        <v>372</v>
      </c>
    </row>
    <row r="1386" ht="15.75" customHeight="1">
      <c r="A1386" s="87" t="s">
        <v>4395</v>
      </c>
      <c r="B1386" s="88">
        <v>1.22E18</v>
      </c>
      <c r="C1386" s="87" t="s">
        <v>4396</v>
      </c>
      <c r="D1386" s="87" t="s">
        <v>87</v>
      </c>
      <c r="E1386" s="87" t="s">
        <v>236</v>
      </c>
      <c r="F1386" s="118" t="s">
        <v>4396</v>
      </c>
      <c r="G1386" s="130"/>
      <c r="H1386" s="119"/>
      <c r="I1386" s="87" t="s">
        <v>58</v>
      </c>
      <c r="J1386" s="87" t="s">
        <v>4397</v>
      </c>
      <c r="K1386" s="90">
        <v>0.0</v>
      </c>
      <c r="L1386" s="92"/>
      <c r="M1386" s="93"/>
      <c r="N1386" s="87" t="s">
        <v>1015</v>
      </c>
      <c r="O1386" s="87" t="s">
        <v>377</v>
      </c>
      <c r="P1386" s="87" t="s">
        <v>372</v>
      </c>
    </row>
    <row r="1387" ht="15.75" customHeight="1">
      <c r="A1387" s="87" t="s">
        <v>4398</v>
      </c>
      <c r="B1387" s="88">
        <v>1.22E18</v>
      </c>
      <c r="C1387" s="87" t="s">
        <v>4399</v>
      </c>
      <c r="D1387" s="87" t="s">
        <v>87</v>
      </c>
      <c r="E1387" s="87" t="s">
        <v>236</v>
      </c>
      <c r="F1387" s="118" t="s">
        <v>4399</v>
      </c>
      <c r="G1387" s="130"/>
      <c r="H1387" s="119"/>
      <c r="I1387" s="87" t="s">
        <v>58</v>
      </c>
      <c r="J1387" s="87" t="s">
        <v>4397</v>
      </c>
      <c r="K1387" s="90">
        <v>0.0</v>
      </c>
      <c r="L1387" s="92"/>
      <c r="M1387" s="93"/>
      <c r="N1387" s="93"/>
      <c r="O1387" s="87" t="s">
        <v>377</v>
      </c>
      <c r="P1387" s="87" t="s">
        <v>372</v>
      </c>
    </row>
    <row r="1388" ht="15.75" customHeight="1">
      <c r="A1388" s="87" t="s">
        <v>4400</v>
      </c>
      <c r="B1388" s="88">
        <v>1.22E18</v>
      </c>
      <c r="C1388" s="87" t="s">
        <v>4401</v>
      </c>
      <c r="D1388" s="87" t="s">
        <v>87</v>
      </c>
      <c r="E1388" s="87" t="s">
        <v>88</v>
      </c>
      <c r="F1388" s="118" t="s">
        <v>4401</v>
      </c>
      <c r="G1388" s="130"/>
      <c r="H1388" s="119"/>
      <c r="I1388" s="87" t="s">
        <v>58</v>
      </c>
      <c r="J1388" s="87" t="s">
        <v>4337</v>
      </c>
      <c r="K1388" s="90">
        <v>0.0</v>
      </c>
      <c r="L1388" s="92"/>
      <c r="M1388" s="93"/>
      <c r="N1388" s="87" t="s">
        <v>2835</v>
      </c>
      <c r="O1388" s="87" t="s">
        <v>377</v>
      </c>
      <c r="P1388" s="87" t="s">
        <v>372</v>
      </c>
    </row>
    <row r="1389" ht="15.75" customHeight="1">
      <c r="A1389" s="87" t="s">
        <v>4402</v>
      </c>
      <c r="B1389" s="88">
        <v>1.22E18</v>
      </c>
      <c r="C1389" s="87" t="s">
        <v>4403</v>
      </c>
      <c r="D1389" s="87" t="s">
        <v>87</v>
      </c>
      <c r="E1389" s="87" t="s">
        <v>241</v>
      </c>
      <c r="F1389" s="87" t="s">
        <v>4403</v>
      </c>
      <c r="H1389" s="93"/>
      <c r="I1389" s="87" t="s">
        <v>495</v>
      </c>
      <c r="J1389" s="87" t="s">
        <v>4404</v>
      </c>
      <c r="K1389" s="90">
        <v>120.0</v>
      </c>
      <c r="L1389" s="92"/>
      <c r="M1389" s="93"/>
      <c r="N1389" s="87" t="s">
        <v>4405</v>
      </c>
      <c r="O1389" s="87" t="s">
        <v>377</v>
      </c>
      <c r="P1389" s="87" t="s">
        <v>372</v>
      </c>
    </row>
    <row r="1390" ht="15.75" customHeight="1">
      <c r="A1390" s="87" t="s">
        <v>4406</v>
      </c>
      <c r="B1390" s="88">
        <v>1.22E18</v>
      </c>
      <c r="C1390" s="87" t="s">
        <v>4407</v>
      </c>
      <c r="D1390" s="87" t="s">
        <v>87</v>
      </c>
      <c r="E1390" s="87" t="s">
        <v>241</v>
      </c>
      <c r="F1390" s="87" t="s">
        <v>4407</v>
      </c>
      <c r="H1390" s="93"/>
      <c r="I1390" s="87" t="s">
        <v>495</v>
      </c>
      <c r="J1390" s="87" t="s">
        <v>4404</v>
      </c>
      <c r="K1390" s="90">
        <v>120.0</v>
      </c>
      <c r="L1390" s="92"/>
      <c r="M1390" s="93"/>
      <c r="N1390" s="87" t="s">
        <v>4405</v>
      </c>
      <c r="O1390" s="87" t="s">
        <v>377</v>
      </c>
      <c r="P1390" s="87" t="s">
        <v>372</v>
      </c>
    </row>
    <row r="1391" ht="15.75" customHeight="1">
      <c r="A1391" s="87" t="s">
        <v>4408</v>
      </c>
      <c r="B1391" s="88">
        <v>1.22E18</v>
      </c>
      <c r="C1391" s="87" t="s">
        <v>4409</v>
      </c>
      <c r="D1391" s="87" t="s">
        <v>87</v>
      </c>
      <c r="E1391" s="87" t="s">
        <v>88</v>
      </c>
      <c r="F1391" s="87" t="s">
        <v>4409</v>
      </c>
      <c r="H1391" s="93"/>
      <c r="I1391" s="87" t="s">
        <v>495</v>
      </c>
      <c r="J1391" s="87" t="s">
        <v>4404</v>
      </c>
      <c r="K1391" s="90">
        <v>120.0</v>
      </c>
      <c r="L1391" s="92"/>
      <c r="M1391" s="93"/>
      <c r="N1391" s="93"/>
      <c r="O1391" s="87" t="s">
        <v>377</v>
      </c>
      <c r="P1391" s="87" t="s">
        <v>372</v>
      </c>
    </row>
    <row r="1392" ht="15.75" customHeight="1">
      <c r="A1392" s="87" t="s">
        <v>4410</v>
      </c>
      <c r="B1392" s="88">
        <v>1.22E18</v>
      </c>
      <c r="C1392" s="87" t="s">
        <v>4411</v>
      </c>
      <c r="D1392" s="87" t="s">
        <v>87</v>
      </c>
      <c r="E1392" s="87" t="s">
        <v>241</v>
      </c>
      <c r="F1392" s="87" t="s">
        <v>4411</v>
      </c>
      <c r="H1392" s="93"/>
      <c r="I1392" s="87" t="s">
        <v>495</v>
      </c>
      <c r="J1392" s="87" t="s">
        <v>4412</v>
      </c>
      <c r="K1392" s="90">
        <v>180.0</v>
      </c>
      <c r="L1392" s="92"/>
      <c r="M1392" s="93"/>
      <c r="N1392" s="87" t="s">
        <v>4405</v>
      </c>
      <c r="O1392" s="87" t="s">
        <v>377</v>
      </c>
      <c r="P1392" s="87" t="s">
        <v>372</v>
      </c>
    </row>
    <row r="1393" ht="15.75" customHeight="1">
      <c r="A1393" s="87" t="s">
        <v>4413</v>
      </c>
      <c r="B1393" s="88">
        <v>1.22E18</v>
      </c>
      <c r="C1393" s="87" t="s">
        <v>4414</v>
      </c>
      <c r="D1393" s="87" t="s">
        <v>87</v>
      </c>
      <c r="E1393" s="87" t="s">
        <v>88</v>
      </c>
      <c r="F1393" s="87" t="s">
        <v>4414</v>
      </c>
      <c r="H1393" s="93"/>
      <c r="I1393" s="87" t="s">
        <v>495</v>
      </c>
      <c r="J1393" s="87" t="s">
        <v>4412</v>
      </c>
      <c r="K1393" s="90">
        <v>233.0</v>
      </c>
      <c r="L1393" s="92"/>
      <c r="M1393" s="93"/>
      <c r="N1393" s="93"/>
      <c r="O1393" s="87" t="s">
        <v>377</v>
      </c>
      <c r="P1393" s="87" t="s">
        <v>372</v>
      </c>
    </row>
    <row r="1394" ht="15.75" customHeight="1">
      <c r="A1394" s="87" t="s">
        <v>4415</v>
      </c>
      <c r="B1394" s="88">
        <v>1.22E18</v>
      </c>
      <c r="C1394" s="87" t="s">
        <v>4416</v>
      </c>
      <c r="D1394" s="87" t="s">
        <v>87</v>
      </c>
      <c r="E1394" s="87" t="s">
        <v>88</v>
      </c>
      <c r="F1394" s="87" t="s">
        <v>379</v>
      </c>
      <c r="G1394" s="93"/>
      <c r="H1394" s="93"/>
      <c r="I1394" s="87" t="s">
        <v>495</v>
      </c>
      <c r="J1394" s="87" t="s">
        <v>4412</v>
      </c>
      <c r="K1394" s="90">
        <v>0.0</v>
      </c>
      <c r="L1394" s="92"/>
      <c r="M1394" s="93"/>
      <c r="N1394" s="87" t="s">
        <v>4405</v>
      </c>
      <c r="O1394" s="87" t="s">
        <v>377</v>
      </c>
      <c r="P1394" s="87" t="s">
        <v>372</v>
      </c>
    </row>
    <row r="1395" ht="15.75" customHeight="1">
      <c r="A1395" s="87" t="s">
        <v>4417</v>
      </c>
      <c r="B1395" s="88">
        <v>1.22E18</v>
      </c>
      <c r="C1395" s="87" t="s">
        <v>4418</v>
      </c>
      <c r="D1395" s="87" t="s">
        <v>87</v>
      </c>
      <c r="E1395" s="87" t="s">
        <v>88</v>
      </c>
      <c r="F1395" s="87" t="s">
        <v>379</v>
      </c>
      <c r="G1395" s="93"/>
      <c r="H1395" s="93"/>
      <c r="I1395" s="87" t="s">
        <v>495</v>
      </c>
      <c r="J1395" s="87" t="s">
        <v>4419</v>
      </c>
      <c r="K1395" s="90">
        <v>0.0</v>
      </c>
      <c r="L1395" s="92"/>
      <c r="M1395" s="93"/>
      <c r="N1395" s="87" t="s">
        <v>4405</v>
      </c>
      <c r="O1395" s="87" t="s">
        <v>377</v>
      </c>
      <c r="P1395" s="87" t="s">
        <v>372</v>
      </c>
    </row>
    <row r="1396" ht="15.75" customHeight="1">
      <c r="A1396" s="87" t="s">
        <v>4420</v>
      </c>
      <c r="B1396" s="88">
        <v>1.22E18</v>
      </c>
      <c r="C1396" s="87" t="s">
        <v>4421</v>
      </c>
      <c r="D1396" s="87" t="s">
        <v>87</v>
      </c>
      <c r="E1396" s="87" t="s">
        <v>88</v>
      </c>
      <c r="F1396" s="87" t="s">
        <v>4421</v>
      </c>
      <c r="I1396" s="87" t="s">
        <v>495</v>
      </c>
      <c r="J1396" s="87" t="s">
        <v>2183</v>
      </c>
      <c r="K1396" s="90">
        <v>50.0</v>
      </c>
      <c r="L1396" s="92"/>
      <c r="M1396" s="93"/>
      <c r="N1396" s="87" t="s">
        <v>3499</v>
      </c>
      <c r="O1396" s="87" t="s">
        <v>377</v>
      </c>
      <c r="P1396" s="87" t="s">
        <v>372</v>
      </c>
    </row>
    <row r="1397" ht="15.75" customHeight="1">
      <c r="A1397" s="87" t="s">
        <v>4422</v>
      </c>
      <c r="B1397" s="88">
        <v>1.22E18</v>
      </c>
      <c r="C1397" s="87" t="s">
        <v>4423</v>
      </c>
      <c r="D1397" s="87" t="s">
        <v>56</v>
      </c>
      <c r="E1397" s="87" t="s">
        <v>142</v>
      </c>
      <c r="F1397" s="87" t="s">
        <v>4423</v>
      </c>
      <c r="I1397" s="87" t="s">
        <v>58</v>
      </c>
      <c r="J1397" s="87" t="s">
        <v>616</v>
      </c>
      <c r="K1397" s="90">
        <v>0.0</v>
      </c>
      <c r="L1397" s="92"/>
      <c r="M1397" s="93"/>
      <c r="N1397" s="87" t="s">
        <v>111</v>
      </c>
      <c r="O1397" s="87" t="s">
        <v>377</v>
      </c>
      <c r="P1397" s="87" t="s">
        <v>372</v>
      </c>
    </row>
    <row r="1398" ht="15.75" customHeight="1">
      <c r="A1398" s="87" t="s">
        <v>4424</v>
      </c>
      <c r="B1398" s="88">
        <v>1.22E18</v>
      </c>
      <c r="C1398" s="87" t="s">
        <v>4425</v>
      </c>
      <c r="D1398" s="87" t="s">
        <v>87</v>
      </c>
      <c r="E1398" s="87" t="s">
        <v>102</v>
      </c>
      <c r="F1398" s="87" t="s">
        <v>4425</v>
      </c>
      <c r="I1398" s="87" t="s">
        <v>58</v>
      </c>
      <c r="J1398" s="87" t="s">
        <v>4426</v>
      </c>
      <c r="K1398" s="90">
        <v>0.0</v>
      </c>
      <c r="L1398" s="92"/>
      <c r="M1398" s="93"/>
      <c r="N1398" s="87" t="s">
        <v>4427</v>
      </c>
      <c r="O1398" s="87" t="s">
        <v>377</v>
      </c>
      <c r="P1398" s="87" t="s">
        <v>372</v>
      </c>
    </row>
    <row r="1399" ht="15.75" customHeight="1">
      <c r="A1399" s="87" t="s">
        <v>4428</v>
      </c>
      <c r="B1399" s="88">
        <v>1.22E18</v>
      </c>
      <c r="C1399" s="87" t="s">
        <v>4429</v>
      </c>
      <c r="D1399" s="87" t="s">
        <v>87</v>
      </c>
      <c r="E1399" s="87" t="s">
        <v>102</v>
      </c>
      <c r="F1399" s="87" t="s">
        <v>4429</v>
      </c>
      <c r="I1399" s="87" t="s">
        <v>58</v>
      </c>
      <c r="J1399" s="87" t="s">
        <v>4430</v>
      </c>
      <c r="K1399" s="90">
        <v>0.0</v>
      </c>
      <c r="L1399" s="92"/>
      <c r="M1399" s="93"/>
      <c r="N1399" s="87" t="s">
        <v>4427</v>
      </c>
      <c r="O1399" s="87" t="s">
        <v>377</v>
      </c>
      <c r="P1399" s="87" t="s">
        <v>372</v>
      </c>
    </row>
    <row r="1400" ht="15.75" customHeight="1">
      <c r="A1400" s="87" t="s">
        <v>4431</v>
      </c>
      <c r="B1400" s="88">
        <v>1.22E18</v>
      </c>
      <c r="C1400" s="87" t="s">
        <v>4432</v>
      </c>
      <c r="D1400" s="87" t="s">
        <v>56</v>
      </c>
      <c r="E1400" s="87" t="s">
        <v>102</v>
      </c>
      <c r="F1400" s="87" t="s">
        <v>1763</v>
      </c>
      <c r="I1400" s="93"/>
      <c r="J1400" s="87" t="s">
        <v>4433</v>
      </c>
      <c r="K1400" s="90">
        <v>0.0</v>
      </c>
      <c r="L1400" s="92"/>
      <c r="M1400" s="93"/>
      <c r="N1400" s="87" t="s">
        <v>4427</v>
      </c>
      <c r="O1400" s="87" t="s">
        <v>377</v>
      </c>
      <c r="P1400" s="87" t="s">
        <v>372</v>
      </c>
    </row>
    <row r="1401" ht="15.75" customHeight="1">
      <c r="A1401" s="87" t="s">
        <v>4434</v>
      </c>
      <c r="B1401" s="88">
        <v>1.22E18</v>
      </c>
      <c r="C1401" s="87" t="s">
        <v>4435</v>
      </c>
      <c r="D1401" s="87" t="s">
        <v>87</v>
      </c>
      <c r="E1401" s="87" t="s">
        <v>88</v>
      </c>
      <c r="F1401" s="87" t="s">
        <v>373</v>
      </c>
      <c r="H1401" s="93"/>
      <c r="I1401" s="87" t="s">
        <v>315</v>
      </c>
      <c r="J1401" s="87" t="s">
        <v>4436</v>
      </c>
      <c r="K1401" s="90">
        <v>15000.0</v>
      </c>
      <c r="L1401" s="92"/>
      <c r="M1401" s="93"/>
      <c r="N1401" s="87" t="s">
        <v>390</v>
      </c>
      <c r="O1401" s="87" t="s">
        <v>377</v>
      </c>
      <c r="P1401" s="87" t="s">
        <v>372</v>
      </c>
    </row>
    <row r="1402" ht="15.75" customHeight="1">
      <c r="A1402" s="87" t="s">
        <v>4437</v>
      </c>
      <c r="B1402" s="88">
        <v>1.22E18</v>
      </c>
      <c r="C1402" s="87" t="s">
        <v>4438</v>
      </c>
      <c r="D1402" s="87" t="s">
        <v>87</v>
      </c>
      <c r="E1402" s="87" t="s">
        <v>88</v>
      </c>
      <c r="F1402" s="87" t="s">
        <v>4438</v>
      </c>
      <c r="I1402" s="87" t="s">
        <v>340</v>
      </c>
      <c r="J1402" s="87" t="s">
        <v>4439</v>
      </c>
      <c r="K1402" s="90">
        <v>100.0</v>
      </c>
      <c r="L1402" s="92"/>
      <c r="M1402" s="93"/>
      <c r="N1402" s="87" t="s">
        <v>2139</v>
      </c>
      <c r="O1402" s="87" t="s">
        <v>377</v>
      </c>
      <c r="P1402" s="87" t="s">
        <v>372</v>
      </c>
    </row>
    <row r="1403" ht="15.75" customHeight="1">
      <c r="A1403" s="87" t="s">
        <v>4440</v>
      </c>
      <c r="B1403" s="88">
        <v>1.22E18</v>
      </c>
      <c r="C1403" s="87" t="s">
        <v>4441</v>
      </c>
      <c r="D1403" s="87" t="s">
        <v>87</v>
      </c>
      <c r="E1403" s="87" t="s">
        <v>102</v>
      </c>
      <c r="F1403" s="118" t="s">
        <v>4441</v>
      </c>
      <c r="G1403" s="130"/>
      <c r="H1403" s="119"/>
      <c r="I1403" s="87" t="s">
        <v>58</v>
      </c>
      <c r="J1403" s="87" t="s">
        <v>4442</v>
      </c>
      <c r="K1403" s="90">
        <v>0.0</v>
      </c>
      <c r="L1403" s="92"/>
      <c r="M1403" s="93"/>
      <c r="N1403" s="87" t="s">
        <v>1766</v>
      </c>
      <c r="O1403" s="87" t="s">
        <v>377</v>
      </c>
      <c r="P1403" s="87" t="s">
        <v>372</v>
      </c>
    </row>
    <row r="1404" ht="15.75" customHeight="1">
      <c r="A1404" s="87" t="s">
        <v>4443</v>
      </c>
      <c r="B1404" s="88">
        <v>1.22E18</v>
      </c>
      <c r="C1404" s="87" t="s">
        <v>4444</v>
      </c>
      <c r="D1404" s="87" t="s">
        <v>87</v>
      </c>
      <c r="E1404" s="87" t="s">
        <v>102</v>
      </c>
      <c r="F1404" s="118" t="s">
        <v>4444</v>
      </c>
      <c r="G1404" s="130"/>
      <c r="H1404" s="119"/>
      <c r="I1404" s="87" t="s">
        <v>58</v>
      </c>
      <c r="J1404" s="87" t="s">
        <v>4442</v>
      </c>
      <c r="K1404" s="90">
        <v>0.0</v>
      </c>
      <c r="L1404" s="92"/>
      <c r="M1404" s="93"/>
      <c r="N1404" s="87" t="s">
        <v>1766</v>
      </c>
      <c r="O1404" s="87" t="s">
        <v>377</v>
      </c>
      <c r="P1404" s="87" t="s">
        <v>372</v>
      </c>
    </row>
    <row r="1405" ht="15.75" customHeight="1">
      <c r="A1405" s="87" t="s">
        <v>4445</v>
      </c>
      <c r="B1405" s="88">
        <v>1.22E18</v>
      </c>
      <c r="C1405" s="87" t="s">
        <v>4446</v>
      </c>
      <c r="D1405" s="87" t="s">
        <v>87</v>
      </c>
      <c r="E1405" s="87" t="s">
        <v>102</v>
      </c>
      <c r="F1405" s="118" t="s">
        <v>4446</v>
      </c>
      <c r="G1405" s="130"/>
      <c r="H1405" s="119"/>
      <c r="I1405" s="87" t="s">
        <v>58</v>
      </c>
      <c r="J1405" s="87" t="s">
        <v>4447</v>
      </c>
      <c r="K1405" s="90">
        <v>0.0</v>
      </c>
      <c r="L1405" s="92"/>
      <c r="M1405" s="93"/>
      <c r="N1405" s="87" t="s">
        <v>3315</v>
      </c>
      <c r="O1405" s="87" t="s">
        <v>377</v>
      </c>
      <c r="P1405" s="87" t="s">
        <v>372</v>
      </c>
    </row>
    <row r="1406" ht="15.75" customHeight="1">
      <c r="A1406" s="87" t="s">
        <v>4448</v>
      </c>
      <c r="B1406" s="88">
        <v>1.22E18</v>
      </c>
      <c r="C1406" s="87" t="s">
        <v>4449</v>
      </c>
      <c r="D1406" s="87" t="s">
        <v>87</v>
      </c>
      <c r="E1406" s="87" t="s">
        <v>88</v>
      </c>
      <c r="F1406" s="87" t="s">
        <v>4449</v>
      </c>
      <c r="I1406" s="87" t="s">
        <v>1123</v>
      </c>
      <c r="J1406" s="87" t="s">
        <v>1333</v>
      </c>
      <c r="K1406" s="90">
        <v>0.0</v>
      </c>
      <c r="L1406" s="92"/>
      <c r="M1406" s="93"/>
      <c r="N1406" s="87" t="s">
        <v>4450</v>
      </c>
      <c r="O1406" s="87" t="s">
        <v>377</v>
      </c>
      <c r="P1406" s="87" t="s">
        <v>372</v>
      </c>
    </row>
    <row r="1407" ht="15.75" customHeight="1">
      <c r="A1407" s="87" t="s">
        <v>4451</v>
      </c>
      <c r="B1407" s="88">
        <v>1.22E18</v>
      </c>
      <c r="C1407" s="87" t="s">
        <v>4452</v>
      </c>
      <c r="D1407" s="87" t="s">
        <v>87</v>
      </c>
      <c r="E1407" s="87" t="s">
        <v>88</v>
      </c>
      <c r="F1407" s="87" t="s">
        <v>4452</v>
      </c>
      <c r="I1407" s="87" t="s">
        <v>58</v>
      </c>
      <c r="J1407" s="87" t="s">
        <v>4453</v>
      </c>
      <c r="K1407" s="90">
        <v>0.0</v>
      </c>
      <c r="L1407" s="92"/>
      <c r="M1407" s="93"/>
      <c r="N1407" s="87" t="s">
        <v>3622</v>
      </c>
      <c r="O1407" s="87" t="s">
        <v>377</v>
      </c>
      <c r="P1407" s="87" t="s">
        <v>372</v>
      </c>
    </row>
    <row r="1408" ht="15.75" customHeight="1">
      <c r="A1408" s="87" t="s">
        <v>4454</v>
      </c>
      <c r="B1408" s="88">
        <v>1.22E18</v>
      </c>
      <c r="C1408" s="87" t="s">
        <v>4455</v>
      </c>
      <c r="D1408" s="87" t="s">
        <v>87</v>
      </c>
      <c r="E1408" s="87" t="s">
        <v>102</v>
      </c>
      <c r="F1408" s="87" t="s">
        <v>4455</v>
      </c>
      <c r="I1408" s="87" t="s">
        <v>58</v>
      </c>
      <c r="J1408" s="87" t="s">
        <v>4456</v>
      </c>
      <c r="K1408" s="90">
        <v>0.0</v>
      </c>
      <c r="L1408" s="92"/>
      <c r="M1408" s="93"/>
      <c r="N1408" s="87" t="s">
        <v>2572</v>
      </c>
      <c r="O1408" s="87" t="s">
        <v>377</v>
      </c>
      <c r="P1408" s="87" t="s">
        <v>372</v>
      </c>
    </row>
    <row r="1409" ht="15.75" customHeight="1">
      <c r="A1409" s="87" t="s">
        <v>4457</v>
      </c>
      <c r="B1409" s="88">
        <v>1.22E18</v>
      </c>
      <c r="C1409" s="87" t="s">
        <v>4458</v>
      </c>
      <c r="D1409" s="87" t="s">
        <v>87</v>
      </c>
      <c r="E1409" s="87" t="s">
        <v>88</v>
      </c>
      <c r="F1409" s="118" t="s">
        <v>4458</v>
      </c>
      <c r="G1409" s="130"/>
      <c r="H1409" s="119"/>
      <c r="I1409" s="87" t="s">
        <v>58</v>
      </c>
      <c r="J1409" s="87" t="s">
        <v>4459</v>
      </c>
      <c r="K1409" s="90">
        <v>0.0</v>
      </c>
      <c r="L1409" s="92"/>
      <c r="M1409" s="93"/>
      <c r="N1409" s="87" t="s">
        <v>1772</v>
      </c>
      <c r="O1409" s="87" t="s">
        <v>377</v>
      </c>
      <c r="P1409" s="87" t="s">
        <v>372</v>
      </c>
    </row>
    <row r="1410" ht="15.75" customHeight="1">
      <c r="A1410" s="87" t="s">
        <v>4460</v>
      </c>
      <c r="B1410" s="88">
        <v>1.22E18</v>
      </c>
      <c r="C1410" s="87" t="s">
        <v>4461</v>
      </c>
      <c r="D1410" s="87" t="s">
        <v>87</v>
      </c>
      <c r="E1410" s="87" t="s">
        <v>102</v>
      </c>
      <c r="F1410" s="118" t="s">
        <v>4461</v>
      </c>
      <c r="G1410" s="130"/>
      <c r="H1410" s="119"/>
      <c r="I1410" s="87" t="s">
        <v>58</v>
      </c>
      <c r="J1410" s="87" t="s">
        <v>4462</v>
      </c>
      <c r="K1410" s="90">
        <v>0.0</v>
      </c>
      <c r="L1410" s="92"/>
      <c r="M1410" s="93"/>
      <c r="N1410" s="87" t="s">
        <v>1772</v>
      </c>
      <c r="O1410" s="87" t="s">
        <v>377</v>
      </c>
      <c r="P1410" s="87" t="s">
        <v>372</v>
      </c>
    </row>
    <row r="1411" ht="15.75" customHeight="1">
      <c r="A1411" s="87" t="s">
        <v>4463</v>
      </c>
      <c r="B1411" s="88">
        <v>1.22E18</v>
      </c>
      <c r="C1411" s="87" t="s">
        <v>4464</v>
      </c>
      <c r="D1411" s="87" t="s">
        <v>56</v>
      </c>
      <c r="E1411" s="87" t="s">
        <v>102</v>
      </c>
      <c r="F1411" s="87" t="s">
        <v>1763</v>
      </c>
      <c r="I1411" s="93"/>
      <c r="J1411" s="87" t="s">
        <v>4465</v>
      </c>
      <c r="K1411" s="90">
        <v>5.0</v>
      </c>
      <c r="L1411" s="92"/>
      <c r="M1411" s="93"/>
      <c r="N1411" s="93"/>
      <c r="O1411" s="87" t="s">
        <v>377</v>
      </c>
      <c r="P1411" s="87" t="s">
        <v>372</v>
      </c>
    </row>
    <row r="1412" ht="15.75" customHeight="1">
      <c r="A1412" s="87" t="s">
        <v>4466</v>
      </c>
      <c r="B1412" s="88">
        <v>1.22E18</v>
      </c>
      <c r="C1412" s="87" t="s">
        <v>4467</v>
      </c>
      <c r="D1412" s="87" t="s">
        <v>87</v>
      </c>
      <c r="E1412" s="87" t="s">
        <v>88</v>
      </c>
      <c r="F1412" s="87" t="s">
        <v>4467</v>
      </c>
      <c r="H1412" s="93"/>
      <c r="I1412" s="87" t="s">
        <v>327</v>
      </c>
      <c r="J1412" s="87" t="s">
        <v>4468</v>
      </c>
      <c r="K1412" s="90">
        <v>0.0</v>
      </c>
      <c r="L1412" s="92"/>
      <c r="M1412" s="93"/>
      <c r="N1412" s="87" t="s">
        <v>1772</v>
      </c>
      <c r="O1412" s="87" t="s">
        <v>377</v>
      </c>
      <c r="P1412" s="87" t="s">
        <v>372</v>
      </c>
    </row>
    <row r="1413" ht="15.75" customHeight="1">
      <c r="A1413" s="87" t="s">
        <v>4469</v>
      </c>
      <c r="B1413" s="88">
        <v>1.22E18</v>
      </c>
      <c r="C1413" s="87" t="s">
        <v>4470</v>
      </c>
      <c r="D1413" s="87" t="s">
        <v>262</v>
      </c>
      <c r="E1413" s="87" t="s">
        <v>263</v>
      </c>
      <c r="F1413" s="87" t="s">
        <v>415</v>
      </c>
      <c r="G1413" s="93"/>
      <c r="H1413" s="93"/>
      <c r="I1413" s="87" t="s">
        <v>58</v>
      </c>
      <c r="J1413" s="87" t="s">
        <v>4471</v>
      </c>
      <c r="K1413" s="90">
        <v>1.0</v>
      </c>
      <c r="L1413" s="92"/>
      <c r="M1413" s="93"/>
      <c r="N1413" s="93"/>
      <c r="O1413" s="87" t="s">
        <v>377</v>
      </c>
      <c r="P1413" s="87" t="s">
        <v>372</v>
      </c>
    </row>
    <row r="1414" ht="15.75" customHeight="1">
      <c r="A1414" s="87" t="s">
        <v>4472</v>
      </c>
      <c r="B1414" s="88">
        <v>1.22E18</v>
      </c>
      <c r="C1414" s="87" t="s">
        <v>4473</v>
      </c>
      <c r="D1414" s="87" t="s">
        <v>262</v>
      </c>
      <c r="E1414" s="87" t="s">
        <v>278</v>
      </c>
      <c r="F1414" s="87" t="s">
        <v>4473</v>
      </c>
      <c r="I1414" s="87" t="s">
        <v>58</v>
      </c>
      <c r="J1414" s="87" t="s">
        <v>4474</v>
      </c>
      <c r="L1414" s="92"/>
      <c r="M1414" s="93"/>
      <c r="N1414" s="93"/>
      <c r="O1414" s="87" t="s">
        <v>377</v>
      </c>
      <c r="P1414" s="87" t="s">
        <v>2565</v>
      </c>
    </row>
    <row r="1415" ht="15.75" customHeight="1">
      <c r="A1415" s="87" t="s">
        <v>4475</v>
      </c>
      <c r="B1415" s="88">
        <v>1.22E18</v>
      </c>
      <c r="C1415" s="87" t="s">
        <v>4476</v>
      </c>
      <c r="D1415" s="87" t="s">
        <v>262</v>
      </c>
      <c r="E1415" s="87" t="s">
        <v>267</v>
      </c>
      <c r="F1415" s="87" t="s">
        <v>4476</v>
      </c>
      <c r="I1415" s="87" t="s">
        <v>58</v>
      </c>
      <c r="J1415" s="87" t="s">
        <v>4477</v>
      </c>
      <c r="K1415" s="90">
        <v>0.0</v>
      </c>
      <c r="L1415" s="92"/>
      <c r="M1415" s="93"/>
      <c r="N1415" s="93"/>
      <c r="O1415" s="87" t="s">
        <v>377</v>
      </c>
      <c r="P1415" s="87" t="s">
        <v>372</v>
      </c>
    </row>
    <row r="1416" ht="15.75" customHeight="1">
      <c r="A1416" s="87" t="s">
        <v>4478</v>
      </c>
      <c r="B1416" s="88">
        <v>1.22E18</v>
      </c>
      <c r="C1416" s="87" t="s">
        <v>4479</v>
      </c>
      <c r="D1416" s="87" t="s">
        <v>87</v>
      </c>
      <c r="E1416" s="87" t="s">
        <v>88</v>
      </c>
      <c r="F1416" s="118" t="s">
        <v>4479</v>
      </c>
      <c r="G1416" s="130"/>
      <c r="H1416" s="119"/>
      <c r="I1416" s="87" t="s">
        <v>58</v>
      </c>
      <c r="J1416" s="87" t="s">
        <v>4480</v>
      </c>
      <c r="K1416" s="90">
        <v>0.0</v>
      </c>
      <c r="L1416" s="92"/>
      <c r="M1416" s="93"/>
      <c r="N1416" s="87" t="s">
        <v>1772</v>
      </c>
      <c r="O1416" s="87" t="s">
        <v>377</v>
      </c>
      <c r="P1416" s="87" t="s">
        <v>372</v>
      </c>
    </row>
    <row r="1417" ht="15.75" customHeight="1">
      <c r="A1417" s="87" t="s">
        <v>4481</v>
      </c>
      <c r="B1417" s="88">
        <v>1.22E18</v>
      </c>
      <c r="C1417" s="87" t="s">
        <v>4482</v>
      </c>
      <c r="D1417" s="87" t="s">
        <v>87</v>
      </c>
      <c r="E1417" s="87" t="s">
        <v>88</v>
      </c>
      <c r="F1417" s="118" t="s">
        <v>4482</v>
      </c>
      <c r="G1417" s="130"/>
      <c r="H1417" s="119"/>
      <c r="I1417" s="87" t="s">
        <v>58</v>
      </c>
      <c r="J1417" s="87" t="s">
        <v>4483</v>
      </c>
      <c r="K1417" s="90">
        <v>0.0</v>
      </c>
      <c r="L1417" s="92"/>
      <c r="M1417" s="93"/>
      <c r="N1417" s="93"/>
      <c r="O1417" s="87" t="s">
        <v>377</v>
      </c>
      <c r="P1417" s="87" t="s">
        <v>372</v>
      </c>
    </row>
    <row r="1418" ht="15.75" customHeight="1">
      <c r="A1418" s="87" t="s">
        <v>4484</v>
      </c>
      <c r="B1418" s="88">
        <v>1.22E18</v>
      </c>
      <c r="C1418" s="87" t="s">
        <v>4485</v>
      </c>
      <c r="D1418" s="87" t="s">
        <v>87</v>
      </c>
      <c r="E1418" s="87" t="s">
        <v>88</v>
      </c>
      <c r="F1418" s="118" t="s">
        <v>4485</v>
      </c>
      <c r="G1418" s="130"/>
      <c r="H1418" s="119"/>
      <c r="I1418" s="87" t="s">
        <v>58</v>
      </c>
      <c r="J1418" s="87" t="s">
        <v>4465</v>
      </c>
      <c r="K1418" s="90">
        <v>0.0</v>
      </c>
      <c r="L1418" s="92"/>
      <c r="M1418" s="93"/>
      <c r="N1418" s="87" t="s">
        <v>1772</v>
      </c>
      <c r="O1418" s="87" t="s">
        <v>377</v>
      </c>
      <c r="P1418" s="87" t="s">
        <v>372</v>
      </c>
    </row>
    <row r="1419" ht="15.75" customHeight="1">
      <c r="A1419" s="87" t="s">
        <v>4486</v>
      </c>
      <c r="B1419" s="88">
        <v>1.22E18</v>
      </c>
      <c r="C1419" s="87" t="s">
        <v>4487</v>
      </c>
      <c r="D1419" s="87" t="s">
        <v>262</v>
      </c>
      <c r="E1419" s="87" t="s">
        <v>270</v>
      </c>
      <c r="F1419" s="118" t="s">
        <v>4487</v>
      </c>
      <c r="G1419" s="130"/>
      <c r="H1419" s="119"/>
      <c r="I1419" s="87" t="s">
        <v>58</v>
      </c>
      <c r="J1419" s="87" t="s">
        <v>4488</v>
      </c>
      <c r="K1419" s="90">
        <v>0.0</v>
      </c>
      <c r="L1419" s="92"/>
      <c r="M1419" s="93"/>
      <c r="N1419" s="87" t="s">
        <v>2315</v>
      </c>
      <c r="O1419" s="87" t="s">
        <v>377</v>
      </c>
      <c r="P1419" s="87" t="s">
        <v>372</v>
      </c>
    </row>
    <row r="1420" ht="15.75" customHeight="1">
      <c r="A1420" s="87" t="s">
        <v>4489</v>
      </c>
      <c r="B1420" s="88">
        <v>1.22E18</v>
      </c>
      <c r="C1420" s="87" t="s">
        <v>4490</v>
      </c>
      <c r="D1420" s="87" t="s">
        <v>87</v>
      </c>
      <c r="E1420" s="87" t="s">
        <v>88</v>
      </c>
      <c r="F1420" s="87" t="s">
        <v>4490</v>
      </c>
      <c r="I1420" s="87" t="s">
        <v>58</v>
      </c>
      <c r="J1420" s="87" t="s">
        <v>4491</v>
      </c>
      <c r="K1420" s="90">
        <v>0.0</v>
      </c>
      <c r="L1420" s="92"/>
      <c r="M1420" s="93"/>
      <c r="N1420" s="87" t="s">
        <v>1729</v>
      </c>
      <c r="O1420" s="87" t="s">
        <v>377</v>
      </c>
      <c r="P1420" s="87" t="s">
        <v>372</v>
      </c>
    </row>
    <row r="1421" ht="15.75" customHeight="1">
      <c r="A1421" s="87" t="s">
        <v>4492</v>
      </c>
      <c r="B1421" s="88">
        <v>1.22E18</v>
      </c>
      <c r="C1421" s="87" t="s">
        <v>4493</v>
      </c>
      <c r="D1421" s="87" t="s">
        <v>262</v>
      </c>
      <c r="E1421" s="87" t="s">
        <v>267</v>
      </c>
      <c r="F1421" s="87" t="s">
        <v>4493</v>
      </c>
      <c r="I1421" s="87" t="s">
        <v>58</v>
      </c>
      <c r="J1421" s="87" t="s">
        <v>4494</v>
      </c>
      <c r="K1421" s="90">
        <v>0.0</v>
      </c>
      <c r="L1421" s="92"/>
      <c r="M1421" s="93"/>
      <c r="N1421" s="87" t="s">
        <v>1729</v>
      </c>
      <c r="O1421" s="87" t="s">
        <v>377</v>
      </c>
      <c r="P1421" s="87" t="s">
        <v>372</v>
      </c>
    </row>
    <row r="1422" ht="15.75" customHeight="1">
      <c r="A1422" s="87" t="s">
        <v>4495</v>
      </c>
      <c r="B1422" s="88">
        <v>1.22E18</v>
      </c>
      <c r="C1422" s="87" t="s">
        <v>4496</v>
      </c>
      <c r="D1422" s="87" t="s">
        <v>262</v>
      </c>
      <c r="E1422" s="87" t="s">
        <v>267</v>
      </c>
      <c r="F1422" s="87" t="s">
        <v>4496</v>
      </c>
      <c r="I1422" s="87" t="s">
        <v>58</v>
      </c>
      <c r="J1422" s="87" t="s">
        <v>4497</v>
      </c>
      <c r="K1422" s="90">
        <v>0.0</v>
      </c>
      <c r="L1422" s="92"/>
      <c r="M1422" s="93"/>
      <c r="N1422" s="87" t="s">
        <v>1729</v>
      </c>
      <c r="O1422" s="87" t="s">
        <v>377</v>
      </c>
      <c r="P1422" s="87" t="s">
        <v>372</v>
      </c>
    </row>
    <row r="1423" ht="15.75" customHeight="1">
      <c r="A1423" s="87" t="s">
        <v>4498</v>
      </c>
      <c r="B1423" s="88">
        <v>1.22E18</v>
      </c>
      <c r="C1423" s="87" t="s">
        <v>4499</v>
      </c>
      <c r="D1423" s="87" t="s">
        <v>87</v>
      </c>
      <c r="E1423" s="87" t="s">
        <v>233</v>
      </c>
      <c r="F1423" s="87" t="s">
        <v>379</v>
      </c>
      <c r="G1423" s="93"/>
      <c r="H1423" s="93"/>
      <c r="I1423" s="93"/>
      <c r="J1423" s="87" t="s">
        <v>4500</v>
      </c>
      <c r="K1423" s="90">
        <v>100000.0</v>
      </c>
      <c r="L1423" s="92"/>
      <c r="M1423" s="93"/>
      <c r="N1423" s="87" t="s">
        <v>828</v>
      </c>
      <c r="O1423" s="87" t="s">
        <v>377</v>
      </c>
      <c r="P1423" s="87" t="s">
        <v>372</v>
      </c>
    </row>
    <row r="1424" ht="15.75" customHeight="1">
      <c r="A1424" s="87" t="s">
        <v>4501</v>
      </c>
      <c r="B1424" s="88">
        <v>1.22E18</v>
      </c>
      <c r="C1424" s="87" t="s">
        <v>4502</v>
      </c>
      <c r="D1424" s="87" t="s">
        <v>262</v>
      </c>
      <c r="E1424" s="87" t="s">
        <v>267</v>
      </c>
      <c r="F1424" s="118" t="s">
        <v>4502</v>
      </c>
      <c r="G1424" s="130"/>
      <c r="H1424" s="119"/>
      <c r="I1424" s="87" t="s">
        <v>58</v>
      </c>
      <c r="J1424" s="87" t="s">
        <v>4503</v>
      </c>
      <c r="K1424" s="90">
        <v>0.0</v>
      </c>
      <c r="L1424" s="92"/>
      <c r="M1424" s="93"/>
      <c r="N1424" s="87" t="s">
        <v>2541</v>
      </c>
      <c r="O1424" s="87" t="s">
        <v>377</v>
      </c>
      <c r="P1424" s="87" t="s">
        <v>372</v>
      </c>
    </row>
    <row r="1425" ht="15.75" customHeight="1">
      <c r="A1425" s="87" t="s">
        <v>4504</v>
      </c>
      <c r="B1425" s="88">
        <v>1.22E18</v>
      </c>
      <c r="C1425" s="87" t="s">
        <v>4505</v>
      </c>
      <c r="D1425" s="87" t="s">
        <v>87</v>
      </c>
      <c r="E1425" s="87" t="s">
        <v>102</v>
      </c>
      <c r="F1425" s="87" t="s">
        <v>4505</v>
      </c>
      <c r="I1425" s="87" t="s">
        <v>58</v>
      </c>
      <c r="J1425" s="87" t="s">
        <v>806</v>
      </c>
      <c r="K1425" s="90">
        <v>0.0</v>
      </c>
      <c r="L1425" s="92"/>
      <c r="M1425" s="93"/>
      <c r="N1425" s="87" t="s">
        <v>474</v>
      </c>
      <c r="O1425" s="87" t="s">
        <v>377</v>
      </c>
      <c r="P1425" s="87" t="s">
        <v>372</v>
      </c>
    </row>
    <row r="1426" ht="15.75" customHeight="1">
      <c r="A1426" s="87" t="s">
        <v>4506</v>
      </c>
      <c r="B1426" s="88">
        <v>1.22E18</v>
      </c>
      <c r="C1426" s="87" t="s">
        <v>4507</v>
      </c>
      <c r="D1426" s="87" t="s">
        <v>87</v>
      </c>
      <c r="E1426" s="87" t="s">
        <v>102</v>
      </c>
      <c r="F1426" s="118" t="s">
        <v>4507</v>
      </c>
      <c r="G1426" s="130"/>
      <c r="H1426" s="119"/>
      <c r="I1426" s="87" t="s">
        <v>58</v>
      </c>
      <c r="J1426" s="87" t="s">
        <v>4237</v>
      </c>
      <c r="K1426" s="90">
        <v>0.0</v>
      </c>
      <c r="L1426" s="92"/>
      <c r="M1426" s="93"/>
      <c r="N1426" s="87" t="s">
        <v>474</v>
      </c>
      <c r="O1426" s="87" t="s">
        <v>377</v>
      </c>
      <c r="P1426" s="87" t="s">
        <v>372</v>
      </c>
    </row>
    <row r="1427" ht="15.75" customHeight="1">
      <c r="A1427" s="87" t="s">
        <v>4508</v>
      </c>
      <c r="B1427" s="88">
        <v>1.22E18</v>
      </c>
      <c r="C1427" s="87" t="s">
        <v>4509</v>
      </c>
      <c r="D1427" s="87" t="s">
        <v>87</v>
      </c>
      <c r="E1427" s="87" t="s">
        <v>102</v>
      </c>
      <c r="F1427" s="118" t="s">
        <v>4509</v>
      </c>
      <c r="G1427" s="130"/>
      <c r="H1427" s="119"/>
      <c r="I1427" s="87" t="s">
        <v>58</v>
      </c>
      <c r="J1427" s="87" t="s">
        <v>4510</v>
      </c>
      <c r="K1427" s="90">
        <v>0.0</v>
      </c>
      <c r="L1427" s="92"/>
      <c r="M1427" s="93"/>
      <c r="N1427" s="87" t="s">
        <v>474</v>
      </c>
      <c r="O1427" s="87" t="s">
        <v>377</v>
      </c>
      <c r="P1427" s="87" t="s">
        <v>372</v>
      </c>
    </row>
    <row r="1428" ht="15.75" customHeight="1">
      <c r="A1428" s="87" t="s">
        <v>4511</v>
      </c>
      <c r="B1428" s="88">
        <v>1.22E18</v>
      </c>
      <c r="C1428" s="87" t="s">
        <v>4512</v>
      </c>
      <c r="D1428" s="87" t="s">
        <v>87</v>
      </c>
      <c r="E1428" s="87" t="s">
        <v>102</v>
      </c>
      <c r="F1428" s="118" t="s">
        <v>4512</v>
      </c>
      <c r="G1428" s="130"/>
      <c r="H1428" s="119"/>
      <c r="I1428" s="87" t="s">
        <v>58</v>
      </c>
      <c r="J1428" s="87" t="s">
        <v>4513</v>
      </c>
      <c r="K1428" s="90">
        <v>0.0</v>
      </c>
      <c r="L1428" s="92"/>
      <c r="M1428" s="93"/>
      <c r="N1428" s="87" t="s">
        <v>474</v>
      </c>
      <c r="O1428" s="87" t="s">
        <v>377</v>
      </c>
      <c r="P1428" s="87" t="s">
        <v>372</v>
      </c>
    </row>
    <row r="1429" ht="15.75" customHeight="1">
      <c r="A1429" s="87" t="s">
        <v>4514</v>
      </c>
      <c r="B1429" s="88">
        <v>1.22E18</v>
      </c>
      <c r="C1429" s="87" t="s">
        <v>4515</v>
      </c>
      <c r="D1429" s="87" t="s">
        <v>87</v>
      </c>
      <c r="E1429" s="87" t="s">
        <v>88</v>
      </c>
      <c r="F1429" s="87" t="s">
        <v>4515</v>
      </c>
      <c r="I1429" s="87" t="s">
        <v>315</v>
      </c>
      <c r="J1429" s="87" t="s">
        <v>4516</v>
      </c>
      <c r="K1429" s="90">
        <v>14000.0</v>
      </c>
      <c r="L1429" s="92"/>
      <c r="M1429" s="93"/>
      <c r="N1429" s="87" t="s">
        <v>4517</v>
      </c>
      <c r="O1429" s="87" t="s">
        <v>377</v>
      </c>
      <c r="P1429" s="87" t="s">
        <v>372</v>
      </c>
    </row>
    <row r="1430" ht="15.75" customHeight="1">
      <c r="A1430" s="87" t="s">
        <v>4518</v>
      </c>
      <c r="B1430" s="88">
        <v>1.22E18</v>
      </c>
      <c r="C1430" s="87" t="s">
        <v>4519</v>
      </c>
      <c r="D1430" s="87" t="s">
        <v>87</v>
      </c>
      <c r="E1430" s="87" t="s">
        <v>88</v>
      </c>
      <c r="F1430" s="87" t="s">
        <v>4519</v>
      </c>
      <c r="I1430" s="87" t="s">
        <v>58</v>
      </c>
      <c r="J1430" s="87" t="s">
        <v>4520</v>
      </c>
      <c r="K1430" s="90">
        <v>0.0</v>
      </c>
      <c r="L1430" s="92"/>
      <c r="M1430" s="93"/>
      <c r="N1430" s="87" t="s">
        <v>1772</v>
      </c>
      <c r="O1430" s="87" t="s">
        <v>377</v>
      </c>
      <c r="P1430" s="87" t="s">
        <v>372</v>
      </c>
    </row>
    <row r="1431" ht="15.75" customHeight="1">
      <c r="A1431" s="87" t="s">
        <v>4521</v>
      </c>
      <c r="B1431" s="88">
        <v>1.22E18</v>
      </c>
      <c r="C1431" s="87" t="s">
        <v>4522</v>
      </c>
      <c r="D1431" s="87" t="s">
        <v>87</v>
      </c>
      <c r="E1431" s="87" t="s">
        <v>88</v>
      </c>
      <c r="F1431" s="87" t="s">
        <v>4522</v>
      </c>
      <c r="I1431" s="87" t="s">
        <v>58</v>
      </c>
      <c r="J1431" s="87" t="s">
        <v>4523</v>
      </c>
      <c r="K1431" s="90">
        <v>0.0</v>
      </c>
      <c r="L1431" s="92"/>
      <c r="M1431" s="93"/>
      <c r="N1431" s="87" t="s">
        <v>4524</v>
      </c>
      <c r="O1431" s="87" t="s">
        <v>377</v>
      </c>
      <c r="P1431" s="87" t="s">
        <v>372</v>
      </c>
    </row>
    <row r="1432" ht="15.75" customHeight="1">
      <c r="A1432" s="87" t="s">
        <v>4525</v>
      </c>
      <c r="B1432" s="88">
        <v>1.22E18</v>
      </c>
      <c r="C1432" s="87" t="s">
        <v>4526</v>
      </c>
      <c r="D1432" s="87" t="s">
        <v>87</v>
      </c>
      <c r="E1432" s="87" t="s">
        <v>88</v>
      </c>
      <c r="F1432" s="87" t="s">
        <v>4526</v>
      </c>
      <c r="I1432" s="87" t="s">
        <v>58</v>
      </c>
      <c r="J1432" s="87" t="s">
        <v>4527</v>
      </c>
      <c r="K1432" s="90">
        <v>0.0</v>
      </c>
      <c r="L1432" s="92"/>
      <c r="M1432" s="93"/>
      <c r="N1432" s="87" t="s">
        <v>4524</v>
      </c>
      <c r="O1432" s="87" t="s">
        <v>377</v>
      </c>
      <c r="P1432" s="87" t="s">
        <v>372</v>
      </c>
    </row>
    <row r="1433" ht="15.75" customHeight="1">
      <c r="A1433" s="87" t="s">
        <v>4528</v>
      </c>
      <c r="B1433" s="88">
        <v>1.22E18</v>
      </c>
      <c r="C1433" s="87" t="s">
        <v>4529</v>
      </c>
      <c r="D1433" s="87" t="s">
        <v>262</v>
      </c>
      <c r="E1433" s="87" t="s">
        <v>278</v>
      </c>
      <c r="F1433" s="87" t="s">
        <v>4529</v>
      </c>
      <c r="I1433" s="87" t="s">
        <v>58</v>
      </c>
      <c r="J1433" s="87" t="s">
        <v>4530</v>
      </c>
      <c r="L1433" s="92"/>
      <c r="M1433" s="93"/>
      <c r="N1433" s="93"/>
      <c r="O1433" s="87" t="s">
        <v>377</v>
      </c>
      <c r="P1433" s="87" t="s">
        <v>2565</v>
      </c>
    </row>
    <row r="1434" ht="15.75" customHeight="1">
      <c r="A1434" s="87" t="s">
        <v>4531</v>
      </c>
      <c r="B1434" s="88">
        <v>1.22E18</v>
      </c>
      <c r="C1434" s="87" t="s">
        <v>4532</v>
      </c>
      <c r="D1434" s="87" t="s">
        <v>262</v>
      </c>
      <c r="E1434" s="87" t="s">
        <v>278</v>
      </c>
      <c r="F1434" s="87" t="s">
        <v>4532</v>
      </c>
      <c r="I1434" s="87" t="s">
        <v>103</v>
      </c>
      <c r="J1434" s="87" t="s">
        <v>2070</v>
      </c>
      <c r="L1434" s="92"/>
      <c r="M1434" s="93"/>
      <c r="N1434" s="93"/>
      <c r="O1434" s="87" t="s">
        <v>377</v>
      </c>
      <c r="P1434" s="87" t="s">
        <v>2565</v>
      </c>
    </row>
    <row r="1435" ht="15.75" customHeight="1">
      <c r="A1435" s="87" t="s">
        <v>4533</v>
      </c>
      <c r="B1435" s="88">
        <v>1.22E18</v>
      </c>
      <c r="C1435" s="87" t="s">
        <v>4534</v>
      </c>
      <c r="D1435" s="87" t="s">
        <v>262</v>
      </c>
      <c r="E1435" s="87" t="s">
        <v>278</v>
      </c>
      <c r="F1435" s="87" t="s">
        <v>4534</v>
      </c>
      <c r="I1435" s="87" t="s">
        <v>103</v>
      </c>
      <c r="J1435" s="87" t="s">
        <v>4535</v>
      </c>
      <c r="L1435" s="92"/>
      <c r="M1435" s="93"/>
      <c r="N1435" s="93"/>
      <c r="O1435" s="87" t="s">
        <v>377</v>
      </c>
      <c r="P1435" s="87" t="s">
        <v>2565</v>
      </c>
    </row>
    <row r="1436" ht="15.75" customHeight="1">
      <c r="A1436" s="87" t="s">
        <v>4536</v>
      </c>
      <c r="B1436" s="88">
        <v>1.22E18</v>
      </c>
      <c r="C1436" s="87" t="s">
        <v>4537</v>
      </c>
      <c r="D1436" s="87" t="s">
        <v>87</v>
      </c>
      <c r="E1436" s="87" t="s">
        <v>88</v>
      </c>
      <c r="F1436" s="87" t="s">
        <v>373</v>
      </c>
      <c r="H1436" s="93"/>
      <c r="I1436" s="87" t="s">
        <v>340</v>
      </c>
      <c r="J1436" s="87" t="s">
        <v>4538</v>
      </c>
      <c r="K1436" s="90">
        <v>800.0</v>
      </c>
      <c r="L1436" s="92"/>
      <c r="M1436" s="93"/>
      <c r="N1436" s="87" t="s">
        <v>2483</v>
      </c>
      <c r="O1436" s="87" t="s">
        <v>377</v>
      </c>
      <c r="P1436" s="87" t="s">
        <v>372</v>
      </c>
    </row>
    <row r="1437" ht="15.75" customHeight="1">
      <c r="A1437" s="87" t="s">
        <v>4539</v>
      </c>
      <c r="B1437" s="88">
        <v>1.22E18</v>
      </c>
      <c r="C1437" s="87" t="s">
        <v>4540</v>
      </c>
      <c r="D1437" s="87" t="s">
        <v>87</v>
      </c>
      <c r="E1437" s="87" t="s">
        <v>88</v>
      </c>
      <c r="F1437" s="87" t="s">
        <v>373</v>
      </c>
      <c r="H1437" s="93"/>
      <c r="I1437" s="87" t="s">
        <v>340</v>
      </c>
      <c r="J1437" s="87" t="s">
        <v>449</v>
      </c>
      <c r="K1437" s="90">
        <v>760.0</v>
      </c>
      <c r="L1437" s="92"/>
      <c r="M1437" s="93"/>
      <c r="N1437" s="87" t="s">
        <v>2483</v>
      </c>
      <c r="O1437" s="87" t="s">
        <v>377</v>
      </c>
      <c r="P1437" s="87" t="s">
        <v>372</v>
      </c>
    </row>
    <row r="1438" ht="15.75" customHeight="1">
      <c r="A1438" s="87" t="s">
        <v>4541</v>
      </c>
      <c r="B1438" s="88">
        <v>1.22E18</v>
      </c>
      <c r="C1438" s="87" t="s">
        <v>4542</v>
      </c>
      <c r="D1438" s="87" t="s">
        <v>87</v>
      </c>
      <c r="E1438" s="87" t="s">
        <v>88</v>
      </c>
      <c r="F1438" s="87" t="s">
        <v>373</v>
      </c>
      <c r="H1438" s="93"/>
      <c r="I1438" s="87" t="s">
        <v>340</v>
      </c>
      <c r="J1438" s="87" t="s">
        <v>4543</v>
      </c>
      <c r="K1438" s="90">
        <v>2497.0</v>
      </c>
      <c r="L1438" s="92"/>
      <c r="M1438" s="93"/>
      <c r="N1438" s="87" t="s">
        <v>2483</v>
      </c>
      <c r="O1438" s="87" t="s">
        <v>377</v>
      </c>
      <c r="P1438" s="87" t="s">
        <v>372</v>
      </c>
    </row>
    <row r="1439" ht="15.75" customHeight="1">
      <c r="A1439" s="87" t="s">
        <v>4544</v>
      </c>
      <c r="B1439" s="88">
        <v>1.22E18</v>
      </c>
      <c r="C1439" s="87" t="s">
        <v>4545</v>
      </c>
      <c r="D1439" s="87" t="s">
        <v>87</v>
      </c>
      <c r="E1439" s="87" t="s">
        <v>88</v>
      </c>
      <c r="F1439" s="87" t="s">
        <v>373</v>
      </c>
      <c r="H1439" s="93"/>
      <c r="I1439" s="87" t="s">
        <v>340</v>
      </c>
      <c r="J1439" s="87" t="s">
        <v>4546</v>
      </c>
      <c r="K1439" s="90">
        <v>1954.0</v>
      </c>
      <c r="L1439" s="92"/>
      <c r="M1439" s="93"/>
      <c r="N1439" s="87" t="s">
        <v>2483</v>
      </c>
      <c r="O1439" s="87" t="s">
        <v>377</v>
      </c>
      <c r="P1439" s="87" t="s">
        <v>372</v>
      </c>
    </row>
    <row r="1440" ht="15.75" customHeight="1">
      <c r="A1440" s="87" t="s">
        <v>4547</v>
      </c>
      <c r="B1440" s="88">
        <v>1.22E18</v>
      </c>
      <c r="C1440" s="87" t="s">
        <v>4548</v>
      </c>
      <c r="D1440" s="87" t="s">
        <v>87</v>
      </c>
      <c r="E1440" s="87" t="s">
        <v>88</v>
      </c>
      <c r="F1440" s="87" t="s">
        <v>373</v>
      </c>
      <c r="H1440" s="93"/>
      <c r="I1440" s="87" t="s">
        <v>340</v>
      </c>
      <c r="J1440" s="87" t="s">
        <v>4549</v>
      </c>
      <c r="K1440" s="90">
        <v>706.4</v>
      </c>
      <c r="L1440" s="92"/>
      <c r="M1440" s="93"/>
      <c r="N1440" s="87" t="s">
        <v>2483</v>
      </c>
      <c r="O1440" s="87" t="s">
        <v>377</v>
      </c>
      <c r="P1440" s="87" t="s">
        <v>372</v>
      </c>
    </row>
    <row r="1441" ht="15.75" customHeight="1">
      <c r="A1441" s="87" t="s">
        <v>4550</v>
      </c>
      <c r="B1441" s="88">
        <v>1.22E18</v>
      </c>
      <c r="C1441" s="87" t="s">
        <v>4551</v>
      </c>
      <c r="D1441" s="87" t="s">
        <v>87</v>
      </c>
      <c r="E1441" s="87" t="s">
        <v>88</v>
      </c>
      <c r="F1441" s="87" t="s">
        <v>373</v>
      </c>
      <c r="H1441" s="93"/>
      <c r="I1441" s="87" t="s">
        <v>340</v>
      </c>
      <c r="J1441" s="87" t="s">
        <v>4552</v>
      </c>
      <c r="K1441" s="90">
        <v>2000.0</v>
      </c>
      <c r="L1441" s="92"/>
      <c r="M1441" s="93"/>
      <c r="N1441" s="87" t="s">
        <v>2483</v>
      </c>
      <c r="O1441" s="87" t="s">
        <v>377</v>
      </c>
      <c r="P1441" s="87" t="s">
        <v>372</v>
      </c>
    </row>
    <row r="1442" ht="15.75" customHeight="1">
      <c r="A1442" s="87" t="s">
        <v>4553</v>
      </c>
      <c r="B1442" s="88">
        <v>1.22E18</v>
      </c>
      <c r="C1442" s="87" t="s">
        <v>4554</v>
      </c>
      <c r="D1442" s="87" t="s">
        <v>87</v>
      </c>
      <c r="E1442" s="87" t="s">
        <v>236</v>
      </c>
      <c r="F1442" s="87" t="s">
        <v>4554</v>
      </c>
      <c r="I1442" s="87" t="s">
        <v>103</v>
      </c>
      <c r="J1442" s="87" t="s">
        <v>405</v>
      </c>
      <c r="K1442" s="90">
        <v>0.0</v>
      </c>
      <c r="L1442" s="92"/>
      <c r="M1442" s="93"/>
      <c r="N1442" s="87" t="s">
        <v>4555</v>
      </c>
      <c r="O1442" s="87" t="s">
        <v>377</v>
      </c>
      <c r="P1442" s="87" t="s">
        <v>372</v>
      </c>
    </row>
    <row r="1443" ht="15.75" customHeight="1">
      <c r="A1443" s="87" t="s">
        <v>4556</v>
      </c>
      <c r="B1443" s="88">
        <v>1.22E18</v>
      </c>
      <c r="C1443" s="87" t="s">
        <v>4557</v>
      </c>
      <c r="D1443" s="87" t="s">
        <v>87</v>
      </c>
      <c r="E1443" s="87" t="s">
        <v>236</v>
      </c>
      <c r="F1443" s="87" t="s">
        <v>4557</v>
      </c>
      <c r="I1443" s="87" t="s">
        <v>103</v>
      </c>
      <c r="J1443" s="87" t="s">
        <v>405</v>
      </c>
      <c r="K1443" s="90">
        <v>0.0</v>
      </c>
      <c r="L1443" s="92"/>
      <c r="M1443" s="93"/>
      <c r="N1443" s="87" t="s">
        <v>4555</v>
      </c>
      <c r="O1443" s="87" t="s">
        <v>377</v>
      </c>
      <c r="P1443" s="87" t="s">
        <v>372</v>
      </c>
    </row>
    <row r="1444" ht="15.75" customHeight="1">
      <c r="A1444" s="87" t="s">
        <v>4558</v>
      </c>
      <c r="B1444" s="88">
        <v>1.22E18</v>
      </c>
      <c r="C1444" s="87" t="s">
        <v>4559</v>
      </c>
      <c r="D1444" s="87" t="s">
        <v>87</v>
      </c>
      <c r="E1444" s="87" t="s">
        <v>236</v>
      </c>
      <c r="F1444" s="87" t="s">
        <v>4559</v>
      </c>
      <c r="I1444" s="87" t="s">
        <v>103</v>
      </c>
      <c r="J1444" s="87" t="s">
        <v>405</v>
      </c>
      <c r="K1444" s="90">
        <v>0.0</v>
      </c>
      <c r="L1444" s="92"/>
      <c r="M1444" s="93"/>
      <c r="N1444" s="87" t="s">
        <v>4555</v>
      </c>
      <c r="O1444" s="87" t="s">
        <v>377</v>
      </c>
      <c r="P1444" s="87" t="s">
        <v>372</v>
      </c>
    </row>
    <row r="1445" ht="15.75" customHeight="1">
      <c r="A1445" s="87" t="s">
        <v>4560</v>
      </c>
      <c r="B1445" s="88">
        <v>1.22E18</v>
      </c>
      <c r="C1445" s="87" t="s">
        <v>4561</v>
      </c>
      <c r="D1445" s="87" t="s">
        <v>87</v>
      </c>
      <c r="E1445" s="87" t="s">
        <v>236</v>
      </c>
      <c r="F1445" s="87" t="s">
        <v>4561</v>
      </c>
      <c r="I1445" s="87" t="s">
        <v>103</v>
      </c>
      <c r="J1445" s="87" t="s">
        <v>405</v>
      </c>
      <c r="K1445" s="90">
        <v>0.0</v>
      </c>
      <c r="L1445" s="92"/>
      <c r="M1445" s="93"/>
      <c r="N1445" s="87" t="s">
        <v>4555</v>
      </c>
      <c r="O1445" s="87" t="s">
        <v>377</v>
      </c>
      <c r="P1445" s="87" t="s">
        <v>372</v>
      </c>
    </row>
    <row r="1446" ht="15.75" customHeight="1">
      <c r="A1446" s="87" t="s">
        <v>4562</v>
      </c>
      <c r="B1446" s="88">
        <v>1.22E18</v>
      </c>
      <c r="C1446" s="87" t="s">
        <v>4563</v>
      </c>
      <c r="D1446" s="87" t="s">
        <v>87</v>
      </c>
      <c r="E1446" s="87" t="s">
        <v>236</v>
      </c>
      <c r="F1446" s="87" t="s">
        <v>4563</v>
      </c>
      <c r="I1446" s="87" t="s">
        <v>103</v>
      </c>
      <c r="J1446" s="87" t="s">
        <v>405</v>
      </c>
      <c r="K1446" s="90">
        <v>0.0</v>
      </c>
      <c r="L1446" s="92"/>
      <c r="M1446" s="93"/>
      <c r="N1446" s="87" t="s">
        <v>4555</v>
      </c>
      <c r="O1446" s="87" t="s">
        <v>377</v>
      </c>
      <c r="P1446" s="87" t="s">
        <v>372</v>
      </c>
    </row>
    <row r="1447" ht="15.75" customHeight="1">
      <c r="A1447" s="87" t="s">
        <v>4564</v>
      </c>
      <c r="B1447" s="88">
        <v>1.22E18</v>
      </c>
      <c r="C1447" s="87" t="s">
        <v>4565</v>
      </c>
      <c r="D1447" s="87" t="s">
        <v>87</v>
      </c>
      <c r="E1447" s="87" t="s">
        <v>236</v>
      </c>
      <c r="F1447" s="87" t="s">
        <v>4565</v>
      </c>
      <c r="I1447" s="87" t="s">
        <v>103</v>
      </c>
      <c r="J1447" s="87" t="s">
        <v>405</v>
      </c>
      <c r="K1447" s="90">
        <v>0.0</v>
      </c>
      <c r="L1447" s="92"/>
      <c r="M1447" s="93"/>
      <c r="N1447" s="87" t="s">
        <v>4555</v>
      </c>
      <c r="O1447" s="87" t="s">
        <v>377</v>
      </c>
      <c r="P1447" s="87" t="s">
        <v>372</v>
      </c>
    </row>
    <row r="1448" ht="15.75" customHeight="1">
      <c r="A1448" s="87" t="s">
        <v>4566</v>
      </c>
      <c r="B1448" s="88">
        <v>1.22E18</v>
      </c>
      <c r="C1448" s="87" t="s">
        <v>4567</v>
      </c>
      <c r="D1448" s="87" t="s">
        <v>87</v>
      </c>
      <c r="E1448" s="87" t="s">
        <v>236</v>
      </c>
      <c r="F1448" s="87" t="s">
        <v>4567</v>
      </c>
      <c r="I1448" s="87" t="s">
        <v>103</v>
      </c>
      <c r="J1448" s="87" t="s">
        <v>405</v>
      </c>
      <c r="K1448" s="90">
        <v>0.0</v>
      </c>
      <c r="L1448" s="92"/>
      <c r="M1448" s="93"/>
      <c r="N1448" s="87" t="s">
        <v>4555</v>
      </c>
      <c r="O1448" s="87" t="s">
        <v>377</v>
      </c>
      <c r="P1448" s="87" t="s">
        <v>372</v>
      </c>
    </row>
    <row r="1449" ht="15.75" customHeight="1">
      <c r="A1449" s="87" t="s">
        <v>4568</v>
      </c>
      <c r="B1449" s="88">
        <v>1.22E18</v>
      </c>
      <c r="C1449" s="87" t="s">
        <v>4569</v>
      </c>
      <c r="D1449" s="87" t="s">
        <v>87</v>
      </c>
      <c r="E1449" s="87" t="s">
        <v>236</v>
      </c>
      <c r="F1449" s="118" t="s">
        <v>4569</v>
      </c>
      <c r="G1449" s="130"/>
      <c r="H1449" s="119"/>
      <c r="I1449" s="87" t="s">
        <v>103</v>
      </c>
      <c r="J1449" s="87" t="s">
        <v>405</v>
      </c>
      <c r="K1449" s="90">
        <v>0.0</v>
      </c>
      <c r="L1449" s="92"/>
      <c r="M1449" s="93"/>
      <c r="N1449" s="87" t="s">
        <v>4555</v>
      </c>
      <c r="O1449" s="87" t="s">
        <v>377</v>
      </c>
      <c r="P1449" s="87" t="s">
        <v>372</v>
      </c>
    </row>
    <row r="1450" ht="15.75" customHeight="1">
      <c r="A1450" s="87" t="s">
        <v>4570</v>
      </c>
      <c r="B1450" s="88">
        <v>1.22E18</v>
      </c>
      <c r="C1450" s="87" t="s">
        <v>4571</v>
      </c>
      <c r="D1450" s="87" t="s">
        <v>87</v>
      </c>
      <c r="E1450" s="87" t="s">
        <v>236</v>
      </c>
      <c r="F1450" s="87" t="s">
        <v>4571</v>
      </c>
      <c r="I1450" s="87" t="s">
        <v>103</v>
      </c>
      <c r="J1450" s="87" t="s">
        <v>405</v>
      </c>
      <c r="K1450" s="90">
        <v>0.0</v>
      </c>
      <c r="L1450" s="92"/>
      <c r="M1450" s="93"/>
      <c r="N1450" s="87" t="s">
        <v>4555</v>
      </c>
      <c r="O1450" s="87" t="s">
        <v>377</v>
      </c>
      <c r="P1450" s="87" t="s">
        <v>372</v>
      </c>
    </row>
    <row r="1451" ht="15.75" customHeight="1">
      <c r="A1451" s="87" t="s">
        <v>4572</v>
      </c>
      <c r="B1451" s="88">
        <v>1.22E18</v>
      </c>
      <c r="C1451" s="87" t="s">
        <v>4573</v>
      </c>
      <c r="D1451" s="87" t="s">
        <v>87</v>
      </c>
      <c r="E1451" s="87" t="s">
        <v>236</v>
      </c>
      <c r="F1451" s="118" t="s">
        <v>4573</v>
      </c>
      <c r="G1451" s="130"/>
      <c r="H1451" s="119"/>
      <c r="I1451" s="87" t="s">
        <v>103</v>
      </c>
      <c r="J1451" s="87" t="s">
        <v>405</v>
      </c>
      <c r="K1451" s="90">
        <v>0.0</v>
      </c>
      <c r="L1451" s="92"/>
      <c r="M1451" s="93"/>
      <c r="N1451" s="87" t="s">
        <v>4555</v>
      </c>
      <c r="O1451" s="87" t="s">
        <v>377</v>
      </c>
      <c r="P1451" s="87" t="s">
        <v>372</v>
      </c>
    </row>
    <row r="1452" ht="15.75" customHeight="1">
      <c r="A1452" s="87" t="s">
        <v>4574</v>
      </c>
      <c r="B1452" s="88">
        <v>1.22E18</v>
      </c>
      <c r="C1452" s="87" t="s">
        <v>4575</v>
      </c>
      <c r="D1452" s="87" t="s">
        <v>87</v>
      </c>
      <c r="E1452" s="87" t="s">
        <v>236</v>
      </c>
      <c r="F1452" s="118" t="s">
        <v>4575</v>
      </c>
      <c r="G1452" s="130"/>
      <c r="H1452" s="119"/>
      <c r="I1452" s="87" t="s">
        <v>103</v>
      </c>
      <c r="J1452" s="87" t="s">
        <v>405</v>
      </c>
      <c r="K1452" s="90">
        <v>0.0</v>
      </c>
      <c r="L1452" s="92"/>
      <c r="M1452" s="93"/>
      <c r="N1452" s="87" t="s">
        <v>4555</v>
      </c>
      <c r="O1452" s="87" t="s">
        <v>377</v>
      </c>
      <c r="P1452" s="87" t="s">
        <v>372</v>
      </c>
    </row>
    <row r="1453" ht="15.75" customHeight="1">
      <c r="A1453" s="87" t="s">
        <v>4576</v>
      </c>
      <c r="B1453" s="88">
        <v>1.22E18</v>
      </c>
      <c r="C1453" s="87" t="s">
        <v>4577</v>
      </c>
      <c r="D1453" s="87" t="s">
        <v>87</v>
      </c>
      <c r="E1453" s="87" t="s">
        <v>236</v>
      </c>
      <c r="F1453" s="87" t="s">
        <v>4577</v>
      </c>
      <c r="I1453" s="87" t="s">
        <v>103</v>
      </c>
      <c r="J1453" s="87" t="s">
        <v>405</v>
      </c>
      <c r="K1453" s="90">
        <v>0.0</v>
      </c>
      <c r="L1453" s="92"/>
      <c r="M1453" s="93"/>
      <c r="N1453" s="87" t="s">
        <v>4555</v>
      </c>
      <c r="O1453" s="87" t="s">
        <v>377</v>
      </c>
      <c r="P1453" s="87" t="s">
        <v>372</v>
      </c>
    </row>
    <row r="1454" ht="15.75" customHeight="1">
      <c r="A1454" s="87" t="s">
        <v>4578</v>
      </c>
      <c r="B1454" s="88">
        <v>1.22E18</v>
      </c>
      <c r="C1454" s="87" t="s">
        <v>4579</v>
      </c>
      <c r="D1454" s="87" t="s">
        <v>87</v>
      </c>
      <c r="E1454" s="87" t="s">
        <v>236</v>
      </c>
      <c r="F1454" s="87" t="s">
        <v>4579</v>
      </c>
      <c r="I1454" s="87" t="s">
        <v>103</v>
      </c>
      <c r="J1454" s="87" t="s">
        <v>405</v>
      </c>
      <c r="K1454" s="90">
        <v>0.0</v>
      </c>
      <c r="L1454" s="92"/>
      <c r="M1454" s="93"/>
      <c r="N1454" s="87" t="s">
        <v>4555</v>
      </c>
      <c r="O1454" s="87" t="s">
        <v>377</v>
      </c>
      <c r="P1454" s="87" t="s">
        <v>372</v>
      </c>
    </row>
    <row r="1455" ht="15.75" customHeight="1">
      <c r="A1455" s="87" t="s">
        <v>4580</v>
      </c>
      <c r="B1455" s="88">
        <v>1.22E18</v>
      </c>
      <c r="C1455" s="87" t="s">
        <v>4581</v>
      </c>
      <c r="D1455" s="87" t="s">
        <v>87</v>
      </c>
      <c r="E1455" s="87" t="s">
        <v>236</v>
      </c>
      <c r="F1455" s="118" t="s">
        <v>4581</v>
      </c>
      <c r="G1455" s="130"/>
      <c r="H1455" s="119"/>
      <c r="I1455" s="87" t="s">
        <v>103</v>
      </c>
      <c r="J1455" s="87" t="s">
        <v>405</v>
      </c>
      <c r="K1455" s="90">
        <v>0.0</v>
      </c>
      <c r="L1455" s="92"/>
      <c r="M1455" s="93"/>
      <c r="N1455" s="87" t="s">
        <v>4555</v>
      </c>
      <c r="O1455" s="87" t="s">
        <v>377</v>
      </c>
      <c r="P1455" s="87" t="s">
        <v>372</v>
      </c>
    </row>
    <row r="1456" ht="15.75" customHeight="1">
      <c r="A1456" s="87" t="s">
        <v>4582</v>
      </c>
      <c r="B1456" s="88">
        <v>1.22E18</v>
      </c>
      <c r="C1456" s="87" t="s">
        <v>4583</v>
      </c>
      <c r="D1456" s="87" t="s">
        <v>87</v>
      </c>
      <c r="E1456" s="87" t="s">
        <v>236</v>
      </c>
      <c r="F1456" s="87" t="s">
        <v>4583</v>
      </c>
      <c r="I1456" s="87" t="s">
        <v>103</v>
      </c>
      <c r="J1456" s="87" t="s">
        <v>405</v>
      </c>
      <c r="K1456" s="90">
        <v>0.0</v>
      </c>
      <c r="L1456" s="92"/>
      <c r="M1456" s="93"/>
      <c r="N1456" s="87" t="s">
        <v>4555</v>
      </c>
      <c r="O1456" s="87" t="s">
        <v>377</v>
      </c>
      <c r="P1456" s="87" t="s">
        <v>372</v>
      </c>
    </row>
    <row r="1457" ht="15.75" customHeight="1">
      <c r="A1457" s="87" t="s">
        <v>4584</v>
      </c>
      <c r="B1457" s="88">
        <v>1.22E18</v>
      </c>
      <c r="C1457" s="87" t="s">
        <v>4585</v>
      </c>
      <c r="D1457" s="87" t="s">
        <v>87</v>
      </c>
      <c r="E1457" s="87" t="s">
        <v>236</v>
      </c>
      <c r="F1457" s="87" t="s">
        <v>4585</v>
      </c>
      <c r="I1457" s="87" t="s">
        <v>103</v>
      </c>
      <c r="J1457" s="87" t="s">
        <v>405</v>
      </c>
      <c r="K1457" s="90">
        <v>0.0</v>
      </c>
      <c r="L1457" s="92"/>
      <c r="M1457" s="93"/>
      <c r="N1457" s="87" t="s">
        <v>4555</v>
      </c>
      <c r="O1457" s="87" t="s">
        <v>377</v>
      </c>
      <c r="P1457" s="87" t="s">
        <v>372</v>
      </c>
    </row>
    <row r="1458" ht="15.75" customHeight="1">
      <c r="A1458" s="87" t="s">
        <v>4586</v>
      </c>
      <c r="B1458" s="88">
        <v>1.22E18</v>
      </c>
      <c r="C1458" s="87" t="s">
        <v>4587</v>
      </c>
      <c r="D1458" s="87" t="s">
        <v>87</v>
      </c>
      <c r="E1458" s="87" t="s">
        <v>236</v>
      </c>
      <c r="F1458" s="87" t="s">
        <v>4587</v>
      </c>
      <c r="I1458" s="87" t="s">
        <v>103</v>
      </c>
      <c r="J1458" s="87" t="s">
        <v>405</v>
      </c>
      <c r="K1458" s="90">
        <v>0.0</v>
      </c>
      <c r="L1458" s="92"/>
      <c r="M1458" s="93"/>
      <c r="N1458" s="87" t="s">
        <v>4555</v>
      </c>
      <c r="O1458" s="87" t="s">
        <v>377</v>
      </c>
      <c r="P1458" s="87" t="s">
        <v>372</v>
      </c>
    </row>
    <row r="1459" ht="15.75" customHeight="1">
      <c r="A1459" s="87" t="s">
        <v>4588</v>
      </c>
      <c r="B1459" s="88">
        <v>1.22E18</v>
      </c>
      <c r="C1459" s="87" t="s">
        <v>4589</v>
      </c>
      <c r="D1459" s="87" t="s">
        <v>87</v>
      </c>
      <c r="E1459" s="87" t="s">
        <v>236</v>
      </c>
      <c r="F1459" s="118" t="s">
        <v>4589</v>
      </c>
      <c r="G1459" s="130"/>
      <c r="H1459" s="119"/>
      <c r="I1459" s="87" t="s">
        <v>103</v>
      </c>
      <c r="J1459" s="87" t="s">
        <v>405</v>
      </c>
      <c r="K1459" s="90">
        <v>0.0</v>
      </c>
      <c r="L1459" s="92"/>
      <c r="M1459" s="93"/>
      <c r="N1459" s="87" t="s">
        <v>4555</v>
      </c>
      <c r="O1459" s="87" t="s">
        <v>377</v>
      </c>
      <c r="P1459" s="87" t="s">
        <v>372</v>
      </c>
    </row>
    <row r="1460" ht="15.75" customHeight="1">
      <c r="A1460" s="87" t="s">
        <v>4590</v>
      </c>
      <c r="B1460" s="88">
        <v>1.22E18</v>
      </c>
      <c r="C1460" s="87" t="s">
        <v>4591</v>
      </c>
      <c r="D1460" s="87" t="s">
        <v>87</v>
      </c>
      <c r="E1460" s="87" t="s">
        <v>236</v>
      </c>
      <c r="F1460" s="87" t="s">
        <v>4591</v>
      </c>
      <c r="I1460" s="87" t="s">
        <v>103</v>
      </c>
      <c r="J1460" s="87" t="s">
        <v>405</v>
      </c>
      <c r="K1460" s="90">
        <v>0.0</v>
      </c>
      <c r="L1460" s="92"/>
      <c r="M1460" s="93"/>
      <c r="N1460" s="87" t="s">
        <v>4555</v>
      </c>
      <c r="O1460" s="87" t="s">
        <v>377</v>
      </c>
      <c r="P1460" s="87" t="s">
        <v>372</v>
      </c>
    </row>
    <row r="1461" ht="15.75" customHeight="1">
      <c r="A1461" s="87" t="s">
        <v>4592</v>
      </c>
      <c r="B1461" s="88">
        <v>1.22E18</v>
      </c>
      <c r="C1461" s="87" t="s">
        <v>4593</v>
      </c>
      <c r="D1461" s="87" t="s">
        <v>87</v>
      </c>
      <c r="E1461" s="87" t="s">
        <v>236</v>
      </c>
      <c r="F1461" s="118" t="s">
        <v>4593</v>
      </c>
      <c r="G1461" s="130"/>
      <c r="H1461" s="119"/>
      <c r="I1461" s="87" t="s">
        <v>103</v>
      </c>
      <c r="J1461" s="87" t="s">
        <v>405</v>
      </c>
      <c r="K1461" s="90">
        <v>0.0</v>
      </c>
      <c r="L1461" s="92"/>
      <c r="M1461" s="93"/>
      <c r="N1461" s="87" t="s">
        <v>4555</v>
      </c>
      <c r="O1461" s="87" t="s">
        <v>377</v>
      </c>
      <c r="P1461" s="87" t="s">
        <v>372</v>
      </c>
    </row>
    <row r="1462" ht="15.75" customHeight="1">
      <c r="A1462" s="87" t="s">
        <v>4594</v>
      </c>
      <c r="B1462" s="88">
        <v>1.22E18</v>
      </c>
      <c r="C1462" s="87" t="s">
        <v>4595</v>
      </c>
      <c r="D1462" s="87" t="s">
        <v>262</v>
      </c>
      <c r="E1462" s="87" t="s">
        <v>270</v>
      </c>
      <c r="F1462" s="87" t="s">
        <v>4595</v>
      </c>
      <c r="I1462" s="87" t="s">
        <v>58</v>
      </c>
      <c r="J1462" s="87" t="s">
        <v>4596</v>
      </c>
      <c r="K1462" s="90">
        <v>0.0</v>
      </c>
      <c r="L1462" s="92"/>
      <c r="M1462" s="93"/>
      <c r="N1462" s="93"/>
      <c r="O1462" s="87" t="s">
        <v>377</v>
      </c>
      <c r="P1462" s="87" t="s">
        <v>372</v>
      </c>
    </row>
    <row r="1463" ht="15.75" customHeight="1">
      <c r="A1463" s="87" t="s">
        <v>4597</v>
      </c>
      <c r="B1463" s="88">
        <v>1.22E18</v>
      </c>
      <c r="C1463" s="87" t="s">
        <v>4598</v>
      </c>
      <c r="D1463" s="87" t="s">
        <v>262</v>
      </c>
      <c r="E1463" s="87" t="s">
        <v>263</v>
      </c>
      <c r="F1463" s="87" t="s">
        <v>415</v>
      </c>
      <c r="G1463" s="93"/>
      <c r="H1463" s="93"/>
      <c r="I1463" s="87" t="s">
        <v>58</v>
      </c>
      <c r="J1463" s="87" t="s">
        <v>4599</v>
      </c>
      <c r="K1463" s="90">
        <v>1.0</v>
      </c>
      <c r="L1463" s="92"/>
      <c r="M1463" s="93"/>
      <c r="N1463" s="87" t="s">
        <v>4600</v>
      </c>
      <c r="O1463" s="87" t="s">
        <v>377</v>
      </c>
      <c r="P1463" s="87" t="s">
        <v>372</v>
      </c>
    </row>
    <row r="1464" ht="15.75" customHeight="1">
      <c r="A1464" s="87" t="s">
        <v>4601</v>
      </c>
      <c r="B1464" s="88">
        <v>1.22E18</v>
      </c>
      <c r="C1464" s="87" t="s">
        <v>4602</v>
      </c>
      <c r="D1464" s="87" t="s">
        <v>262</v>
      </c>
      <c r="E1464" s="87" t="s">
        <v>263</v>
      </c>
      <c r="F1464" s="87" t="s">
        <v>415</v>
      </c>
      <c r="G1464" s="93"/>
      <c r="H1464" s="93"/>
      <c r="I1464" s="87" t="s">
        <v>58</v>
      </c>
      <c r="J1464" s="87" t="s">
        <v>4603</v>
      </c>
      <c r="K1464" s="90">
        <v>1.0</v>
      </c>
      <c r="L1464" s="92"/>
      <c r="M1464" s="93"/>
      <c r="N1464" s="87" t="s">
        <v>4600</v>
      </c>
      <c r="O1464" s="87" t="s">
        <v>377</v>
      </c>
      <c r="P1464" s="87" t="s">
        <v>372</v>
      </c>
    </row>
    <row r="1465" ht="15.75" customHeight="1">
      <c r="A1465" s="87" t="s">
        <v>4604</v>
      </c>
      <c r="B1465" s="88">
        <v>1.22E18</v>
      </c>
      <c r="C1465" s="87" t="s">
        <v>4605</v>
      </c>
      <c r="D1465" s="87" t="s">
        <v>262</v>
      </c>
      <c r="E1465" s="87" t="s">
        <v>263</v>
      </c>
      <c r="F1465" s="87" t="s">
        <v>415</v>
      </c>
      <c r="G1465" s="93"/>
      <c r="H1465" s="93"/>
      <c r="I1465" s="87" t="s">
        <v>58</v>
      </c>
      <c r="J1465" s="87" t="s">
        <v>4606</v>
      </c>
      <c r="K1465" s="90">
        <v>1.0</v>
      </c>
      <c r="L1465" s="92"/>
      <c r="M1465" s="93"/>
      <c r="N1465" s="87" t="s">
        <v>4600</v>
      </c>
      <c r="O1465" s="87" t="s">
        <v>377</v>
      </c>
      <c r="P1465" s="87" t="s">
        <v>372</v>
      </c>
    </row>
    <row r="1466" ht="15.75" customHeight="1">
      <c r="A1466" s="87" t="s">
        <v>4607</v>
      </c>
      <c r="B1466" s="88">
        <v>1.22E18</v>
      </c>
      <c r="C1466" s="87" t="s">
        <v>4608</v>
      </c>
      <c r="D1466" s="87" t="s">
        <v>87</v>
      </c>
      <c r="E1466" s="87" t="s">
        <v>88</v>
      </c>
      <c r="F1466" s="87" t="s">
        <v>4608</v>
      </c>
      <c r="I1466" s="87" t="s">
        <v>58</v>
      </c>
      <c r="J1466" s="87" t="s">
        <v>2092</v>
      </c>
      <c r="K1466" s="90">
        <v>0.0</v>
      </c>
      <c r="L1466" s="92"/>
      <c r="M1466" s="93"/>
      <c r="N1466" s="87" t="s">
        <v>4600</v>
      </c>
      <c r="O1466" s="87" t="s">
        <v>377</v>
      </c>
      <c r="P1466" s="87" t="s">
        <v>372</v>
      </c>
    </row>
    <row r="1467" ht="15.75" customHeight="1">
      <c r="A1467" s="87" t="s">
        <v>4609</v>
      </c>
      <c r="B1467" s="88">
        <v>1.22E18</v>
      </c>
      <c r="C1467" s="87" t="s">
        <v>4610</v>
      </c>
      <c r="D1467" s="87" t="s">
        <v>262</v>
      </c>
      <c r="E1467" s="87" t="s">
        <v>263</v>
      </c>
      <c r="F1467" s="87" t="s">
        <v>415</v>
      </c>
      <c r="G1467" s="93"/>
      <c r="H1467" s="93"/>
      <c r="I1467" s="87" t="s">
        <v>58</v>
      </c>
      <c r="J1467" s="87" t="s">
        <v>4611</v>
      </c>
      <c r="K1467" s="90">
        <v>3.0</v>
      </c>
      <c r="L1467" s="92"/>
      <c r="M1467" s="93"/>
      <c r="N1467" s="87" t="s">
        <v>4600</v>
      </c>
      <c r="O1467" s="87" t="s">
        <v>377</v>
      </c>
      <c r="P1467" s="87" t="s">
        <v>372</v>
      </c>
    </row>
    <row r="1468" ht="15.75" customHeight="1">
      <c r="A1468" s="87" t="s">
        <v>4612</v>
      </c>
      <c r="B1468" s="88">
        <v>1.22E18</v>
      </c>
      <c r="C1468" s="87" t="s">
        <v>4613</v>
      </c>
      <c r="D1468" s="87" t="s">
        <v>56</v>
      </c>
      <c r="E1468" s="87" t="s">
        <v>248</v>
      </c>
      <c r="F1468" s="87" t="s">
        <v>2769</v>
      </c>
      <c r="G1468" s="93"/>
      <c r="H1468" s="93"/>
      <c r="I1468" s="87" t="s">
        <v>58</v>
      </c>
      <c r="J1468" s="87" t="s">
        <v>3075</v>
      </c>
      <c r="K1468" s="90">
        <v>0.0</v>
      </c>
      <c r="L1468" s="92"/>
      <c r="M1468" s="93"/>
      <c r="N1468" s="87" t="s">
        <v>111</v>
      </c>
      <c r="O1468" s="87" t="s">
        <v>377</v>
      </c>
      <c r="P1468" s="87" t="s">
        <v>372</v>
      </c>
    </row>
    <row r="1469" ht="15.75" customHeight="1">
      <c r="A1469" s="87" t="s">
        <v>4614</v>
      </c>
      <c r="B1469" s="88">
        <v>1.22E18</v>
      </c>
      <c r="C1469" s="87" t="s">
        <v>4615</v>
      </c>
      <c r="D1469" s="87" t="s">
        <v>87</v>
      </c>
      <c r="E1469" s="87" t="s">
        <v>88</v>
      </c>
      <c r="F1469" s="87" t="s">
        <v>4615</v>
      </c>
      <c r="G1469" s="93"/>
      <c r="H1469" s="93"/>
      <c r="I1469" s="87" t="s">
        <v>58</v>
      </c>
      <c r="J1469" s="87" t="s">
        <v>4616</v>
      </c>
      <c r="K1469" s="90">
        <v>0.0</v>
      </c>
      <c r="L1469" s="92"/>
      <c r="M1469" s="93"/>
      <c r="N1469" s="87" t="s">
        <v>4617</v>
      </c>
      <c r="O1469" s="87" t="s">
        <v>377</v>
      </c>
      <c r="P1469" s="87" t="s">
        <v>372</v>
      </c>
    </row>
    <row r="1470" ht="15.75" customHeight="1">
      <c r="A1470" s="87" t="s">
        <v>4618</v>
      </c>
      <c r="B1470" s="88">
        <v>1.22E18</v>
      </c>
      <c r="C1470" s="87" t="s">
        <v>4619</v>
      </c>
      <c r="D1470" s="87" t="s">
        <v>56</v>
      </c>
      <c r="E1470" s="87" t="s">
        <v>142</v>
      </c>
      <c r="F1470" s="87" t="s">
        <v>4619</v>
      </c>
      <c r="I1470" s="87" t="s">
        <v>58</v>
      </c>
      <c r="J1470" s="87" t="s">
        <v>4620</v>
      </c>
      <c r="K1470" s="90">
        <v>0.0</v>
      </c>
      <c r="L1470" s="92"/>
      <c r="M1470" s="93"/>
      <c r="N1470" s="87" t="s">
        <v>111</v>
      </c>
      <c r="O1470" s="87" t="s">
        <v>377</v>
      </c>
      <c r="P1470" s="87" t="s">
        <v>372</v>
      </c>
    </row>
    <row r="1471" ht="15.75" customHeight="1">
      <c r="A1471" s="87" t="s">
        <v>4621</v>
      </c>
      <c r="B1471" s="88">
        <v>1.22E18</v>
      </c>
      <c r="C1471" s="87" t="s">
        <v>4622</v>
      </c>
      <c r="D1471" s="87" t="s">
        <v>262</v>
      </c>
      <c r="E1471" s="87" t="s">
        <v>270</v>
      </c>
      <c r="F1471" s="87" t="s">
        <v>4622</v>
      </c>
      <c r="I1471" s="87" t="s">
        <v>58</v>
      </c>
      <c r="J1471" s="87" t="s">
        <v>3703</v>
      </c>
      <c r="K1471" s="90">
        <v>0.0</v>
      </c>
      <c r="L1471" s="92"/>
      <c r="M1471" s="93"/>
      <c r="N1471" s="87" t="s">
        <v>1808</v>
      </c>
      <c r="O1471" s="87" t="s">
        <v>377</v>
      </c>
      <c r="P1471" s="87" t="s">
        <v>372</v>
      </c>
    </row>
    <row r="1472" ht="15.75" customHeight="1">
      <c r="A1472" s="87" t="s">
        <v>4623</v>
      </c>
      <c r="B1472" s="88">
        <v>1.22E18</v>
      </c>
      <c r="C1472" s="87" t="s">
        <v>4624</v>
      </c>
      <c r="D1472" s="87" t="s">
        <v>262</v>
      </c>
      <c r="E1472" s="87" t="s">
        <v>270</v>
      </c>
      <c r="F1472" s="87" t="s">
        <v>4624</v>
      </c>
      <c r="I1472" s="87" t="s">
        <v>58</v>
      </c>
      <c r="J1472" s="87" t="s">
        <v>3377</v>
      </c>
      <c r="K1472" s="90">
        <v>0.0</v>
      </c>
      <c r="L1472" s="92"/>
      <c r="M1472" s="93"/>
      <c r="N1472" s="87" t="s">
        <v>1808</v>
      </c>
      <c r="O1472" s="87" t="s">
        <v>377</v>
      </c>
      <c r="P1472" s="87" t="s">
        <v>372</v>
      </c>
    </row>
    <row r="1473" ht="15.75" customHeight="1">
      <c r="A1473" s="87" t="s">
        <v>4625</v>
      </c>
      <c r="B1473" s="88">
        <v>1.22E18</v>
      </c>
      <c r="C1473" s="87" t="s">
        <v>4626</v>
      </c>
      <c r="D1473" s="87" t="s">
        <v>262</v>
      </c>
      <c r="E1473" s="87" t="s">
        <v>270</v>
      </c>
      <c r="F1473" s="87" t="s">
        <v>4626</v>
      </c>
      <c r="I1473" s="87" t="s">
        <v>58</v>
      </c>
      <c r="J1473" s="87" t="s">
        <v>4627</v>
      </c>
      <c r="K1473" s="90">
        <v>0.0</v>
      </c>
      <c r="L1473" s="92"/>
      <c r="M1473" s="93"/>
      <c r="N1473" s="87" t="s">
        <v>1808</v>
      </c>
      <c r="O1473" s="87" t="s">
        <v>377</v>
      </c>
      <c r="P1473" s="87" t="s">
        <v>372</v>
      </c>
    </row>
    <row r="1474" ht="15.75" customHeight="1">
      <c r="A1474" s="87" t="s">
        <v>4628</v>
      </c>
      <c r="B1474" s="88">
        <v>1.22E18</v>
      </c>
      <c r="C1474" s="87" t="s">
        <v>4629</v>
      </c>
      <c r="D1474" s="87" t="s">
        <v>262</v>
      </c>
      <c r="E1474" s="87" t="s">
        <v>270</v>
      </c>
      <c r="F1474" s="118" t="s">
        <v>4629</v>
      </c>
      <c r="G1474" s="130"/>
      <c r="H1474" s="119"/>
      <c r="I1474" s="87" t="s">
        <v>58</v>
      </c>
      <c r="J1474" s="87" t="s">
        <v>3711</v>
      </c>
      <c r="K1474" s="90">
        <v>0.0</v>
      </c>
      <c r="L1474" s="92"/>
      <c r="M1474" s="93"/>
      <c r="N1474" s="87" t="s">
        <v>1808</v>
      </c>
      <c r="O1474" s="87" t="s">
        <v>377</v>
      </c>
      <c r="P1474" s="87" t="s">
        <v>372</v>
      </c>
    </row>
    <row r="1475" ht="15.75" customHeight="1">
      <c r="A1475" s="87" t="s">
        <v>4630</v>
      </c>
      <c r="B1475" s="88">
        <v>1.22E18</v>
      </c>
      <c r="C1475" s="87" t="s">
        <v>4631</v>
      </c>
      <c r="D1475" s="87" t="s">
        <v>262</v>
      </c>
      <c r="E1475" s="87" t="s">
        <v>270</v>
      </c>
      <c r="F1475" s="87" t="s">
        <v>4631</v>
      </c>
      <c r="I1475" s="87" t="s">
        <v>58</v>
      </c>
      <c r="J1475" s="87" t="s">
        <v>4632</v>
      </c>
      <c r="K1475" s="90">
        <v>0.0</v>
      </c>
      <c r="L1475" s="92"/>
      <c r="M1475" s="93"/>
      <c r="N1475" s="87" t="s">
        <v>1808</v>
      </c>
      <c r="O1475" s="87" t="s">
        <v>377</v>
      </c>
      <c r="P1475" s="87" t="s">
        <v>372</v>
      </c>
    </row>
    <row r="1476" ht="15.75" customHeight="1">
      <c r="A1476" s="87" t="s">
        <v>4633</v>
      </c>
      <c r="B1476" s="88">
        <v>1.22E18</v>
      </c>
      <c r="C1476" s="87" t="s">
        <v>4634</v>
      </c>
      <c r="D1476" s="87" t="s">
        <v>262</v>
      </c>
      <c r="E1476" s="87" t="s">
        <v>270</v>
      </c>
      <c r="F1476" s="87" t="s">
        <v>4634</v>
      </c>
      <c r="I1476" s="87" t="s">
        <v>58</v>
      </c>
      <c r="J1476" s="87" t="s">
        <v>2801</v>
      </c>
      <c r="K1476" s="90">
        <v>0.0</v>
      </c>
      <c r="L1476" s="92"/>
      <c r="M1476" s="93"/>
      <c r="N1476" s="87" t="s">
        <v>1808</v>
      </c>
      <c r="O1476" s="87" t="s">
        <v>377</v>
      </c>
      <c r="P1476" s="87" t="s">
        <v>372</v>
      </c>
    </row>
    <row r="1477" ht="15.75" customHeight="1">
      <c r="A1477" s="87" t="s">
        <v>4635</v>
      </c>
      <c r="B1477" s="88">
        <v>1.22E18</v>
      </c>
      <c r="C1477" s="87" t="s">
        <v>4636</v>
      </c>
      <c r="D1477" s="87" t="s">
        <v>262</v>
      </c>
      <c r="E1477" s="87" t="s">
        <v>270</v>
      </c>
      <c r="F1477" s="87" t="s">
        <v>4636</v>
      </c>
      <c r="I1477" s="87" t="s">
        <v>58</v>
      </c>
      <c r="J1477" s="87" t="s">
        <v>3377</v>
      </c>
      <c r="K1477" s="90">
        <v>0.0</v>
      </c>
      <c r="L1477" s="92"/>
      <c r="M1477" s="93"/>
      <c r="N1477" s="87" t="s">
        <v>1808</v>
      </c>
      <c r="O1477" s="87" t="s">
        <v>377</v>
      </c>
      <c r="P1477" s="87" t="s">
        <v>372</v>
      </c>
    </row>
    <row r="1478" ht="15.75" customHeight="1">
      <c r="A1478" s="87" t="s">
        <v>4637</v>
      </c>
      <c r="B1478" s="88">
        <v>1.22E18</v>
      </c>
      <c r="C1478" s="87" t="s">
        <v>4638</v>
      </c>
      <c r="D1478" s="87" t="s">
        <v>262</v>
      </c>
      <c r="E1478" s="87" t="s">
        <v>270</v>
      </c>
      <c r="F1478" s="118" t="s">
        <v>4638</v>
      </c>
      <c r="G1478" s="130"/>
      <c r="H1478" s="119"/>
      <c r="I1478" s="87" t="s">
        <v>58</v>
      </c>
      <c r="J1478" s="87" t="s">
        <v>3377</v>
      </c>
      <c r="K1478" s="90">
        <v>0.0</v>
      </c>
      <c r="L1478" s="92"/>
      <c r="M1478" s="93"/>
      <c r="N1478" s="87" t="s">
        <v>1808</v>
      </c>
      <c r="O1478" s="87" t="s">
        <v>377</v>
      </c>
      <c r="P1478" s="87" t="s">
        <v>372</v>
      </c>
    </row>
    <row r="1479" ht="15.75" customHeight="1">
      <c r="A1479" s="87" t="s">
        <v>4639</v>
      </c>
      <c r="B1479" s="88">
        <v>1.22E18</v>
      </c>
      <c r="C1479" s="87" t="s">
        <v>4640</v>
      </c>
      <c r="D1479" s="87" t="s">
        <v>262</v>
      </c>
      <c r="E1479" s="87" t="s">
        <v>267</v>
      </c>
      <c r="F1479" s="118" t="s">
        <v>4640</v>
      </c>
      <c r="G1479" s="130"/>
      <c r="H1479" s="119"/>
      <c r="I1479" s="87" t="s">
        <v>58</v>
      </c>
      <c r="J1479" s="87" t="s">
        <v>3386</v>
      </c>
      <c r="K1479" s="90">
        <v>0.0</v>
      </c>
      <c r="L1479" s="92"/>
      <c r="M1479" s="93"/>
      <c r="N1479" s="87" t="s">
        <v>1808</v>
      </c>
      <c r="O1479" s="87" t="s">
        <v>377</v>
      </c>
      <c r="P1479" s="87" t="s">
        <v>372</v>
      </c>
    </row>
    <row r="1480" ht="15.75" customHeight="1">
      <c r="A1480" s="87" t="s">
        <v>4641</v>
      </c>
      <c r="B1480" s="88">
        <v>1.22E18</v>
      </c>
      <c r="C1480" s="87" t="s">
        <v>4642</v>
      </c>
      <c r="D1480" s="87" t="s">
        <v>262</v>
      </c>
      <c r="E1480" s="87" t="s">
        <v>270</v>
      </c>
      <c r="F1480" s="87" t="s">
        <v>4642</v>
      </c>
      <c r="I1480" s="87" t="s">
        <v>58</v>
      </c>
      <c r="J1480" s="87" t="s">
        <v>3716</v>
      </c>
      <c r="K1480" s="90">
        <v>0.0</v>
      </c>
      <c r="L1480" s="92"/>
      <c r="M1480" s="93"/>
      <c r="N1480" s="87" t="s">
        <v>1808</v>
      </c>
      <c r="O1480" s="87" t="s">
        <v>377</v>
      </c>
      <c r="P1480" s="87" t="s">
        <v>372</v>
      </c>
    </row>
    <row r="1481" ht="15.75" customHeight="1">
      <c r="A1481" s="87" t="s">
        <v>4643</v>
      </c>
      <c r="B1481" s="88">
        <v>1.22E18</v>
      </c>
      <c r="C1481" s="87" t="s">
        <v>4644</v>
      </c>
      <c r="D1481" s="87" t="s">
        <v>262</v>
      </c>
      <c r="E1481" s="87" t="s">
        <v>270</v>
      </c>
      <c r="F1481" s="87" t="s">
        <v>4644</v>
      </c>
      <c r="I1481" s="87" t="s">
        <v>58</v>
      </c>
      <c r="J1481" s="87" t="s">
        <v>3377</v>
      </c>
      <c r="K1481" s="90">
        <v>0.0</v>
      </c>
      <c r="L1481" s="92"/>
      <c r="M1481" s="93"/>
      <c r="N1481" s="87" t="s">
        <v>1808</v>
      </c>
      <c r="O1481" s="87" t="s">
        <v>377</v>
      </c>
      <c r="P1481" s="87" t="s">
        <v>372</v>
      </c>
    </row>
    <row r="1482" ht="15.75" customHeight="1">
      <c r="A1482" s="87" t="s">
        <v>4645</v>
      </c>
      <c r="B1482" s="88">
        <v>1.22E18</v>
      </c>
      <c r="C1482" s="87" t="s">
        <v>4646</v>
      </c>
      <c r="D1482" s="87" t="s">
        <v>262</v>
      </c>
      <c r="E1482" s="87" t="s">
        <v>270</v>
      </c>
      <c r="F1482" s="87" t="s">
        <v>4646</v>
      </c>
      <c r="I1482" s="87" t="s">
        <v>58</v>
      </c>
      <c r="J1482" s="87" t="s">
        <v>4647</v>
      </c>
      <c r="K1482" s="90">
        <v>0.0</v>
      </c>
      <c r="L1482" s="92"/>
      <c r="M1482" s="93"/>
      <c r="N1482" s="87" t="s">
        <v>1808</v>
      </c>
      <c r="O1482" s="87" t="s">
        <v>377</v>
      </c>
      <c r="P1482" s="87" t="s">
        <v>372</v>
      </c>
    </row>
    <row r="1483" ht="15.75" customHeight="1">
      <c r="A1483" s="87" t="s">
        <v>4648</v>
      </c>
      <c r="B1483" s="88">
        <v>1.22E18</v>
      </c>
      <c r="C1483" s="87" t="s">
        <v>4649</v>
      </c>
      <c r="D1483" s="87" t="s">
        <v>262</v>
      </c>
      <c r="E1483" s="87" t="s">
        <v>270</v>
      </c>
      <c r="F1483" s="87" t="s">
        <v>4649</v>
      </c>
      <c r="I1483" s="87" t="s">
        <v>58</v>
      </c>
      <c r="J1483" s="87" t="s">
        <v>4650</v>
      </c>
      <c r="K1483" s="90">
        <v>0.0</v>
      </c>
      <c r="L1483" s="92"/>
      <c r="M1483" s="93"/>
      <c r="N1483" s="87" t="s">
        <v>1808</v>
      </c>
      <c r="O1483" s="87" t="s">
        <v>377</v>
      </c>
      <c r="P1483" s="87" t="s">
        <v>372</v>
      </c>
    </row>
    <row r="1484" ht="15.75" customHeight="1">
      <c r="A1484" s="87" t="s">
        <v>4651</v>
      </c>
      <c r="B1484" s="88">
        <v>1.22E18</v>
      </c>
      <c r="C1484" s="87" t="s">
        <v>4652</v>
      </c>
      <c r="D1484" s="87" t="s">
        <v>262</v>
      </c>
      <c r="E1484" s="87" t="s">
        <v>270</v>
      </c>
      <c r="F1484" s="87" t="s">
        <v>4652</v>
      </c>
      <c r="I1484" s="87" t="s">
        <v>58</v>
      </c>
      <c r="J1484" s="87" t="s">
        <v>4653</v>
      </c>
      <c r="K1484" s="90">
        <v>0.0</v>
      </c>
      <c r="L1484" s="92"/>
      <c r="M1484" s="93"/>
      <c r="N1484" s="87" t="s">
        <v>1808</v>
      </c>
      <c r="O1484" s="87" t="s">
        <v>377</v>
      </c>
      <c r="P1484" s="87" t="s">
        <v>372</v>
      </c>
    </row>
    <row r="1485" ht="15.75" customHeight="1">
      <c r="A1485" s="87" t="s">
        <v>4654</v>
      </c>
      <c r="B1485" s="88">
        <v>1.22E18</v>
      </c>
      <c r="C1485" s="87" t="s">
        <v>4655</v>
      </c>
      <c r="D1485" s="87" t="s">
        <v>262</v>
      </c>
      <c r="E1485" s="87" t="s">
        <v>270</v>
      </c>
      <c r="F1485" s="87" t="s">
        <v>4655</v>
      </c>
      <c r="I1485" s="87" t="s">
        <v>58</v>
      </c>
      <c r="J1485" s="87" t="s">
        <v>2801</v>
      </c>
      <c r="K1485" s="90">
        <v>0.0</v>
      </c>
      <c r="L1485" s="92"/>
      <c r="M1485" s="93"/>
      <c r="N1485" s="87" t="s">
        <v>1808</v>
      </c>
      <c r="O1485" s="87" t="s">
        <v>377</v>
      </c>
      <c r="P1485" s="87" t="s">
        <v>372</v>
      </c>
    </row>
    <row r="1486" ht="15.75" customHeight="1">
      <c r="A1486" s="87" t="s">
        <v>4656</v>
      </c>
      <c r="B1486" s="88">
        <v>1.22E18</v>
      </c>
      <c r="C1486" s="87" t="s">
        <v>4657</v>
      </c>
      <c r="D1486" s="87" t="s">
        <v>262</v>
      </c>
      <c r="E1486" s="87" t="s">
        <v>270</v>
      </c>
      <c r="F1486" s="87" t="s">
        <v>4657</v>
      </c>
      <c r="I1486" s="87" t="s">
        <v>58</v>
      </c>
      <c r="J1486" s="87" t="s">
        <v>3377</v>
      </c>
      <c r="K1486" s="90">
        <v>0.0</v>
      </c>
      <c r="L1486" s="92"/>
      <c r="M1486" s="93"/>
      <c r="N1486" s="87" t="s">
        <v>1808</v>
      </c>
      <c r="O1486" s="87" t="s">
        <v>377</v>
      </c>
      <c r="P1486" s="87" t="s">
        <v>372</v>
      </c>
    </row>
    <row r="1487" ht="15.75" customHeight="1">
      <c r="A1487" s="87" t="s">
        <v>4658</v>
      </c>
      <c r="B1487" s="88">
        <v>1.22E18</v>
      </c>
      <c r="C1487" s="87" t="s">
        <v>4659</v>
      </c>
      <c r="D1487" s="87" t="s">
        <v>56</v>
      </c>
      <c r="E1487" s="87" t="s">
        <v>248</v>
      </c>
      <c r="F1487" s="87" t="s">
        <v>2769</v>
      </c>
      <c r="G1487" s="93"/>
      <c r="H1487" s="93"/>
      <c r="I1487" s="87" t="s">
        <v>2365</v>
      </c>
      <c r="J1487" s="87" t="s">
        <v>2269</v>
      </c>
      <c r="K1487" s="90">
        <v>0.0</v>
      </c>
      <c r="L1487" s="92"/>
      <c r="M1487" s="93"/>
      <c r="N1487" s="87" t="s">
        <v>111</v>
      </c>
      <c r="O1487" s="87" t="s">
        <v>377</v>
      </c>
      <c r="P1487" s="87" t="s">
        <v>372</v>
      </c>
    </row>
    <row r="1488" ht="15.75" customHeight="1">
      <c r="A1488" s="87" t="s">
        <v>4660</v>
      </c>
      <c r="B1488" s="88">
        <v>1.22E18</v>
      </c>
      <c r="C1488" s="87" t="s">
        <v>4661</v>
      </c>
      <c r="D1488" s="87" t="s">
        <v>56</v>
      </c>
      <c r="E1488" s="87" t="s">
        <v>59</v>
      </c>
      <c r="F1488" s="87" t="s">
        <v>4661</v>
      </c>
      <c r="I1488" s="87" t="s">
        <v>58</v>
      </c>
      <c r="J1488" s="87" t="s">
        <v>4662</v>
      </c>
      <c r="K1488" s="90">
        <v>0.0</v>
      </c>
      <c r="L1488" s="92"/>
      <c r="M1488" s="93"/>
      <c r="N1488" s="87" t="s">
        <v>1772</v>
      </c>
      <c r="O1488" s="87" t="s">
        <v>377</v>
      </c>
      <c r="P1488" s="87" t="s">
        <v>372</v>
      </c>
    </row>
    <row r="1489" ht="15.75" customHeight="1">
      <c r="A1489" s="87" t="s">
        <v>4663</v>
      </c>
      <c r="B1489" s="88">
        <v>1.22E18</v>
      </c>
      <c r="C1489" s="87" t="s">
        <v>4664</v>
      </c>
      <c r="D1489" s="87" t="s">
        <v>262</v>
      </c>
      <c r="E1489" s="87" t="s">
        <v>263</v>
      </c>
      <c r="F1489" s="118" t="s">
        <v>4664</v>
      </c>
      <c r="G1489" s="130"/>
      <c r="H1489" s="119"/>
      <c r="I1489" s="87" t="s">
        <v>58</v>
      </c>
      <c r="J1489" s="87" t="s">
        <v>4665</v>
      </c>
      <c r="K1489" s="90">
        <v>0.0</v>
      </c>
      <c r="L1489" s="92"/>
      <c r="M1489" s="93"/>
      <c r="N1489" s="87" t="s">
        <v>1772</v>
      </c>
      <c r="O1489" s="87" t="s">
        <v>377</v>
      </c>
      <c r="P1489" s="87" t="s">
        <v>372</v>
      </c>
    </row>
    <row r="1490" ht="15.75" customHeight="1">
      <c r="A1490" s="87" t="s">
        <v>4666</v>
      </c>
      <c r="B1490" s="88">
        <v>1.22E18</v>
      </c>
      <c r="C1490" s="87" t="s">
        <v>4667</v>
      </c>
      <c r="D1490" s="87" t="s">
        <v>87</v>
      </c>
      <c r="E1490" s="87" t="s">
        <v>88</v>
      </c>
      <c r="F1490" s="118" t="s">
        <v>4667</v>
      </c>
      <c r="G1490" s="130"/>
      <c r="H1490" s="119"/>
      <c r="I1490" s="87" t="s">
        <v>58</v>
      </c>
      <c r="J1490" s="87" t="s">
        <v>4668</v>
      </c>
      <c r="K1490" s="90">
        <v>0.0</v>
      </c>
      <c r="L1490" s="92"/>
      <c r="M1490" s="93"/>
      <c r="N1490" s="87" t="s">
        <v>1772</v>
      </c>
      <c r="O1490" s="87" t="s">
        <v>377</v>
      </c>
      <c r="P1490" s="87" t="s">
        <v>372</v>
      </c>
    </row>
    <row r="1491" ht="15.75" customHeight="1">
      <c r="A1491" s="87" t="s">
        <v>4669</v>
      </c>
      <c r="B1491" s="88">
        <v>1.22E18</v>
      </c>
      <c r="C1491" s="87" t="s">
        <v>4670</v>
      </c>
      <c r="D1491" s="87" t="s">
        <v>87</v>
      </c>
      <c r="E1491" s="87" t="s">
        <v>88</v>
      </c>
      <c r="F1491" s="87" t="s">
        <v>4670</v>
      </c>
      <c r="I1491" s="87" t="s">
        <v>58</v>
      </c>
      <c r="J1491" s="87" t="s">
        <v>4671</v>
      </c>
      <c r="K1491" s="90">
        <v>0.0</v>
      </c>
      <c r="L1491" s="92"/>
      <c r="M1491" s="93"/>
      <c r="N1491" s="87" t="s">
        <v>1772</v>
      </c>
      <c r="O1491" s="87" t="s">
        <v>377</v>
      </c>
      <c r="P1491" s="87" t="s">
        <v>372</v>
      </c>
    </row>
    <row r="1492" ht="15.75" customHeight="1">
      <c r="A1492" s="87" t="s">
        <v>4672</v>
      </c>
      <c r="B1492" s="88">
        <v>1.22E18</v>
      </c>
      <c r="C1492" s="87" t="s">
        <v>4673</v>
      </c>
      <c r="D1492" s="87" t="s">
        <v>262</v>
      </c>
      <c r="E1492" s="87" t="s">
        <v>270</v>
      </c>
      <c r="F1492" s="118" t="s">
        <v>4673</v>
      </c>
      <c r="G1492" s="130"/>
      <c r="H1492" s="119"/>
      <c r="I1492" s="87" t="s">
        <v>58</v>
      </c>
      <c r="J1492" s="87" t="s">
        <v>4674</v>
      </c>
      <c r="K1492" s="90">
        <v>0.0</v>
      </c>
      <c r="L1492" s="92"/>
      <c r="M1492" s="93"/>
      <c r="N1492" s="87" t="s">
        <v>1772</v>
      </c>
      <c r="O1492" s="87" t="s">
        <v>377</v>
      </c>
      <c r="P1492" s="87" t="s">
        <v>372</v>
      </c>
    </row>
    <row r="1493" ht="15.75" customHeight="1">
      <c r="A1493" s="87" t="s">
        <v>4675</v>
      </c>
      <c r="B1493" s="88">
        <v>1.22E18</v>
      </c>
      <c r="C1493" s="87" t="s">
        <v>4676</v>
      </c>
      <c r="D1493" s="87" t="s">
        <v>87</v>
      </c>
      <c r="E1493" s="87" t="s">
        <v>88</v>
      </c>
      <c r="F1493" s="118" t="s">
        <v>4676</v>
      </c>
      <c r="G1493" s="130"/>
      <c r="H1493" s="119"/>
      <c r="I1493" s="87" t="s">
        <v>58</v>
      </c>
      <c r="J1493" s="87" t="s">
        <v>4677</v>
      </c>
      <c r="K1493" s="90">
        <v>0.0</v>
      </c>
      <c r="L1493" s="92"/>
      <c r="M1493" s="93"/>
      <c r="N1493" s="87" t="s">
        <v>1772</v>
      </c>
      <c r="O1493" s="87" t="s">
        <v>377</v>
      </c>
      <c r="P1493" s="87" t="s">
        <v>372</v>
      </c>
    </row>
    <row r="1494" ht="15.75" customHeight="1">
      <c r="A1494" s="87" t="s">
        <v>4678</v>
      </c>
      <c r="B1494" s="88">
        <v>1.22E18</v>
      </c>
      <c r="C1494" s="87" t="s">
        <v>4679</v>
      </c>
      <c r="D1494" s="87" t="s">
        <v>87</v>
      </c>
      <c r="E1494" s="87" t="s">
        <v>88</v>
      </c>
      <c r="F1494" s="118" t="s">
        <v>4679</v>
      </c>
      <c r="G1494" s="130"/>
      <c r="H1494" s="119"/>
      <c r="I1494" s="87" t="s">
        <v>58</v>
      </c>
      <c r="J1494" s="87" t="s">
        <v>4680</v>
      </c>
      <c r="K1494" s="90">
        <v>0.0</v>
      </c>
      <c r="L1494" s="92"/>
      <c r="M1494" s="93"/>
      <c r="N1494" s="87" t="s">
        <v>1772</v>
      </c>
      <c r="O1494" s="87" t="s">
        <v>377</v>
      </c>
      <c r="P1494" s="87" t="s">
        <v>372</v>
      </c>
    </row>
    <row r="1495" ht="15.75" customHeight="1">
      <c r="A1495" s="87" t="s">
        <v>4681</v>
      </c>
      <c r="B1495" s="88">
        <v>1.22E18</v>
      </c>
      <c r="C1495" s="87" t="s">
        <v>4682</v>
      </c>
      <c r="D1495" s="87" t="s">
        <v>57</v>
      </c>
      <c r="E1495" s="87" t="s">
        <v>287</v>
      </c>
      <c r="F1495" s="118" t="s">
        <v>4682</v>
      </c>
      <c r="G1495" s="130"/>
      <c r="H1495" s="119"/>
      <c r="I1495" s="87" t="s">
        <v>58</v>
      </c>
      <c r="J1495" s="87" t="s">
        <v>4683</v>
      </c>
      <c r="K1495" s="90">
        <v>0.0</v>
      </c>
      <c r="L1495" s="92"/>
      <c r="M1495" s="93"/>
      <c r="N1495" s="87" t="s">
        <v>1772</v>
      </c>
      <c r="O1495" s="87" t="s">
        <v>377</v>
      </c>
      <c r="P1495" s="87" t="s">
        <v>372</v>
      </c>
    </row>
    <row r="1496" ht="15.75" customHeight="1">
      <c r="A1496" s="87" t="s">
        <v>4684</v>
      </c>
      <c r="B1496" s="88">
        <v>1.22E18</v>
      </c>
      <c r="C1496" s="87" t="s">
        <v>4685</v>
      </c>
      <c r="D1496" s="87" t="s">
        <v>87</v>
      </c>
      <c r="E1496" s="87" t="s">
        <v>241</v>
      </c>
      <c r="F1496" s="87" t="s">
        <v>4685</v>
      </c>
      <c r="I1496" s="87" t="s">
        <v>58</v>
      </c>
      <c r="J1496" s="87" t="s">
        <v>4686</v>
      </c>
      <c r="K1496" s="90">
        <v>0.0</v>
      </c>
      <c r="L1496" s="92"/>
      <c r="M1496" s="93"/>
      <c r="N1496" s="87" t="s">
        <v>4687</v>
      </c>
      <c r="O1496" s="87" t="s">
        <v>377</v>
      </c>
      <c r="P1496" s="87" t="s">
        <v>372</v>
      </c>
    </row>
    <row r="1497" ht="15.75" customHeight="1">
      <c r="A1497" s="87" t="s">
        <v>4688</v>
      </c>
      <c r="B1497" s="88">
        <v>1.22E18</v>
      </c>
      <c r="C1497" s="87" t="s">
        <v>4689</v>
      </c>
      <c r="D1497" s="87" t="s">
        <v>56</v>
      </c>
      <c r="E1497" s="87" t="s">
        <v>248</v>
      </c>
      <c r="F1497" s="87" t="s">
        <v>4689</v>
      </c>
      <c r="I1497" s="87" t="s">
        <v>58</v>
      </c>
      <c r="J1497" s="87" t="s">
        <v>449</v>
      </c>
      <c r="K1497" s="90">
        <v>0.0</v>
      </c>
      <c r="L1497" s="92"/>
      <c r="M1497" s="93"/>
      <c r="N1497" s="87" t="s">
        <v>4690</v>
      </c>
      <c r="O1497" s="87" t="s">
        <v>377</v>
      </c>
      <c r="P1497" s="87" t="s">
        <v>372</v>
      </c>
    </row>
    <row r="1498" ht="15.75" customHeight="1">
      <c r="A1498" s="87" t="s">
        <v>4691</v>
      </c>
      <c r="B1498" s="88">
        <v>1.22E18</v>
      </c>
      <c r="C1498" s="87" t="s">
        <v>4692</v>
      </c>
      <c r="D1498" s="87" t="s">
        <v>56</v>
      </c>
      <c r="E1498" s="87" t="s">
        <v>248</v>
      </c>
      <c r="F1498" s="87" t="s">
        <v>2769</v>
      </c>
      <c r="G1498" s="93"/>
      <c r="H1498" s="93"/>
      <c r="I1498" s="87" t="s">
        <v>58</v>
      </c>
      <c r="J1498" s="87" t="s">
        <v>449</v>
      </c>
      <c r="K1498" s="90">
        <v>0.0</v>
      </c>
      <c r="L1498" s="92"/>
      <c r="M1498" s="93"/>
      <c r="N1498" s="93"/>
      <c r="O1498" s="87" t="s">
        <v>377</v>
      </c>
      <c r="P1498" s="87" t="s">
        <v>372</v>
      </c>
    </row>
    <row r="1499" ht="15.75" customHeight="1">
      <c r="A1499" s="87" t="s">
        <v>4693</v>
      </c>
      <c r="B1499" s="88">
        <v>1.22E18</v>
      </c>
      <c r="C1499" s="87" t="s">
        <v>4694</v>
      </c>
      <c r="D1499" s="87" t="s">
        <v>87</v>
      </c>
      <c r="E1499" s="87" t="s">
        <v>88</v>
      </c>
      <c r="F1499" s="87" t="s">
        <v>4694</v>
      </c>
      <c r="I1499" s="87" t="s">
        <v>58</v>
      </c>
      <c r="J1499" s="87" t="s">
        <v>449</v>
      </c>
      <c r="K1499" s="90">
        <v>0.0</v>
      </c>
      <c r="L1499" s="92"/>
      <c r="M1499" s="93"/>
      <c r="N1499" s="87" t="s">
        <v>4690</v>
      </c>
      <c r="O1499" s="87" t="s">
        <v>377</v>
      </c>
      <c r="P1499" s="87" t="s">
        <v>372</v>
      </c>
    </row>
    <row r="1500" ht="15.75" customHeight="1">
      <c r="A1500" s="87" t="s">
        <v>4695</v>
      </c>
      <c r="B1500" s="88">
        <v>1.22E18</v>
      </c>
      <c r="C1500" s="87" t="s">
        <v>4696</v>
      </c>
      <c r="D1500" s="87" t="s">
        <v>56</v>
      </c>
      <c r="E1500" s="87" t="s">
        <v>248</v>
      </c>
      <c r="F1500" s="118" t="s">
        <v>4696</v>
      </c>
      <c r="G1500" s="130"/>
      <c r="H1500" s="119"/>
      <c r="I1500" s="87" t="s">
        <v>58</v>
      </c>
      <c r="J1500" s="87" t="s">
        <v>449</v>
      </c>
      <c r="K1500" s="90">
        <v>0.0</v>
      </c>
      <c r="L1500" s="92"/>
      <c r="M1500" s="93"/>
      <c r="N1500" s="93"/>
      <c r="O1500" s="87" t="s">
        <v>377</v>
      </c>
      <c r="P1500" s="87" t="s">
        <v>372</v>
      </c>
    </row>
    <row r="1501" ht="15.75" customHeight="1">
      <c r="A1501" s="87" t="s">
        <v>4697</v>
      </c>
      <c r="B1501" s="88">
        <v>1.22E18</v>
      </c>
      <c r="C1501" s="87" t="s">
        <v>4698</v>
      </c>
      <c r="D1501" s="87" t="s">
        <v>56</v>
      </c>
      <c r="E1501" s="87" t="s">
        <v>248</v>
      </c>
      <c r="F1501" s="87" t="s">
        <v>4698</v>
      </c>
      <c r="I1501" s="87" t="s">
        <v>58</v>
      </c>
      <c r="J1501" s="87" t="s">
        <v>449</v>
      </c>
      <c r="K1501" s="90">
        <v>0.0</v>
      </c>
      <c r="L1501" s="92"/>
      <c r="M1501" s="93"/>
      <c r="N1501" s="93"/>
      <c r="O1501" s="87" t="s">
        <v>377</v>
      </c>
      <c r="P1501" s="87" t="s">
        <v>372</v>
      </c>
    </row>
    <row r="1502" ht="15.75" customHeight="1">
      <c r="A1502" s="87" t="s">
        <v>4699</v>
      </c>
      <c r="B1502" s="88">
        <v>1.22E18</v>
      </c>
      <c r="C1502" s="87" t="s">
        <v>4700</v>
      </c>
      <c r="D1502" s="87" t="s">
        <v>56</v>
      </c>
      <c r="E1502" s="87" t="s">
        <v>248</v>
      </c>
      <c r="F1502" s="87" t="s">
        <v>4700</v>
      </c>
      <c r="I1502" s="87" t="s">
        <v>58</v>
      </c>
      <c r="J1502" s="87" t="s">
        <v>2112</v>
      </c>
      <c r="K1502" s="90">
        <v>0.0</v>
      </c>
      <c r="L1502" s="92"/>
      <c r="M1502" s="93"/>
      <c r="N1502" s="93"/>
      <c r="O1502" s="87" t="s">
        <v>377</v>
      </c>
      <c r="P1502" s="87" t="s">
        <v>372</v>
      </c>
    </row>
    <row r="1503" ht="15.75" customHeight="1">
      <c r="A1503" s="87" t="s">
        <v>4701</v>
      </c>
      <c r="B1503" s="88">
        <v>1.22E18</v>
      </c>
      <c r="C1503" s="87" t="s">
        <v>4702</v>
      </c>
      <c r="D1503" s="87" t="s">
        <v>56</v>
      </c>
      <c r="E1503" s="87" t="s">
        <v>248</v>
      </c>
      <c r="F1503" s="87" t="s">
        <v>4702</v>
      </c>
      <c r="I1503" s="87" t="s">
        <v>58</v>
      </c>
      <c r="J1503" s="87" t="s">
        <v>2112</v>
      </c>
      <c r="K1503" s="90">
        <v>0.0</v>
      </c>
      <c r="L1503" s="92"/>
      <c r="M1503" s="93"/>
      <c r="N1503" s="87" t="s">
        <v>4690</v>
      </c>
      <c r="O1503" s="87" t="s">
        <v>377</v>
      </c>
      <c r="P1503" s="87" t="s">
        <v>372</v>
      </c>
    </row>
    <row r="1504" ht="15.75" customHeight="1">
      <c r="A1504" s="87" t="s">
        <v>4703</v>
      </c>
      <c r="B1504" s="88">
        <v>1.22E18</v>
      </c>
      <c r="C1504" s="87" t="s">
        <v>4704</v>
      </c>
      <c r="D1504" s="87" t="s">
        <v>87</v>
      </c>
      <c r="E1504" s="87" t="s">
        <v>88</v>
      </c>
      <c r="F1504" s="87" t="s">
        <v>4704</v>
      </c>
      <c r="I1504" s="87" t="s">
        <v>58</v>
      </c>
      <c r="J1504" s="87" t="s">
        <v>2112</v>
      </c>
      <c r="K1504" s="90">
        <v>0.0</v>
      </c>
      <c r="L1504" s="92"/>
      <c r="M1504" s="93"/>
      <c r="N1504" s="87" t="s">
        <v>4690</v>
      </c>
      <c r="O1504" s="87" t="s">
        <v>377</v>
      </c>
      <c r="P1504" s="87" t="s">
        <v>372</v>
      </c>
    </row>
    <row r="1505" ht="15.75" customHeight="1">
      <c r="A1505" s="87" t="s">
        <v>4705</v>
      </c>
      <c r="B1505" s="131">
        <v>1.22E18</v>
      </c>
      <c r="C1505" s="87" t="s">
        <v>4706</v>
      </c>
      <c r="D1505" s="87" t="s">
        <v>87</v>
      </c>
      <c r="E1505" s="87" t="s">
        <v>88</v>
      </c>
      <c r="F1505" s="87" t="s">
        <v>4706</v>
      </c>
      <c r="I1505" s="87" t="s">
        <v>58</v>
      </c>
      <c r="J1505" s="87" t="s">
        <v>2112</v>
      </c>
      <c r="K1505" s="90">
        <v>0.0</v>
      </c>
      <c r="L1505" s="92"/>
      <c r="M1505" s="93"/>
      <c r="N1505" s="87" t="s">
        <v>4690</v>
      </c>
      <c r="O1505" s="87" t="s">
        <v>377</v>
      </c>
      <c r="P1505" s="87" t="s">
        <v>372</v>
      </c>
    </row>
    <row r="1506" ht="15.75" customHeight="1">
      <c r="A1506" s="87" t="s">
        <v>4707</v>
      </c>
      <c r="B1506" s="88">
        <v>1.22E18</v>
      </c>
      <c r="C1506" s="87" t="s">
        <v>4708</v>
      </c>
      <c r="D1506" s="87" t="s">
        <v>56</v>
      </c>
      <c r="E1506" s="87" t="s">
        <v>248</v>
      </c>
      <c r="F1506" s="87" t="s">
        <v>4708</v>
      </c>
      <c r="I1506" s="87" t="s">
        <v>58</v>
      </c>
      <c r="J1506" s="87" t="s">
        <v>2112</v>
      </c>
      <c r="K1506" s="90">
        <v>0.0</v>
      </c>
      <c r="L1506" s="92"/>
      <c r="M1506" s="93"/>
      <c r="N1506" s="87" t="s">
        <v>4690</v>
      </c>
      <c r="O1506" s="87" t="s">
        <v>377</v>
      </c>
      <c r="P1506" s="87" t="s">
        <v>372</v>
      </c>
    </row>
    <row r="1507" ht="15.75" customHeight="1">
      <c r="A1507" s="87" t="s">
        <v>4709</v>
      </c>
      <c r="B1507" s="88">
        <v>1.22E18</v>
      </c>
      <c r="C1507" s="87" t="s">
        <v>4710</v>
      </c>
      <c r="D1507" s="87" t="s">
        <v>87</v>
      </c>
      <c r="E1507" s="87" t="s">
        <v>88</v>
      </c>
      <c r="F1507" s="118" t="s">
        <v>4710</v>
      </c>
      <c r="G1507" s="130"/>
      <c r="H1507" s="119"/>
      <c r="I1507" s="87" t="s">
        <v>58</v>
      </c>
      <c r="J1507" s="87" t="s">
        <v>4711</v>
      </c>
      <c r="K1507" s="90">
        <v>0.0</v>
      </c>
      <c r="L1507" s="92"/>
      <c r="M1507" s="93"/>
      <c r="N1507" s="87" t="s">
        <v>1772</v>
      </c>
      <c r="O1507" s="87" t="s">
        <v>377</v>
      </c>
      <c r="P1507" s="87" t="s">
        <v>372</v>
      </c>
    </row>
    <row r="1508" ht="15.75" customHeight="1">
      <c r="A1508" s="87" t="s">
        <v>4712</v>
      </c>
      <c r="B1508" s="88">
        <v>1.22E18</v>
      </c>
      <c r="C1508" s="87" t="s">
        <v>4713</v>
      </c>
      <c r="D1508" s="87" t="s">
        <v>262</v>
      </c>
      <c r="E1508" s="87" t="s">
        <v>263</v>
      </c>
      <c r="F1508" s="87" t="s">
        <v>415</v>
      </c>
      <c r="G1508" s="93"/>
      <c r="H1508" s="93"/>
      <c r="I1508" s="87" t="s">
        <v>58</v>
      </c>
      <c r="J1508" s="87" t="s">
        <v>4714</v>
      </c>
      <c r="K1508" s="90">
        <v>1.0</v>
      </c>
      <c r="L1508" s="92"/>
      <c r="M1508" s="93"/>
      <c r="N1508" s="87" t="s">
        <v>4715</v>
      </c>
      <c r="O1508" s="87" t="s">
        <v>377</v>
      </c>
      <c r="P1508" s="87" t="s">
        <v>372</v>
      </c>
    </row>
    <row r="1509" ht="15.75" customHeight="1">
      <c r="A1509" s="87" t="s">
        <v>4716</v>
      </c>
      <c r="B1509" s="88">
        <v>1.22E18</v>
      </c>
      <c r="C1509" s="87" t="s">
        <v>4717</v>
      </c>
      <c r="D1509" s="87" t="s">
        <v>262</v>
      </c>
      <c r="E1509" s="87" t="s">
        <v>263</v>
      </c>
      <c r="F1509" s="87" t="s">
        <v>415</v>
      </c>
      <c r="G1509" s="93"/>
      <c r="H1509" s="93"/>
      <c r="I1509" s="87" t="s">
        <v>58</v>
      </c>
      <c r="J1509" s="87" t="s">
        <v>4718</v>
      </c>
      <c r="K1509" s="90">
        <v>1.0</v>
      </c>
      <c r="L1509" s="92"/>
      <c r="M1509" s="93"/>
      <c r="N1509" s="87" t="s">
        <v>4715</v>
      </c>
      <c r="O1509" s="87" t="s">
        <v>377</v>
      </c>
      <c r="P1509" s="87" t="s">
        <v>372</v>
      </c>
    </row>
    <row r="1510" ht="15.75" customHeight="1">
      <c r="A1510" s="87" t="s">
        <v>4719</v>
      </c>
      <c r="B1510" s="88">
        <v>1.22E18</v>
      </c>
      <c r="C1510" s="87" t="s">
        <v>4720</v>
      </c>
      <c r="D1510" s="87" t="s">
        <v>262</v>
      </c>
      <c r="E1510" s="87" t="s">
        <v>263</v>
      </c>
      <c r="F1510" s="87" t="s">
        <v>415</v>
      </c>
      <c r="G1510" s="93"/>
      <c r="H1510" s="93"/>
      <c r="I1510" s="87" t="s">
        <v>58</v>
      </c>
      <c r="J1510" s="87" t="s">
        <v>4721</v>
      </c>
      <c r="K1510" s="90">
        <v>3.0</v>
      </c>
      <c r="L1510" s="92"/>
      <c r="M1510" s="93"/>
      <c r="N1510" s="87" t="s">
        <v>4715</v>
      </c>
      <c r="O1510" s="87" t="s">
        <v>377</v>
      </c>
      <c r="P1510" s="87" t="s">
        <v>372</v>
      </c>
    </row>
    <row r="1511" ht="15.75" customHeight="1">
      <c r="A1511" s="87" t="s">
        <v>4722</v>
      </c>
      <c r="B1511" s="88">
        <v>1.22E18</v>
      </c>
      <c r="C1511" s="87" t="s">
        <v>4723</v>
      </c>
      <c r="D1511" s="87" t="s">
        <v>262</v>
      </c>
      <c r="E1511" s="87" t="s">
        <v>263</v>
      </c>
      <c r="F1511" s="87" t="s">
        <v>415</v>
      </c>
      <c r="G1511" s="93"/>
      <c r="H1511" s="93"/>
      <c r="I1511" s="87" t="s">
        <v>58</v>
      </c>
      <c r="J1511" s="87" t="s">
        <v>4724</v>
      </c>
      <c r="K1511" s="90">
        <v>1.0</v>
      </c>
      <c r="L1511" s="92"/>
      <c r="M1511" s="93"/>
      <c r="N1511" s="87" t="s">
        <v>4715</v>
      </c>
      <c r="O1511" s="87" t="s">
        <v>377</v>
      </c>
      <c r="P1511" s="87" t="s">
        <v>372</v>
      </c>
    </row>
    <row r="1512" ht="15.75" customHeight="1">
      <c r="A1512" s="87" t="s">
        <v>4725</v>
      </c>
      <c r="B1512" s="88">
        <v>1.22E18</v>
      </c>
      <c r="C1512" s="87" t="s">
        <v>4726</v>
      </c>
      <c r="D1512" s="87" t="s">
        <v>87</v>
      </c>
      <c r="E1512" s="87" t="s">
        <v>88</v>
      </c>
      <c r="F1512" s="118" t="s">
        <v>4726</v>
      </c>
      <c r="G1512" s="130"/>
      <c r="H1512" s="119"/>
      <c r="I1512" s="87" t="s">
        <v>58</v>
      </c>
      <c r="J1512" s="87" t="s">
        <v>4727</v>
      </c>
      <c r="K1512" s="90">
        <v>0.0</v>
      </c>
      <c r="L1512" s="92"/>
      <c r="M1512" s="93"/>
      <c r="N1512" s="87" t="s">
        <v>1772</v>
      </c>
      <c r="O1512" s="87" t="s">
        <v>377</v>
      </c>
      <c r="P1512" s="87" t="s">
        <v>372</v>
      </c>
    </row>
    <row r="1513" ht="15.75" customHeight="1">
      <c r="A1513" s="87" t="s">
        <v>4728</v>
      </c>
      <c r="B1513" s="88">
        <v>1.22E18</v>
      </c>
      <c r="C1513" s="87" t="s">
        <v>4729</v>
      </c>
      <c r="D1513" s="87" t="s">
        <v>87</v>
      </c>
      <c r="E1513" s="87" t="s">
        <v>88</v>
      </c>
      <c r="F1513" s="118" t="s">
        <v>4729</v>
      </c>
      <c r="G1513" s="130"/>
      <c r="H1513" s="119"/>
      <c r="I1513" s="87" t="s">
        <v>58</v>
      </c>
      <c r="J1513" s="87" t="s">
        <v>4730</v>
      </c>
      <c r="K1513" s="90">
        <v>0.0</v>
      </c>
      <c r="L1513" s="92"/>
      <c r="M1513" s="93"/>
      <c r="N1513" s="87" t="s">
        <v>1772</v>
      </c>
      <c r="O1513" s="87" t="s">
        <v>377</v>
      </c>
      <c r="P1513" s="87" t="s">
        <v>372</v>
      </c>
    </row>
    <row r="1514" ht="15.75" customHeight="1">
      <c r="A1514" s="87" t="s">
        <v>4731</v>
      </c>
      <c r="B1514" s="88">
        <v>1.22E18</v>
      </c>
      <c r="C1514" s="87" t="s">
        <v>4732</v>
      </c>
      <c r="D1514" s="87" t="s">
        <v>87</v>
      </c>
      <c r="E1514" s="87" t="s">
        <v>88</v>
      </c>
      <c r="F1514" s="118" t="s">
        <v>4732</v>
      </c>
      <c r="G1514" s="130"/>
      <c r="H1514" s="119"/>
      <c r="I1514" s="87" t="s">
        <v>58</v>
      </c>
      <c r="J1514" s="87" t="s">
        <v>4733</v>
      </c>
      <c r="K1514" s="90">
        <v>0.0</v>
      </c>
      <c r="L1514" s="92"/>
      <c r="M1514" s="93"/>
      <c r="N1514" s="87" t="s">
        <v>1772</v>
      </c>
      <c r="O1514" s="87" t="s">
        <v>377</v>
      </c>
      <c r="P1514" s="87" t="s">
        <v>372</v>
      </c>
    </row>
    <row r="1515" ht="15.75" customHeight="1">
      <c r="A1515" s="87" t="s">
        <v>4734</v>
      </c>
      <c r="B1515" s="88">
        <v>1.22E18</v>
      </c>
      <c r="C1515" s="87" t="s">
        <v>4735</v>
      </c>
      <c r="D1515" s="87" t="s">
        <v>87</v>
      </c>
      <c r="E1515" s="87" t="s">
        <v>88</v>
      </c>
      <c r="F1515" s="118" t="s">
        <v>4735</v>
      </c>
      <c r="G1515" s="130"/>
      <c r="H1515" s="119"/>
      <c r="I1515" s="87" t="s">
        <v>58</v>
      </c>
      <c r="J1515" s="87" t="s">
        <v>4736</v>
      </c>
      <c r="K1515" s="90">
        <v>0.0</v>
      </c>
      <c r="L1515" s="92"/>
      <c r="M1515" s="93"/>
      <c r="N1515" s="87" t="s">
        <v>1772</v>
      </c>
      <c r="O1515" s="87" t="s">
        <v>377</v>
      </c>
      <c r="P1515" s="87" t="s">
        <v>372</v>
      </c>
    </row>
    <row r="1516" ht="15.75" customHeight="1">
      <c r="A1516" s="87" t="s">
        <v>4737</v>
      </c>
      <c r="B1516" s="88">
        <v>1.22E18</v>
      </c>
      <c r="C1516" s="87" t="s">
        <v>4738</v>
      </c>
      <c r="D1516" s="87" t="s">
        <v>87</v>
      </c>
      <c r="E1516" s="87" t="s">
        <v>102</v>
      </c>
      <c r="F1516" s="87" t="s">
        <v>4738</v>
      </c>
      <c r="I1516" s="87" t="s">
        <v>58</v>
      </c>
      <c r="J1516" s="87" t="s">
        <v>4739</v>
      </c>
      <c r="K1516" s="90">
        <v>0.0</v>
      </c>
      <c r="L1516" s="92"/>
      <c r="M1516" s="93"/>
      <c r="N1516" s="87" t="s">
        <v>1772</v>
      </c>
      <c r="O1516" s="87" t="s">
        <v>377</v>
      </c>
      <c r="P1516" s="87" t="s">
        <v>372</v>
      </c>
    </row>
    <row r="1517" ht="15.75" customHeight="1">
      <c r="A1517" s="87" t="s">
        <v>4740</v>
      </c>
      <c r="B1517" s="88">
        <v>1.22E18</v>
      </c>
      <c r="C1517" s="87" t="s">
        <v>4741</v>
      </c>
      <c r="D1517" s="87" t="s">
        <v>57</v>
      </c>
      <c r="E1517" s="87" t="s">
        <v>287</v>
      </c>
      <c r="F1517" s="118" t="s">
        <v>4741</v>
      </c>
      <c r="G1517" s="130"/>
      <c r="H1517" s="119"/>
      <c r="I1517" s="87" t="s">
        <v>58</v>
      </c>
      <c r="J1517" s="87" t="s">
        <v>4742</v>
      </c>
      <c r="K1517" s="90">
        <v>0.0</v>
      </c>
      <c r="L1517" s="92"/>
      <c r="M1517" s="93"/>
      <c r="N1517" s="87" t="s">
        <v>1772</v>
      </c>
      <c r="O1517" s="87" t="s">
        <v>377</v>
      </c>
      <c r="P1517" s="87" t="s">
        <v>372</v>
      </c>
    </row>
    <row r="1518" ht="15.75" customHeight="1">
      <c r="A1518" s="87" t="s">
        <v>4743</v>
      </c>
      <c r="B1518" s="88">
        <v>1.22E18</v>
      </c>
      <c r="C1518" s="87" t="s">
        <v>4744</v>
      </c>
      <c r="D1518" s="87" t="s">
        <v>87</v>
      </c>
      <c r="E1518" s="87" t="s">
        <v>88</v>
      </c>
      <c r="F1518" s="87" t="s">
        <v>4744</v>
      </c>
      <c r="I1518" s="87" t="s">
        <v>457</v>
      </c>
      <c r="J1518" s="87" t="s">
        <v>4745</v>
      </c>
      <c r="K1518" s="90">
        <v>0.0</v>
      </c>
      <c r="L1518" s="92"/>
      <c r="M1518" s="93"/>
      <c r="N1518" s="87" t="s">
        <v>1772</v>
      </c>
      <c r="O1518" s="87" t="s">
        <v>377</v>
      </c>
      <c r="P1518" s="87" t="s">
        <v>372</v>
      </c>
    </row>
    <row r="1519" ht="15.75" customHeight="1">
      <c r="A1519" s="87" t="s">
        <v>4746</v>
      </c>
      <c r="B1519" s="88">
        <v>1.22E18</v>
      </c>
      <c r="C1519" s="87" t="s">
        <v>4747</v>
      </c>
      <c r="D1519" s="87" t="s">
        <v>87</v>
      </c>
      <c r="E1519" s="87" t="s">
        <v>102</v>
      </c>
      <c r="F1519" s="87" t="s">
        <v>4747</v>
      </c>
      <c r="I1519" s="87" t="s">
        <v>58</v>
      </c>
      <c r="J1519" s="87" t="s">
        <v>4748</v>
      </c>
      <c r="K1519" s="90">
        <v>0.0</v>
      </c>
      <c r="L1519" s="92"/>
      <c r="M1519" s="93"/>
      <c r="N1519" s="93"/>
      <c r="O1519" s="87" t="s">
        <v>377</v>
      </c>
      <c r="P1519" s="87" t="s">
        <v>372</v>
      </c>
    </row>
    <row r="1520" ht="15.75" customHeight="1">
      <c r="A1520" s="87" t="s">
        <v>4749</v>
      </c>
      <c r="B1520" s="88">
        <v>1.22E18</v>
      </c>
      <c r="C1520" s="87" t="s">
        <v>4750</v>
      </c>
      <c r="D1520" s="87" t="s">
        <v>87</v>
      </c>
      <c r="E1520" s="87" t="s">
        <v>102</v>
      </c>
      <c r="F1520" s="87" t="s">
        <v>1763</v>
      </c>
      <c r="I1520" s="93"/>
      <c r="J1520" s="87" t="s">
        <v>3314</v>
      </c>
      <c r="K1520" s="90">
        <v>4.0</v>
      </c>
      <c r="L1520" s="92"/>
      <c r="M1520" s="93"/>
      <c r="N1520" s="87" t="s">
        <v>3315</v>
      </c>
      <c r="O1520" s="87" t="s">
        <v>377</v>
      </c>
      <c r="P1520" s="87" t="s">
        <v>372</v>
      </c>
    </row>
    <row r="1521" ht="15.75" customHeight="1">
      <c r="A1521" s="87" t="s">
        <v>4751</v>
      </c>
      <c r="B1521" s="88">
        <v>1.22E18</v>
      </c>
      <c r="C1521" s="87" t="s">
        <v>4752</v>
      </c>
      <c r="D1521" s="87" t="s">
        <v>87</v>
      </c>
      <c r="E1521" s="87" t="s">
        <v>102</v>
      </c>
      <c r="F1521" s="87" t="s">
        <v>1763</v>
      </c>
      <c r="I1521" s="93"/>
      <c r="J1521" s="87" t="s">
        <v>3314</v>
      </c>
      <c r="K1521" s="90">
        <v>2.0</v>
      </c>
      <c r="L1521" s="92"/>
      <c r="M1521" s="93"/>
      <c r="N1521" s="87" t="s">
        <v>3315</v>
      </c>
      <c r="O1521" s="87" t="s">
        <v>377</v>
      </c>
      <c r="P1521" s="87" t="s">
        <v>372</v>
      </c>
    </row>
    <row r="1522" ht="15.75" customHeight="1">
      <c r="A1522" s="87" t="s">
        <v>4753</v>
      </c>
      <c r="B1522" s="88">
        <v>1.22E18</v>
      </c>
      <c r="C1522" s="87" t="s">
        <v>4754</v>
      </c>
      <c r="D1522" s="87" t="s">
        <v>87</v>
      </c>
      <c r="E1522" s="87" t="s">
        <v>102</v>
      </c>
      <c r="F1522" s="87" t="s">
        <v>1763</v>
      </c>
      <c r="I1522" s="93"/>
      <c r="J1522" s="87" t="s">
        <v>3314</v>
      </c>
      <c r="K1522" s="90">
        <v>2.0</v>
      </c>
      <c r="L1522" s="92"/>
      <c r="M1522" s="93"/>
      <c r="N1522" s="87" t="s">
        <v>3315</v>
      </c>
      <c r="O1522" s="87" t="s">
        <v>377</v>
      </c>
      <c r="P1522" s="87" t="s">
        <v>372</v>
      </c>
    </row>
    <row r="1523" ht="15.75" customHeight="1">
      <c r="A1523" s="87" t="s">
        <v>4755</v>
      </c>
      <c r="B1523" s="88">
        <v>1.22E18</v>
      </c>
      <c r="C1523" s="87" t="s">
        <v>4756</v>
      </c>
      <c r="D1523" s="87" t="s">
        <v>87</v>
      </c>
      <c r="E1523" s="87" t="s">
        <v>102</v>
      </c>
      <c r="F1523" s="118" t="s">
        <v>4756</v>
      </c>
      <c r="G1523" s="130"/>
      <c r="H1523" s="119"/>
      <c r="I1523" s="87" t="s">
        <v>58</v>
      </c>
      <c r="J1523" s="87" t="s">
        <v>3314</v>
      </c>
      <c r="K1523" s="90">
        <v>1.0</v>
      </c>
      <c r="L1523" s="92"/>
      <c r="M1523" s="93"/>
      <c r="N1523" s="87" t="s">
        <v>3315</v>
      </c>
      <c r="O1523" s="87" t="s">
        <v>377</v>
      </c>
      <c r="P1523" s="87" t="s">
        <v>372</v>
      </c>
    </row>
    <row r="1524" ht="15.75" customHeight="1">
      <c r="A1524" s="87" t="s">
        <v>4757</v>
      </c>
      <c r="B1524" s="88">
        <v>1.22E18</v>
      </c>
      <c r="C1524" s="87" t="s">
        <v>4758</v>
      </c>
      <c r="D1524" s="87" t="s">
        <v>262</v>
      </c>
      <c r="E1524" s="87" t="s">
        <v>263</v>
      </c>
      <c r="F1524" s="87" t="s">
        <v>415</v>
      </c>
      <c r="G1524" s="93"/>
      <c r="H1524" s="93"/>
      <c r="I1524" s="87" t="s">
        <v>58</v>
      </c>
      <c r="J1524" s="87" t="s">
        <v>4759</v>
      </c>
      <c r="K1524" s="90">
        <v>1.0</v>
      </c>
      <c r="L1524" s="92"/>
      <c r="M1524" s="93"/>
      <c r="N1524" s="87" t="s">
        <v>3315</v>
      </c>
      <c r="O1524" s="87" t="s">
        <v>377</v>
      </c>
      <c r="P1524" s="87" t="s">
        <v>372</v>
      </c>
    </row>
    <row r="1525" ht="15.75" customHeight="1">
      <c r="A1525" s="87" t="s">
        <v>4760</v>
      </c>
      <c r="B1525" s="88">
        <v>1.22E18</v>
      </c>
      <c r="C1525" s="87" t="s">
        <v>4761</v>
      </c>
      <c r="D1525" s="87" t="s">
        <v>87</v>
      </c>
      <c r="E1525" s="87" t="s">
        <v>88</v>
      </c>
      <c r="F1525" s="118" t="s">
        <v>4761</v>
      </c>
      <c r="G1525" s="130"/>
      <c r="H1525" s="119"/>
      <c r="I1525" s="87" t="s">
        <v>58</v>
      </c>
      <c r="J1525" s="87" t="s">
        <v>4762</v>
      </c>
      <c r="K1525" s="90">
        <v>0.0</v>
      </c>
      <c r="L1525" s="92"/>
      <c r="M1525" s="93"/>
      <c r="N1525" s="87" t="s">
        <v>3315</v>
      </c>
      <c r="O1525" s="87" t="s">
        <v>377</v>
      </c>
      <c r="P1525" s="87" t="s">
        <v>372</v>
      </c>
    </row>
    <row r="1526" ht="15.75" customHeight="1">
      <c r="A1526" s="87" t="s">
        <v>4763</v>
      </c>
      <c r="B1526" s="88">
        <v>1.22E18</v>
      </c>
      <c r="C1526" s="87" t="s">
        <v>4764</v>
      </c>
      <c r="D1526" s="87" t="s">
        <v>87</v>
      </c>
      <c r="E1526" s="87" t="s">
        <v>88</v>
      </c>
      <c r="F1526" s="118" t="s">
        <v>4764</v>
      </c>
      <c r="G1526" s="130"/>
      <c r="H1526" s="119"/>
      <c r="I1526" s="87" t="s">
        <v>58</v>
      </c>
      <c r="J1526" s="87" t="s">
        <v>4762</v>
      </c>
      <c r="K1526" s="90">
        <v>0.0</v>
      </c>
      <c r="L1526" s="92"/>
      <c r="M1526" s="93"/>
      <c r="N1526" s="87" t="s">
        <v>3315</v>
      </c>
      <c r="O1526" s="87" t="s">
        <v>377</v>
      </c>
      <c r="P1526" s="87" t="s">
        <v>372</v>
      </c>
    </row>
    <row r="1527" ht="15.75" customHeight="1">
      <c r="A1527" s="87" t="s">
        <v>4765</v>
      </c>
      <c r="B1527" s="88">
        <v>1.22E18</v>
      </c>
      <c r="C1527" s="87" t="s">
        <v>4766</v>
      </c>
      <c r="D1527" s="87" t="s">
        <v>262</v>
      </c>
      <c r="E1527" s="87" t="s">
        <v>263</v>
      </c>
      <c r="F1527" s="87" t="s">
        <v>415</v>
      </c>
      <c r="G1527" s="93"/>
      <c r="H1527" s="93"/>
      <c r="I1527" s="87" t="s">
        <v>58</v>
      </c>
      <c r="J1527" s="87" t="s">
        <v>4767</v>
      </c>
      <c r="K1527" s="90">
        <v>1.0</v>
      </c>
      <c r="L1527" s="92"/>
      <c r="M1527" s="93"/>
      <c r="N1527" s="93"/>
      <c r="O1527" s="87" t="s">
        <v>377</v>
      </c>
      <c r="P1527" s="87" t="s">
        <v>372</v>
      </c>
    </row>
    <row r="1528" ht="15.75" customHeight="1">
      <c r="A1528" s="87" t="s">
        <v>4768</v>
      </c>
      <c r="B1528" s="88">
        <v>1.22E18</v>
      </c>
      <c r="C1528" s="87" t="s">
        <v>4769</v>
      </c>
      <c r="D1528" s="87" t="s">
        <v>87</v>
      </c>
      <c r="E1528" s="87" t="s">
        <v>88</v>
      </c>
      <c r="F1528" s="87" t="s">
        <v>373</v>
      </c>
      <c r="H1528" s="93"/>
      <c r="I1528" s="87" t="s">
        <v>315</v>
      </c>
      <c r="J1528" s="87" t="s">
        <v>4770</v>
      </c>
      <c r="K1528" s="90">
        <v>450000.0</v>
      </c>
      <c r="L1528" s="92"/>
      <c r="M1528" s="93"/>
      <c r="N1528" s="87" t="s">
        <v>2370</v>
      </c>
      <c r="O1528" s="87" t="s">
        <v>377</v>
      </c>
      <c r="P1528" s="87" t="s">
        <v>372</v>
      </c>
    </row>
    <row r="1529" ht="15.75" customHeight="1">
      <c r="A1529" s="87" t="s">
        <v>4771</v>
      </c>
      <c r="B1529" s="88">
        <v>1.22E18</v>
      </c>
      <c r="C1529" s="87" t="s">
        <v>4772</v>
      </c>
      <c r="D1529" s="87" t="s">
        <v>262</v>
      </c>
      <c r="E1529" s="87" t="s">
        <v>267</v>
      </c>
      <c r="F1529" s="87" t="s">
        <v>4772</v>
      </c>
      <c r="I1529" s="87" t="s">
        <v>58</v>
      </c>
      <c r="J1529" s="87" t="s">
        <v>3005</v>
      </c>
      <c r="K1529" s="90">
        <v>0.0</v>
      </c>
      <c r="L1529" s="92"/>
      <c r="M1529" s="93"/>
      <c r="N1529" s="87" t="s">
        <v>3202</v>
      </c>
      <c r="O1529" s="87" t="s">
        <v>377</v>
      </c>
      <c r="P1529" s="87" t="s">
        <v>372</v>
      </c>
    </row>
    <row r="1530" ht="15.75" customHeight="1">
      <c r="A1530" s="87" t="s">
        <v>4773</v>
      </c>
      <c r="B1530" s="88">
        <v>1.22E18</v>
      </c>
      <c r="C1530" s="87" t="s">
        <v>4774</v>
      </c>
      <c r="D1530" s="87" t="s">
        <v>262</v>
      </c>
      <c r="E1530" s="87" t="s">
        <v>267</v>
      </c>
      <c r="F1530" s="87" t="s">
        <v>4774</v>
      </c>
      <c r="I1530" s="87" t="s">
        <v>58</v>
      </c>
      <c r="J1530" s="87" t="s">
        <v>4775</v>
      </c>
      <c r="K1530" s="90">
        <v>0.0</v>
      </c>
      <c r="L1530" s="92"/>
      <c r="M1530" s="93"/>
      <c r="N1530" s="87" t="s">
        <v>3202</v>
      </c>
      <c r="O1530" s="87" t="s">
        <v>377</v>
      </c>
      <c r="P1530" s="87" t="s">
        <v>372</v>
      </c>
    </row>
    <row r="1531" ht="15.75" customHeight="1">
      <c r="A1531" s="87" t="s">
        <v>4776</v>
      </c>
      <c r="B1531" s="88">
        <v>1.22E18</v>
      </c>
      <c r="C1531" s="87" t="s">
        <v>4777</v>
      </c>
      <c r="D1531" s="87" t="s">
        <v>262</v>
      </c>
      <c r="E1531" s="87" t="s">
        <v>267</v>
      </c>
      <c r="F1531" s="87" t="s">
        <v>4777</v>
      </c>
      <c r="I1531" s="87" t="s">
        <v>58</v>
      </c>
      <c r="J1531" s="87" t="s">
        <v>4778</v>
      </c>
      <c r="K1531" s="90">
        <v>0.0</v>
      </c>
      <c r="L1531" s="92"/>
      <c r="M1531" s="93"/>
      <c r="N1531" s="87" t="s">
        <v>3202</v>
      </c>
      <c r="O1531" s="87" t="s">
        <v>377</v>
      </c>
      <c r="P1531" s="87" t="s">
        <v>372</v>
      </c>
    </row>
    <row r="1532" ht="15.75" customHeight="1">
      <c r="A1532" s="87" t="s">
        <v>4779</v>
      </c>
      <c r="B1532" s="88">
        <v>1.22E18</v>
      </c>
      <c r="C1532" s="87" t="s">
        <v>4780</v>
      </c>
      <c r="D1532" s="87" t="s">
        <v>262</v>
      </c>
      <c r="E1532" s="87" t="s">
        <v>267</v>
      </c>
      <c r="F1532" s="87" t="s">
        <v>4780</v>
      </c>
      <c r="I1532" s="87" t="s">
        <v>58</v>
      </c>
      <c r="J1532" s="87" t="s">
        <v>4781</v>
      </c>
      <c r="K1532" s="90">
        <v>0.0</v>
      </c>
      <c r="L1532" s="92"/>
      <c r="M1532" s="93"/>
      <c r="N1532" s="87" t="s">
        <v>3202</v>
      </c>
      <c r="O1532" s="87" t="s">
        <v>377</v>
      </c>
      <c r="P1532" s="87" t="s">
        <v>372</v>
      </c>
    </row>
    <row r="1533" ht="15.75" customHeight="1">
      <c r="A1533" s="87" t="s">
        <v>4782</v>
      </c>
      <c r="B1533" s="88">
        <v>1.22E18</v>
      </c>
      <c r="C1533" s="87" t="s">
        <v>4783</v>
      </c>
      <c r="D1533" s="87" t="s">
        <v>262</v>
      </c>
      <c r="E1533" s="87" t="s">
        <v>267</v>
      </c>
      <c r="F1533" s="87" t="s">
        <v>4783</v>
      </c>
      <c r="I1533" s="87" t="s">
        <v>58</v>
      </c>
      <c r="J1533" s="87" t="s">
        <v>4784</v>
      </c>
      <c r="K1533" s="90">
        <v>0.0</v>
      </c>
      <c r="L1533" s="92"/>
      <c r="M1533" s="93"/>
      <c r="N1533" s="87" t="s">
        <v>3202</v>
      </c>
      <c r="O1533" s="87" t="s">
        <v>377</v>
      </c>
      <c r="P1533" s="87" t="s">
        <v>372</v>
      </c>
    </row>
    <row r="1534" ht="15.75" customHeight="1">
      <c r="A1534" s="87" t="s">
        <v>4785</v>
      </c>
      <c r="B1534" s="88">
        <v>1.22E18</v>
      </c>
      <c r="C1534" s="87" t="s">
        <v>4786</v>
      </c>
      <c r="D1534" s="87" t="s">
        <v>262</v>
      </c>
      <c r="E1534" s="87" t="s">
        <v>267</v>
      </c>
      <c r="F1534" s="87" t="s">
        <v>4786</v>
      </c>
      <c r="I1534" s="87" t="s">
        <v>58</v>
      </c>
      <c r="J1534" s="87" t="s">
        <v>4787</v>
      </c>
      <c r="K1534" s="90">
        <v>0.0</v>
      </c>
      <c r="L1534" s="92"/>
      <c r="M1534" s="93"/>
      <c r="N1534" s="87" t="s">
        <v>3202</v>
      </c>
      <c r="O1534" s="87" t="s">
        <v>377</v>
      </c>
      <c r="P1534" s="87" t="s">
        <v>372</v>
      </c>
    </row>
    <row r="1535" ht="15.75" customHeight="1">
      <c r="A1535" s="87" t="s">
        <v>4788</v>
      </c>
      <c r="B1535" s="88">
        <v>1.22E18</v>
      </c>
      <c r="C1535" s="87" t="s">
        <v>4789</v>
      </c>
      <c r="D1535" s="87" t="s">
        <v>262</v>
      </c>
      <c r="E1535" s="87" t="s">
        <v>267</v>
      </c>
      <c r="F1535" s="87" t="s">
        <v>4789</v>
      </c>
      <c r="I1535" s="87" t="s">
        <v>58</v>
      </c>
      <c r="J1535" s="87" t="s">
        <v>4790</v>
      </c>
      <c r="K1535" s="90">
        <v>0.0</v>
      </c>
      <c r="L1535" s="92"/>
      <c r="M1535" s="93"/>
      <c r="N1535" s="87" t="s">
        <v>3202</v>
      </c>
      <c r="O1535" s="87" t="s">
        <v>377</v>
      </c>
      <c r="P1535" s="87" t="s">
        <v>372</v>
      </c>
    </row>
    <row r="1536" ht="15.75" customHeight="1">
      <c r="A1536" s="87" t="s">
        <v>4791</v>
      </c>
      <c r="B1536" s="88">
        <v>1.22E18</v>
      </c>
      <c r="C1536" s="87" t="s">
        <v>4792</v>
      </c>
      <c r="D1536" s="87" t="s">
        <v>262</v>
      </c>
      <c r="E1536" s="87" t="s">
        <v>267</v>
      </c>
      <c r="F1536" s="87" t="s">
        <v>4792</v>
      </c>
      <c r="I1536" s="87" t="s">
        <v>58</v>
      </c>
      <c r="J1536" s="87" t="s">
        <v>4329</v>
      </c>
      <c r="K1536" s="90">
        <v>0.0</v>
      </c>
      <c r="L1536" s="92"/>
      <c r="M1536" s="93"/>
      <c r="N1536" s="87" t="s">
        <v>2345</v>
      </c>
      <c r="O1536" s="87" t="s">
        <v>377</v>
      </c>
      <c r="P1536" s="87" t="s">
        <v>372</v>
      </c>
    </row>
    <row r="1537" ht="15.75" customHeight="1">
      <c r="A1537" s="87" t="s">
        <v>4793</v>
      </c>
      <c r="B1537" s="88">
        <v>1.22E18</v>
      </c>
      <c r="C1537" s="87" t="s">
        <v>4794</v>
      </c>
      <c r="D1537" s="87" t="s">
        <v>87</v>
      </c>
      <c r="E1537" s="87" t="s">
        <v>88</v>
      </c>
      <c r="F1537" s="118" t="s">
        <v>4794</v>
      </c>
      <c r="G1537" s="130"/>
      <c r="H1537" s="119"/>
      <c r="I1537" s="87" t="s">
        <v>58</v>
      </c>
      <c r="J1537" s="87" t="s">
        <v>4795</v>
      </c>
      <c r="K1537" s="90">
        <v>0.0</v>
      </c>
      <c r="L1537" s="92"/>
      <c r="M1537" s="93"/>
      <c r="N1537" s="87" t="s">
        <v>2345</v>
      </c>
      <c r="O1537" s="87" t="s">
        <v>377</v>
      </c>
      <c r="P1537" s="87" t="s">
        <v>372</v>
      </c>
    </row>
    <row r="1538" ht="15.75" customHeight="1">
      <c r="A1538" s="87" t="s">
        <v>4796</v>
      </c>
      <c r="B1538" s="88">
        <v>1.22E18</v>
      </c>
      <c r="C1538" s="87" t="s">
        <v>4797</v>
      </c>
      <c r="D1538" s="87" t="s">
        <v>262</v>
      </c>
      <c r="E1538" s="87" t="s">
        <v>267</v>
      </c>
      <c r="F1538" s="118" t="s">
        <v>4797</v>
      </c>
      <c r="G1538" s="130"/>
      <c r="H1538" s="119"/>
      <c r="I1538" s="87" t="s">
        <v>58</v>
      </c>
      <c r="J1538" s="87" t="s">
        <v>4798</v>
      </c>
      <c r="K1538" s="90">
        <v>0.0</v>
      </c>
      <c r="L1538" s="92"/>
      <c r="M1538" s="93"/>
      <c r="N1538" s="87" t="s">
        <v>2345</v>
      </c>
      <c r="O1538" s="87" t="s">
        <v>377</v>
      </c>
      <c r="P1538" s="87" t="s">
        <v>372</v>
      </c>
    </row>
    <row r="1539" ht="15.75" customHeight="1">
      <c r="A1539" s="87" t="s">
        <v>4799</v>
      </c>
      <c r="B1539" s="88">
        <v>1.22E18</v>
      </c>
      <c r="C1539" s="87" t="s">
        <v>4800</v>
      </c>
      <c r="D1539" s="87" t="s">
        <v>262</v>
      </c>
      <c r="E1539" s="87" t="s">
        <v>267</v>
      </c>
      <c r="F1539" s="87" t="s">
        <v>4800</v>
      </c>
      <c r="I1539" s="87" t="s">
        <v>58</v>
      </c>
      <c r="J1539" s="87" t="s">
        <v>4801</v>
      </c>
      <c r="K1539" s="90">
        <v>0.0</v>
      </c>
      <c r="L1539" s="92"/>
      <c r="M1539" s="93"/>
      <c r="N1539" s="87" t="s">
        <v>2345</v>
      </c>
      <c r="O1539" s="87" t="s">
        <v>377</v>
      </c>
      <c r="P1539" s="87" t="s">
        <v>372</v>
      </c>
    </row>
    <row r="1540" ht="15.75" customHeight="1">
      <c r="A1540" s="87" t="s">
        <v>4802</v>
      </c>
      <c r="B1540" s="88">
        <v>1.22E18</v>
      </c>
      <c r="C1540" s="87" t="s">
        <v>4803</v>
      </c>
      <c r="D1540" s="87" t="s">
        <v>262</v>
      </c>
      <c r="E1540" s="87" t="s">
        <v>267</v>
      </c>
      <c r="F1540" s="118" t="s">
        <v>4803</v>
      </c>
      <c r="G1540" s="130"/>
      <c r="H1540" s="119"/>
      <c r="I1540" s="87" t="s">
        <v>58</v>
      </c>
      <c r="J1540" s="87" t="s">
        <v>4804</v>
      </c>
      <c r="K1540" s="90">
        <v>0.0</v>
      </c>
      <c r="L1540" s="92"/>
      <c r="M1540" s="93"/>
      <c r="N1540" s="87" t="s">
        <v>2345</v>
      </c>
      <c r="O1540" s="87" t="s">
        <v>377</v>
      </c>
      <c r="P1540" s="87" t="s">
        <v>372</v>
      </c>
    </row>
    <row r="1541" ht="15.75" customHeight="1">
      <c r="A1541" s="87" t="s">
        <v>4805</v>
      </c>
      <c r="B1541" s="88">
        <v>1.22E18</v>
      </c>
      <c r="C1541" s="87" t="s">
        <v>4806</v>
      </c>
      <c r="D1541" s="87" t="s">
        <v>87</v>
      </c>
      <c r="E1541" s="87" t="s">
        <v>88</v>
      </c>
      <c r="F1541" s="118" t="s">
        <v>4806</v>
      </c>
      <c r="G1541" s="130"/>
      <c r="H1541" s="119"/>
      <c r="I1541" s="87" t="s">
        <v>58</v>
      </c>
      <c r="J1541" s="87" t="s">
        <v>4807</v>
      </c>
      <c r="K1541" s="90">
        <v>0.0</v>
      </c>
      <c r="L1541" s="92"/>
      <c r="M1541" s="93"/>
      <c r="N1541" s="87" t="s">
        <v>2345</v>
      </c>
      <c r="O1541" s="87" t="s">
        <v>377</v>
      </c>
      <c r="P1541" s="87" t="s">
        <v>372</v>
      </c>
    </row>
    <row r="1542" ht="15.75" customHeight="1">
      <c r="A1542" s="87" t="s">
        <v>4808</v>
      </c>
      <c r="B1542" s="88">
        <v>1.22E18</v>
      </c>
      <c r="C1542" s="87" t="s">
        <v>4809</v>
      </c>
      <c r="D1542" s="87" t="s">
        <v>87</v>
      </c>
      <c r="E1542" s="87" t="s">
        <v>88</v>
      </c>
      <c r="F1542" s="87" t="s">
        <v>4809</v>
      </c>
      <c r="I1542" s="87" t="s">
        <v>58</v>
      </c>
      <c r="J1542" s="87" t="s">
        <v>4810</v>
      </c>
      <c r="K1542" s="90">
        <v>0.0</v>
      </c>
      <c r="L1542" s="92"/>
      <c r="M1542" s="93"/>
      <c r="N1542" s="87" t="s">
        <v>2345</v>
      </c>
      <c r="O1542" s="87" t="s">
        <v>377</v>
      </c>
      <c r="P1542" s="87" t="s">
        <v>372</v>
      </c>
    </row>
    <row r="1543" ht="15.75" customHeight="1">
      <c r="A1543" s="87" t="s">
        <v>4811</v>
      </c>
      <c r="B1543" s="88">
        <v>1.22E18</v>
      </c>
      <c r="C1543" s="87" t="s">
        <v>4812</v>
      </c>
      <c r="D1543" s="87" t="s">
        <v>262</v>
      </c>
      <c r="E1543" s="87" t="s">
        <v>267</v>
      </c>
      <c r="F1543" s="118" t="s">
        <v>4812</v>
      </c>
      <c r="G1543" s="130"/>
      <c r="H1543" s="119"/>
      <c r="I1543" s="87" t="s">
        <v>58</v>
      </c>
      <c r="J1543" s="87" t="s">
        <v>4813</v>
      </c>
      <c r="K1543" s="90">
        <v>0.0</v>
      </c>
      <c r="L1543" s="92"/>
      <c r="M1543" s="93"/>
      <c r="N1543" s="87" t="s">
        <v>2345</v>
      </c>
      <c r="O1543" s="87" t="s">
        <v>377</v>
      </c>
      <c r="P1543" s="87" t="s">
        <v>372</v>
      </c>
    </row>
    <row r="1544" ht="15.75" customHeight="1">
      <c r="A1544" s="87" t="s">
        <v>4814</v>
      </c>
      <c r="B1544" s="88">
        <v>1.22E18</v>
      </c>
      <c r="C1544" s="87" t="s">
        <v>4815</v>
      </c>
      <c r="D1544" s="87" t="s">
        <v>87</v>
      </c>
      <c r="E1544" s="87" t="s">
        <v>88</v>
      </c>
      <c r="F1544" s="87" t="s">
        <v>4815</v>
      </c>
      <c r="I1544" s="87" t="s">
        <v>58</v>
      </c>
      <c r="J1544" s="87" t="s">
        <v>4816</v>
      </c>
      <c r="K1544" s="90">
        <v>0.0</v>
      </c>
      <c r="L1544" s="92"/>
      <c r="M1544" s="93"/>
      <c r="N1544" s="87" t="s">
        <v>2345</v>
      </c>
      <c r="O1544" s="87" t="s">
        <v>377</v>
      </c>
      <c r="P1544" s="87" t="s">
        <v>372</v>
      </c>
    </row>
    <row r="1545" ht="15.75" customHeight="1">
      <c r="A1545" s="87" t="s">
        <v>4817</v>
      </c>
      <c r="B1545" s="88">
        <v>1.22E18</v>
      </c>
      <c r="C1545" s="87" t="s">
        <v>4818</v>
      </c>
      <c r="D1545" s="87" t="s">
        <v>87</v>
      </c>
      <c r="E1545" s="87" t="s">
        <v>88</v>
      </c>
      <c r="F1545" s="87" t="s">
        <v>4818</v>
      </c>
      <c r="I1545" s="87" t="s">
        <v>58</v>
      </c>
      <c r="J1545" s="87" t="s">
        <v>4819</v>
      </c>
      <c r="K1545" s="90">
        <v>0.0</v>
      </c>
      <c r="L1545" s="92"/>
      <c r="M1545" s="93"/>
      <c r="N1545" s="87" t="s">
        <v>2345</v>
      </c>
      <c r="O1545" s="87" t="s">
        <v>377</v>
      </c>
      <c r="P1545" s="87" t="s">
        <v>372</v>
      </c>
    </row>
    <row r="1546" ht="15.75" customHeight="1">
      <c r="A1546" s="87" t="s">
        <v>4820</v>
      </c>
      <c r="B1546" s="88">
        <v>1.22E18</v>
      </c>
      <c r="C1546" s="87" t="s">
        <v>4821</v>
      </c>
      <c r="D1546" s="87" t="s">
        <v>262</v>
      </c>
      <c r="E1546" s="87" t="s">
        <v>267</v>
      </c>
      <c r="F1546" s="118" t="s">
        <v>4821</v>
      </c>
      <c r="G1546" s="130"/>
      <c r="H1546" s="119"/>
      <c r="I1546" s="87" t="s">
        <v>58</v>
      </c>
      <c r="J1546" s="87" t="s">
        <v>4822</v>
      </c>
      <c r="K1546" s="90">
        <v>0.0</v>
      </c>
      <c r="L1546" s="92"/>
      <c r="M1546" s="93"/>
      <c r="N1546" s="87" t="s">
        <v>2345</v>
      </c>
      <c r="O1546" s="87" t="s">
        <v>377</v>
      </c>
      <c r="P1546" s="87" t="s">
        <v>372</v>
      </c>
    </row>
    <row r="1547" ht="15.75" customHeight="1">
      <c r="A1547" s="87" t="s">
        <v>4823</v>
      </c>
      <c r="B1547" s="88">
        <v>1.22E18</v>
      </c>
      <c r="C1547" s="87" t="s">
        <v>4824</v>
      </c>
      <c r="D1547" s="87" t="s">
        <v>262</v>
      </c>
      <c r="E1547" s="87" t="s">
        <v>267</v>
      </c>
      <c r="F1547" s="118" t="s">
        <v>4824</v>
      </c>
      <c r="G1547" s="130"/>
      <c r="H1547" s="119"/>
      <c r="I1547" s="87" t="s">
        <v>58</v>
      </c>
      <c r="J1547" s="87" t="s">
        <v>4825</v>
      </c>
      <c r="K1547" s="90">
        <v>0.0</v>
      </c>
      <c r="L1547" s="92"/>
      <c r="M1547" s="93"/>
      <c r="N1547" s="87" t="s">
        <v>2345</v>
      </c>
      <c r="O1547" s="87" t="s">
        <v>377</v>
      </c>
      <c r="P1547" s="87" t="s">
        <v>372</v>
      </c>
    </row>
    <row r="1548" ht="15.75" customHeight="1">
      <c r="A1548" s="87" t="s">
        <v>4826</v>
      </c>
      <c r="B1548" s="88">
        <v>1.22E18</v>
      </c>
      <c r="C1548" s="87" t="s">
        <v>4827</v>
      </c>
      <c r="D1548" s="87" t="s">
        <v>262</v>
      </c>
      <c r="E1548" s="87" t="s">
        <v>267</v>
      </c>
      <c r="F1548" s="118" t="s">
        <v>4827</v>
      </c>
      <c r="G1548" s="130"/>
      <c r="H1548" s="119"/>
      <c r="I1548" s="87" t="s">
        <v>58</v>
      </c>
      <c r="J1548" s="87" t="s">
        <v>4828</v>
      </c>
      <c r="K1548" s="90">
        <v>0.0</v>
      </c>
      <c r="L1548" s="92"/>
      <c r="M1548" s="93"/>
      <c r="N1548" s="87" t="s">
        <v>2345</v>
      </c>
      <c r="O1548" s="87" t="s">
        <v>377</v>
      </c>
      <c r="P1548" s="87" t="s">
        <v>372</v>
      </c>
    </row>
    <row r="1549" ht="15.75" customHeight="1">
      <c r="A1549" s="87" t="s">
        <v>4829</v>
      </c>
      <c r="B1549" s="88">
        <v>1.22E18</v>
      </c>
      <c r="C1549" s="87" t="s">
        <v>4830</v>
      </c>
      <c r="D1549" s="87" t="s">
        <v>262</v>
      </c>
      <c r="E1549" s="87" t="s">
        <v>267</v>
      </c>
      <c r="F1549" s="118" t="s">
        <v>4830</v>
      </c>
      <c r="G1549" s="130"/>
      <c r="H1549" s="119"/>
      <c r="I1549" s="87" t="s">
        <v>58</v>
      </c>
      <c r="J1549" s="87" t="s">
        <v>4831</v>
      </c>
      <c r="K1549" s="90">
        <v>0.0</v>
      </c>
      <c r="L1549" s="92"/>
      <c r="M1549" s="93"/>
      <c r="N1549" s="87" t="s">
        <v>2345</v>
      </c>
      <c r="O1549" s="87" t="s">
        <v>377</v>
      </c>
      <c r="P1549" s="87" t="s">
        <v>372</v>
      </c>
    </row>
    <row r="1550" ht="15.75" customHeight="1">
      <c r="A1550" s="87" t="s">
        <v>4832</v>
      </c>
      <c r="B1550" s="88">
        <v>1.22E18</v>
      </c>
      <c r="C1550" s="87" t="s">
        <v>4833</v>
      </c>
      <c r="D1550" s="87" t="s">
        <v>262</v>
      </c>
      <c r="E1550" s="87" t="s">
        <v>267</v>
      </c>
      <c r="F1550" s="118" t="s">
        <v>4833</v>
      </c>
      <c r="G1550" s="130"/>
      <c r="H1550" s="119"/>
      <c r="I1550" s="87" t="s">
        <v>58</v>
      </c>
      <c r="J1550" s="87" t="s">
        <v>4834</v>
      </c>
      <c r="K1550" s="90">
        <v>0.0</v>
      </c>
      <c r="L1550" s="92"/>
      <c r="M1550" s="93"/>
      <c r="N1550" s="87" t="s">
        <v>2345</v>
      </c>
      <c r="O1550" s="87" t="s">
        <v>377</v>
      </c>
      <c r="P1550" s="87" t="s">
        <v>372</v>
      </c>
    </row>
    <row r="1551" ht="15.75" customHeight="1">
      <c r="A1551" s="87" t="s">
        <v>4835</v>
      </c>
      <c r="B1551" s="88">
        <v>1.22E18</v>
      </c>
      <c r="C1551" s="87" t="s">
        <v>4836</v>
      </c>
      <c r="D1551" s="87" t="s">
        <v>262</v>
      </c>
      <c r="E1551" s="87" t="s">
        <v>267</v>
      </c>
      <c r="F1551" s="118" t="s">
        <v>4836</v>
      </c>
      <c r="G1551" s="130"/>
      <c r="H1551" s="119"/>
      <c r="I1551" s="87" t="s">
        <v>58</v>
      </c>
      <c r="J1551" s="87" t="s">
        <v>1195</v>
      </c>
      <c r="K1551" s="90">
        <v>0.0</v>
      </c>
      <c r="L1551" s="92"/>
      <c r="M1551" s="93"/>
      <c r="N1551" s="87" t="s">
        <v>2345</v>
      </c>
      <c r="O1551" s="87" t="s">
        <v>377</v>
      </c>
      <c r="P1551" s="87" t="s">
        <v>372</v>
      </c>
    </row>
    <row r="1552" ht="15.75" customHeight="1">
      <c r="A1552" s="87" t="s">
        <v>4837</v>
      </c>
      <c r="B1552" s="88">
        <v>1.22E18</v>
      </c>
      <c r="C1552" s="87" t="s">
        <v>4838</v>
      </c>
      <c r="D1552" s="87" t="s">
        <v>262</v>
      </c>
      <c r="E1552" s="87" t="s">
        <v>267</v>
      </c>
      <c r="F1552" s="118" t="s">
        <v>4838</v>
      </c>
      <c r="G1552" s="130"/>
      <c r="H1552" s="119"/>
      <c r="I1552" s="87" t="s">
        <v>58</v>
      </c>
      <c r="J1552" s="87" t="s">
        <v>4839</v>
      </c>
      <c r="K1552" s="90">
        <v>0.0</v>
      </c>
      <c r="L1552" s="92"/>
      <c r="M1552" s="93"/>
      <c r="N1552" s="87" t="s">
        <v>2345</v>
      </c>
      <c r="O1552" s="87" t="s">
        <v>377</v>
      </c>
      <c r="P1552" s="87" t="s">
        <v>372</v>
      </c>
    </row>
    <row r="1553" ht="15.75" customHeight="1">
      <c r="A1553" s="87" t="s">
        <v>4840</v>
      </c>
      <c r="B1553" s="88">
        <v>1.22E18</v>
      </c>
      <c r="C1553" s="87" t="s">
        <v>4841</v>
      </c>
      <c r="D1553" s="87" t="s">
        <v>262</v>
      </c>
      <c r="E1553" s="87" t="s">
        <v>267</v>
      </c>
      <c r="F1553" s="118" t="s">
        <v>4841</v>
      </c>
      <c r="G1553" s="130"/>
      <c r="H1553" s="119"/>
      <c r="I1553" s="87" t="s">
        <v>58</v>
      </c>
      <c r="J1553" s="87" t="s">
        <v>2379</v>
      </c>
      <c r="K1553" s="90">
        <v>0.0</v>
      </c>
      <c r="L1553" s="92"/>
      <c r="M1553" s="93"/>
      <c r="N1553" s="87" t="s">
        <v>2345</v>
      </c>
      <c r="O1553" s="87" t="s">
        <v>377</v>
      </c>
      <c r="P1553" s="87" t="s">
        <v>372</v>
      </c>
    </row>
    <row r="1554" ht="15.75" customHeight="1">
      <c r="A1554" s="87" t="s">
        <v>4842</v>
      </c>
      <c r="B1554" s="88">
        <v>1.22E18</v>
      </c>
      <c r="C1554" s="87" t="s">
        <v>4843</v>
      </c>
      <c r="D1554" s="87" t="s">
        <v>87</v>
      </c>
      <c r="E1554" s="87" t="s">
        <v>88</v>
      </c>
      <c r="F1554" s="118" t="s">
        <v>4843</v>
      </c>
      <c r="G1554" s="130"/>
      <c r="H1554" s="119"/>
      <c r="I1554" s="87" t="s">
        <v>58</v>
      </c>
      <c r="J1554" s="87" t="s">
        <v>4844</v>
      </c>
      <c r="K1554" s="90">
        <v>0.0</v>
      </c>
      <c r="L1554" s="92"/>
      <c r="M1554" s="93"/>
      <c r="N1554" s="87" t="s">
        <v>1729</v>
      </c>
      <c r="O1554" s="87" t="s">
        <v>377</v>
      </c>
      <c r="P1554" s="87" t="s">
        <v>372</v>
      </c>
    </row>
    <row r="1555" ht="15.75" customHeight="1">
      <c r="A1555" s="87" t="s">
        <v>4845</v>
      </c>
      <c r="B1555" s="88">
        <v>1.22E18</v>
      </c>
      <c r="C1555" s="87" t="s">
        <v>4846</v>
      </c>
      <c r="D1555" s="87" t="s">
        <v>262</v>
      </c>
      <c r="E1555" s="87" t="s">
        <v>267</v>
      </c>
      <c r="F1555" s="87" t="s">
        <v>4846</v>
      </c>
      <c r="I1555" s="87" t="s">
        <v>58</v>
      </c>
      <c r="J1555" s="87" t="s">
        <v>4453</v>
      </c>
      <c r="K1555" s="90">
        <v>0.0</v>
      </c>
      <c r="L1555" s="92"/>
      <c r="M1555" s="93"/>
      <c r="N1555" s="87" t="s">
        <v>1729</v>
      </c>
      <c r="O1555" s="87" t="s">
        <v>377</v>
      </c>
      <c r="P1555" s="87" t="s">
        <v>372</v>
      </c>
    </row>
    <row r="1556" ht="15.75" customHeight="1">
      <c r="A1556" s="87" t="s">
        <v>4847</v>
      </c>
      <c r="B1556" s="88">
        <v>1.22E18</v>
      </c>
      <c r="C1556" s="87" t="s">
        <v>4848</v>
      </c>
      <c r="D1556" s="87" t="s">
        <v>262</v>
      </c>
      <c r="E1556" s="87" t="s">
        <v>267</v>
      </c>
      <c r="F1556" s="118" t="s">
        <v>4848</v>
      </c>
      <c r="G1556" s="130"/>
      <c r="H1556" s="119"/>
      <c r="I1556" s="87" t="s">
        <v>58</v>
      </c>
      <c r="J1556" s="87" t="s">
        <v>4849</v>
      </c>
      <c r="K1556" s="90">
        <v>0.0</v>
      </c>
      <c r="L1556" s="92"/>
      <c r="M1556" s="93"/>
      <c r="N1556" s="87" t="s">
        <v>1729</v>
      </c>
      <c r="O1556" s="87" t="s">
        <v>377</v>
      </c>
      <c r="P1556" s="87" t="s">
        <v>372</v>
      </c>
    </row>
    <row r="1557" ht="15.75" customHeight="1">
      <c r="A1557" s="87" t="s">
        <v>4850</v>
      </c>
      <c r="B1557" s="88">
        <v>1.22E18</v>
      </c>
      <c r="C1557" s="87" t="s">
        <v>4851</v>
      </c>
      <c r="D1557" s="87" t="s">
        <v>87</v>
      </c>
      <c r="E1557" s="87" t="s">
        <v>88</v>
      </c>
      <c r="F1557" s="87" t="s">
        <v>4851</v>
      </c>
      <c r="I1557" s="87" t="s">
        <v>58</v>
      </c>
      <c r="J1557" s="87" t="s">
        <v>4852</v>
      </c>
      <c r="K1557" s="90">
        <v>0.0</v>
      </c>
      <c r="L1557" s="92"/>
      <c r="M1557" s="93"/>
      <c r="N1557" s="87" t="s">
        <v>1729</v>
      </c>
      <c r="O1557" s="87" t="s">
        <v>377</v>
      </c>
      <c r="P1557" s="87" t="s">
        <v>372</v>
      </c>
    </row>
    <row r="1558" ht="15.75" customHeight="1">
      <c r="A1558" s="87" t="s">
        <v>4853</v>
      </c>
      <c r="B1558" s="88">
        <v>1.22E18</v>
      </c>
      <c r="C1558" s="87" t="s">
        <v>4854</v>
      </c>
      <c r="D1558" s="87" t="s">
        <v>87</v>
      </c>
      <c r="E1558" s="87" t="s">
        <v>88</v>
      </c>
      <c r="F1558" s="87" t="s">
        <v>4854</v>
      </c>
      <c r="I1558" s="87" t="s">
        <v>58</v>
      </c>
      <c r="J1558" s="87" t="s">
        <v>4855</v>
      </c>
      <c r="K1558" s="90">
        <v>0.0</v>
      </c>
      <c r="L1558" s="92"/>
      <c r="M1558" s="93"/>
      <c r="N1558" s="87" t="s">
        <v>1729</v>
      </c>
      <c r="O1558" s="87" t="s">
        <v>377</v>
      </c>
      <c r="P1558" s="87" t="s">
        <v>372</v>
      </c>
    </row>
    <row r="1559" ht="15.75" customHeight="1">
      <c r="A1559" s="87" t="s">
        <v>4856</v>
      </c>
      <c r="B1559" s="88">
        <v>1.22E18</v>
      </c>
      <c r="C1559" s="87" t="s">
        <v>4857</v>
      </c>
      <c r="D1559" s="87" t="s">
        <v>262</v>
      </c>
      <c r="E1559" s="87" t="s">
        <v>267</v>
      </c>
      <c r="F1559" s="87" t="s">
        <v>4857</v>
      </c>
      <c r="I1559" s="87" t="s">
        <v>58</v>
      </c>
      <c r="J1559" s="87" t="s">
        <v>4858</v>
      </c>
      <c r="K1559" s="90">
        <v>0.0</v>
      </c>
      <c r="L1559" s="92"/>
      <c r="M1559" s="93"/>
      <c r="N1559" s="87" t="s">
        <v>3006</v>
      </c>
      <c r="O1559" s="87" t="s">
        <v>377</v>
      </c>
      <c r="P1559" s="87" t="s">
        <v>372</v>
      </c>
    </row>
    <row r="1560" ht="15.75" customHeight="1">
      <c r="A1560" s="87" t="s">
        <v>4859</v>
      </c>
      <c r="B1560" s="88">
        <v>1.22E18</v>
      </c>
      <c r="C1560" s="87" t="s">
        <v>4860</v>
      </c>
      <c r="D1560" s="87" t="s">
        <v>262</v>
      </c>
      <c r="E1560" s="87" t="s">
        <v>267</v>
      </c>
      <c r="F1560" s="87" t="s">
        <v>4860</v>
      </c>
      <c r="I1560" s="87" t="s">
        <v>58</v>
      </c>
      <c r="J1560" s="87" t="s">
        <v>4861</v>
      </c>
      <c r="K1560" s="90">
        <v>0.0</v>
      </c>
      <c r="L1560" s="92"/>
      <c r="M1560" s="93"/>
      <c r="N1560" s="87" t="s">
        <v>3006</v>
      </c>
      <c r="O1560" s="87" t="s">
        <v>377</v>
      </c>
      <c r="P1560" s="87" t="s">
        <v>372</v>
      </c>
    </row>
    <row r="1561" ht="15.75" customHeight="1">
      <c r="A1561" s="87" t="s">
        <v>4862</v>
      </c>
      <c r="B1561" s="88">
        <v>1.22E18</v>
      </c>
      <c r="C1561" s="87" t="s">
        <v>4863</v>
      </c>
      <c r="D1561" s="87" t="s">
        <v>262</v>
      </c>
      <c r="E1561" s="87" t="s">
        <v>267</v>
      </c>
      <c r="F1561" s="87" t="s">
        <v>4863</v>
      </c>
      <c r="I1561" s="87" t="s">
        <v>58</v>
      </c>
      <c r="J1561" s="87" t="s">
        <v>4864</v>
      </c>
      <c r="K1561" s="90">
        <v>0.0</v>
      </c>
      <c r="L1561" s="92"/>
      <c r="M1561" s="93"/>
      <c r="N1561" s="87" t="s">
        <v>3006</v>
      </c>
      <c r="O1561" s="87" t="s">
        <v>377</v>
      </c>
      <c r="P1561" s="87" t="s">
        <v>372</v>
      </c>
    </row>
    <row r="1562" ht="15.75" customHeight="1">
      <c r="A1562" s="87" t="s">
        <v>4865</v>
      </c>
      <c r="B1562" s="88">
        <v>1.22E18</v>
      </c>
      <c r="C1562" s="87" t="s">
        <v>4866</v>
      </c>
      <c r="D1562" s="87" t="s">
        <v>262</v>
      </c>
      <c r="E1562" s="87" t="s">
        <v>267</v>
      </c>
      <c r="F1562" s="87" t="s">
        <v>4866</v>
      </c>
      <c r="I1562" s="87" t="s">
        <v>58</v>
      </c>
      <c r="J1562" s="87" t="s">
        <v>4867</v>
      </c>
      <c r="K1562" s="90">
        <v>0.0</v>
      </c>
      <c r="L1562" s="92"/>
      <c r="M1562" s="93"/>
      <c r="N1562" s="87" t="s">
        <v>3006</v>
      </c>
      <c r="O1562" s="87" t="s">
        <v>377</v>
      </c>
      <c r="P1562" s="87" t="s">
        <v>372</v>
      </c>
    </row>
    <row r="1563" ht="15.75" customHeight="1">
      <c r="A1563" s="87" t="s">
        <v>4868</v>
      </c>
      <c r="B1563" s="88">
        <v>1.22E18</v>
      </c>
      <c r="C1563" s="87" t="s">
        <v>4869</v>
      </c>
      <c r="D1563" s="87" t="s">
        <v>262</v>
      </c>
      <c r="E1563" s="87" t="s">
        <v>267</v>
      </c>
      <c r="F1563" s="87" t="s">
        <v>4869</v>
      </c>
      <c r="I1563" s="87" t="s">
        <v>58</v>
      </c>
      <c r="J1563" s="87" t="s">
        <v>4870</v>
      </c>
      <c r="K1563" s="90">
        <v>0.0</v>
      </c>
      <c r="L1563" s="92"/>
      <c r="M1563" s="93"/>
      <c r="N1563" s="87" t="s">
        <v>3006</v>
      </c>
      <c r="O1563" s="87" t="s">
        <v>377</v>
      </c>
      <c r="P1563" s="87" t="s">
        <v>372</v>
      </c>
    </row>
    <row r="1564" ht="15.75" customHeight="1">
      <c r="A1564" s="87" t="s">
        <v>4871</v>
      </c>
      <c r="B1564" s="88">
        <v>1.22E18</v>
      </c>
      <c r="C1564" s="87" t="s">
        <v>4872</v>
      </c>
      <c r="D1564" s="87" t="s">
        <v>262</v>
      </c>
      <c r="E1564" s="87" t="s">
        <v>267</v>
      </c>
      <c r="F1564" s="118" t="s">
        <v>4872</v>
      </c>
      <c r="G1564" s="130"/>
      <c r="H1564" s="119"/>
      <c r="I1564" s="87" t="s">
        <v>58</v>
      </c>
      <c r="J1564" s="87" t="s">
        <v>2852</v>
      </c>
      <c r="K1564" s="90">
        <v>0.0</v>
      </c>
      <c r="L1564" s="92"/>
      <c r="M1564" s="93"/>
      <c r="N1564" s="87" t="s">
        <v>3006</v>
      </c>
      <c r="O1564" s="87" t="s">
        <v>377</v>
      </c>
      <c r="P1564" s="87" t="s">
        <v>372</v>
      </c>
    </row>
    <row r="1565" ht="15.75" customHeight="1">
      <c r="A1565" s="87" t="s">
        <v>4873</v>
      </c>
      <c r="B1565" s="88">
        <v>1.22E18</v>
      </c>
      <c r="C1565" s="87" t="s">
        <v>4874</v>
      </c>
      <c r="D1565" s="87" t="s">
        <v>87</v>
      </c>
      <c r="E1565" s="87" t="s">
        <v>88</v>
      </c>
      <c r="F1565" s="118" t="s">
        <v>4874</v>
      </c>
      <c r="G1565" s="130"/>
      <c r="H1565" s="119"/>
      <c r="I1565" s="87" t="s">
        <v>58</v>
      </c>
      <c r="J1565" s="87" t="s">
        <v>4855</v>
      </c>
      <c r="K1565" s="90">
        <v>0.0</v>
      </c>
      <c r="L1565" s="92"/>
      <c r="M1565" s="93"/>
      <c r="N1565" s="87" t="s">
        <v>4875</v>
      </c>
      <c r="O1565" s="87" t="s">
        <v>377</v>
      </c>
      <c r="P1565" s="87" t="s">
        <v>372</v>
      </c>
    </row>
    <row r="1566" ht="15.75" customHeight="1">
      <c r="A1566" s="87" t="s">
        <v>4876</v>
      </c>
      <c r="B1566" s="88">
        <v>1.22E18</v>
      </c>
      <c r="C1566" s="87" t="s">
        <v>4877</v>
      </c>
      <c r="D1566" s="87" t="s">
        <v>262</v>
      </c>
      <c r="E1566" s="87" t="s">
        <v>270</v>
      </c>
      <c r="F1566" s="87" t="s">
        <v>4877</v>
      </c>
      <c r="I1566" s="87" t="s">
        <v>58</v>
      </c>
      <c r="J1566" s="87" t="s">
        <v>4878</v>
      </c>
      <c r="K1566" s="90">
        <v>0.0</v>
      </c>
      <c r="L1566" s="92"/>
      <c r="M1566" s="93"/>
      <c r="N1566" s="87" t="s">
        <v>2771</v>
      </c>
      <c r="O1566" s="87" t="s">
        <v>377</v>
      </c>
      <c r="P1566" s="87" t="s">
        <v>372</v>
      </c>
    </row>
    <row r="1567" ht="15.75" customHeight="1">
      <c r="A1567" s="87" t="s">
        <v>4879</v>
      </c>
      <c r="B1567" s="88">
        <v>1.22E18</v>
      </c>
      <c r="C1567" s="87" t="s">
        <v>4880</v>
      </c>
      <c r="D1567" s="87" t="s">
        <v>262</v>
      </c>
      <c r="E1567" s="87" t="s">
        <v>270</v>
      </c>
      <c r="F1567" s="87" t="s">
        <v>4880</v>
      </c>
      <c r="I1567" s="87" t="s">
        <v>58</v>
      </c>
      <c r="J1567" s="87" t="s">
        <v>3787</v>
      </c>
      <c r="K1567" s="90">
        <v>0.0</v>
      </c>
      <c r="L1567" s="92"/>
      <c r="M1567" s="93"/>
      <c r="N1567" s="87" t="s">
        <v>2771</v>
      </c>
      <c r="O1567" s="87" t="s">
        <v>377</v>
      </c>
      <c r="P1567" s="87" t="s">
        <v>372</v>
      </c>
    </row>
    <row r="1568" ht="15.75" customHeight="1">
      <c r="A1568" s="87" t="s">
        <v>4881</v>
      </c>
      <c r="B1568" s="88">
        <v>1.22E18</v>
      </c>
      <c r="C1568" s="87" t="s">
        <v>4882</v>
      </c>
      <c r="D1568" s="87" t="s">
        <v>262</v>
      </c>
      <c r="E1568" s="87" t="s">
        <v>270</v>
      </c>
      <c r="F1568" s="87" t="s">
        <v>4882</v>
      </c>
      <c r="I1568" s="87" t="s">
        <v>58</v>
      </c>
      <c r="J1568" s="87" t="s">
        <v>2112</v>
      </c>
      <c r="K1568" s="90">
        <v>0.0</v>
      </c>
      <c r="L1568" s="92"/>
      <c r="M1568" s="93"/>
      <c r="N1568" s="87" t="s">
        <v>2771</v>
      </c>
      <c r="O1568" s="87" t="s">
        <v>377</v>
      </c>
      <c r="P1568" s="87" t="s">
        <v>372</v>
      </c>
    </row>
    <row r="1569" ht="15.75" customHeight="1">
      <c r="A1569" s="87" t="s">
        <v>4883</v>
      </c>
      <c r="B1569" s="88">
        <v>1.22E18</v>
      </c>
      <c r="C1569" s="87" t="s">
        <v>4884</v>
      </c>
      <c r="D1569" s="87" t="s">
        <v>262</v>
      </c>
      <c r="E1569" s="87" t="s">
        <v>270</v>
      </c>
      <c r="F1569" s="87" t="s">
        <v>4884</v>
      </c>
      <c r="I1569" s="87" t="s">
        <v>58</v>
      </c>
      <c r="J1569" s="87" t="s">
        <v>3518</v>
      </c>
      <c r="K1569" s="90">
        <v>0.0</v>
      </c>
      <c r="L1569" s="92"/>
      <c r="M1569" s="93"/>
      <c r="N1569" s="87" t="s">
        <v>2771</v>
      </c>
      <c r="O1569" s="87" t="s">
        <v>377</v>
      </c>
      <c r="P1569" s="87" t="s">
        <v>372</v>
      </c>
    </row>
    <row r="1570" ht="15.75" customHeight="1">
      <c r="A1570" s="87" t="s">
        <v>4885</v>
      </c>
      <c r="B1570" s="88">
        <v>1.22E18</v>
      </c>
      <c r="C1570" s="87" t="s">
        <v>4886</v>
      </c>
      <c r="D1570" s="87" t="s">
        <v>262</v>
      </c>
      <c r="E1570" s="87" t="s">
        <v>270</v>
      </c>
      <c r="F1570" s="87" t="s">
        <v>4886</v>
      </c>
      <c r="H1570" s="93"/>
      <c r="I1570" s="87" t="s">
        <v>58</v>
      </c>
      <c r="J1570" s="87" t="s">
        <v>2112</v>
      </c>
      <c r="K1570" s="90">
        <v>0.0</v>
      </c>
      <c r="L1570" s="92"/>
      <c r="M1570" s="93"/>
      <c r="N1570" s="87" t="s">
        <v>2771</v>
      </c>
      <c r="O1570" s="87" t="s">
        <v>377</v>
      </c>
      <c r="P1570" s="87" t="s">
        <v>372</v>
      </c>
    </row>
    <row r="1571" ht="15.75" customHeight="1">
      <c r="A1571" s="87" t="s">
        <v>4887</v>
      </c>
      <c r="B1571" s="88">
        <v>1.22E18</v>
      </c>
      <c r="C1571" s="87" t="s">
        <v>4888</v>
      </c>
      <c r="D1571" s="87" t="s">
        <v>262</v>
      </c>
      <c r="E1571" s="87" t="s">
        <v>270</v>
      </c>
      <c r="F1571" s="87" t="s">
        <v>4888</v>
      </c>
      <c r="I1571" s="87" t="s">
        <v>58</v>
      </c>
      <c r="J1571" s="87" t="s">
        <v>3787</v>
      </c>
      <c r="K1571" s="90">
        <v>0.0</v>
      </c>
      <c r="L1571" s="92"/>
      <c r="M1571" s="93"/>
      <c r="N1571" s="87" t="s">
        <v>2771</v>
      </c>
      <c r="O1571" s="87" t="s">
        <v>377</v>
      </c>
      <c r="P1571" s="87" t="s">
        <v>372</v>
      </c>
    </row>
    <row r="1572" ht="15.75" customHeight="1">
      <c r="A1572" s="87" t="s">
        <v>4889</v>
      </c>
      <c r="B1572" s="88">
        <v>1.22E18</v>
      </c>
      <c r="C1572" s="87" t="s">
        <v>4890</v>
      </c>
      <c r="D1572" s="87" t="s">
        <v>262</v>
      </c>
      <c r="E1572" s="87" t="s">
        <v>270</v>
      </c>
      <c r="F1572" s="87" t="s">
        <v>4890</v>
      </c>
      <c r="I1572" s="87" t="s">
        <v>58</v>
      </c>
      <c r="J1572" s="87" t="s">
        <v>3801</v>
      </c>
      <c r="K1572" s="90">
        <v>0.0</v>
      </c>
      <c r="L1572" s="92"/>
      <c r="M1572" s="93"/>
      <c r="N1572" s="87" t="s">
        <v>2771</v>
      </c>
      <c r="O1572" s="87" t="s">
        <v>377</v>
      </c>
      <c r="P1572" s="87" t="s">
        <v>372</v>
      </c>
    </row>
    <row r="1573" ht="15.75" customHeight="1">
      <c r="A1573" s="87" t="s">
        <v>4891</v>
      </c>
      <c r="B1573" s="88">
        <v>1.22E18</v>
      </c>
      <c r="C1573" s="87" t="s">
        <v>4892</v>
      </c>
      <c r="D1573" s="87" t="s">
        <v>87</v>
      </c>
      <c r="E1573" s="87" t="s">
        <v>88</v>
      </c>
      <c r="F1573" s="87" t="s">
        <v>4892</v>
      </c>
      <c r="I1573" s="87" t="s">
        <v>58</v>
      </c>
      <c r="J1573" s="87" t="s">
        <v>3801</v>
      </c>
      <c r="K1573" s="90">
        <v>0.0</v>
      </c>
      <c r="L1573" s="92"/>
      <c r="M1573" s="93"/>
      <c r="N1573" s="87" t="s">
        <v>2771</v>
      </c>
      <c r="O1573" s="87" t="s">
        <v>377</v>
      </c>
      <c r="P1573" s="87" t="s">
        <v>372</v>
      </c>
    </row>
    <row r="1574" ht="15.75" customHeight="1">
      <c r="A1574" s="87" t="s">
        <v>4893</v>
      </c>
      <c r="B1574" s="88">
        <v>1.22E18</v>
      </c>
      <c r="C1574" s="87" t="s">
        <v>4894</v>
      </c>
      <c r="D1574" s="87" t="s">
        <v>262</v>
      </c>
      <c r="E1574" s="87" t="s">
        <v>270</v>
      </c>
      <c r="F1574" s="87" t="s">
        <v>4894</v>
      </c>
      <c r="I1574" s="87" t="s">
        <v>58</v>
      </c>
      <c r="J1574" s="87" t="s">
        <v>4337</v>
      </c>
      <c r="K1574" s="90">
        <v>0.0</v>
      </c>
      <c r="L1574" s="92"/>
      <c r="M1574" s="93"/>
      <c r="N1574" s="87" t="s">
        <v>2771</v>
      </c>
      <c r="O1574" s="87" t="s">
        <v>377</v>
      </c>
      <c r="P1574" s="87" t="s">
        <v>372</v>
      </c>
    </row>
    <row r="1575" ht="15.75" customHeight="1">
      <c r="A1575" s="87" t="s">
        <v>4895</v>
      </c>
      <c r="B1575" s="88">
        <v>1.22E18</v>
      </c>
      <c r="C1575" s="87" t="s">
        <v>4896</v>
      </c>
      <c r="D1575" s="87" t="s">
        <v>262</v>
      </c>
      <c r="E1575" s="87" t="s">
        <v>270</v>
      </c>
      <c r="F1575" s="87" t="s">
        <v>4896</v>
      </c>
      <c r="I1575" s="87" t="s">
        <v>58</v>
      </c>
      <c r="J1575" s="87" t="s">
        <v>4337</v>
      </c>
      <c r="K1575" s="90">
        <v>0.0</v>
      </c>
      <c r="L1575" s="92"/>
      <c r="M1575" s="93"/>
      <c r="N1575" s="87" t="s">
        <v>2771</v>
      </c>
      <c r="O1575" s="87" t="s">
        <v>377</v>
      </c>
      <c r="P1575" s="87" t="s">
        <v>372</v>
      </c>
    </row>
    <row r="1576" ht="15.75" customHeight="1">
      <c r="A1576" s="87" t="s">
        <v>4897</v>
      </c>
      <c r="B1576" s="88">
        <v>1.22E18</v>
      </c>
      <c r="C1576" s="87" t="s">
        <v>4898</v>
      </c>
      <c r="D1576" s="87" t="s">
        <v>262</v>
      </c>
      <c r="E1576" s="87" t="s">
        <v>270</v>
      </c>
      <c r="F1576" s="87" t="s">
        <v>4898</v>
      </c>
      <c r="H1576" s="93"/>
      <c r="I1576" s="87" t="s">
        <v>58</v>
      </c>
      <c r="J1576" s="87" t="s">
        <v>3377</v>
      </c>
      <c r="K1576" s="90">
        <v>0.0</v>
      </c>
      <c r="L1576" s="92"/>
      <c r="M1576" s="93"/>
      <c r="N1576" s="87" t="s">
        <v>2771</v>
      </c>
      <c r="O1576" s="87" t="s">
        <v>377</v>
      </c>
      <c r="P1576" s="87" t="s">
        <v>372</v>
      </c>
    </row>
    <row r="1577" ht="15.75" customHeight="1">
      <c r="A1577" s="87" t="s">
        <v>4899</v>
      </c>
      <c r="B1577" s="88">
        <v>1.22E18</v>
      </c>
      <c r="C1577" s="87" t="s">
        <v>4900</v>
      </c>
      <c r="D1577" s="87" t="s">
        <v>87</v>
      </c>
      <c r="E1577" s="87" t="s">
        <v>88</v>
      </c>
      <c r="F1577" s="87" t="s">
        <v>4900</v>
      </c>
      <c r="H1577" s="93"/>
      <c r="I1577" s="87" t="s">
        <v>58</v>
      </c>
      <c r="J1577" s="87" t="s">
        <v>3801</v>
      </c>
      <c r="K1577" s="90">
        <v>0.0</v>
      </c>
      <c r="L1577" s="92"/>
      <c r="M1577" s="93"/>
      <c r="N1577" s="87" t="s">
        <v>2771</v>
      </c>
      <c r="O1577" s="87" t="s">
        <v>377</v>
      </c>
      <c r="P1577" s="87" t="s">
        <v>372</v>
      </c>
    </row>
    <row r="1578" ht="15.75" customHeight="1">
      <c r="A1578" s="87" t="s">
        <v>4901</v>
      </c>
      <c r="B1578" s="88">
        <v>1.22E18</v>
      </c>
      <c r="C1578" s="87" t="s">
        <v>4902</v>
      </c>
      <c r="D1578" s="87" t="s">
        <v>262</v>
      </c>
      <c r="E1578" s="87" t="s">
        <v>270</v>
      </c>
      <c r="F1578" s="87" t="s">
        <v>4902</v>
      </c>
      <c r="H1578" s="93"/>
      <c r="I1578" s="87" t="s">
        <v>58</v>
      </c>
      <c r="J1578" s="87" t="s">
        <v>2858</v>
      </c>
      <c r="K1578" s="90">
        <v>0.0</v>
      </c>
      <c r="L1578" s="92"/>
      <c r="M1578" s="93"/>
      <c r="N1578" s="87" t="s">
        <v>2771</v>
      </c>
      <c r="O1578" s="87" t="s">
        <v>377</v>
      </c>
      <c r="P1578" s="87" t="s">
        <v>372</v>
      </c>
    </row>
    <row r="1579" ht="15.75" customHeight="1">
      <c r="A1579" s="87" t="s">
        <v>4903</v>
      </c>
      <c r="B1579" s="88">
        <v>1.22E18</v>
      </c>
      <c r="C1579" s="87" t="s">
        <v>4904</v>
      </c>
      <c r="D1579" s="87" t="s">
        <v>262</v>
      </c>
      <c r="E1579" s="87" t="s">
        <v>270</v>
      </c>
      <c r="F1579" s="87" t="s">
        <v>4904</v>
      </c>
      <c r="H1579" s="93"/>
      <c r="I1579" s="87" t="s">
        <v>58</v>
      </c>
      <c r="J1579" s="87" t="s">
        <v>4878</v>
      </c>
      <c r="K1579" s="90">
        <v>0.0</v>
      </c>
      <c r="L1579" s="92"/>
      <c r="M1579" s="93"/>
      <c r="N1579" s="87" t="s">
        <v>2771</v>
      </c>
      <c r="O1579" s="87" t="s">
        <v>377</v>
      </c>
      <c r="P1579" s="87" t="s">
        <v>372</v>
      </c>
    </row>
    <row r="1580" ht="15.75" customHeight="1">
      <c r="A1580" s="87" t="s">
        <v>4905</v>
      </c>
      <c r="B1580" s="88">
        <v>1.22E18</v>
      </c>
      <c r="C1580" s="87" t="s">
        <v>4906</v>
      </c>
      <c r="D1580" s="87" t="s">
        <v>262</v>
      </c>
      <c r="E1580" s="87" t="s">
        <v>270</v>
      </c>
      <c r="F1580" s="87" t="s">
        <v>4906</v>
      </c>
      <c r="H1580" s="93"/>
      <c r="I1580" s="87" t="s">
        <v>58</v>
      </c>
      <c r="J1580" s="87" t="s">
        <v>3506</v>
      </c>
      <c r="K1580" s="90">
        <v>0.0</v>
      </c>
      <c r="L1580" s="92"/>
      <c r="M1580" s="93"/>
      <c r="N1580" s="93"/>
      <c r="O1580" s="87" t="s">
        <v>377</v>
      </c>
      <c r="P1580" s="87" t="s">
        <v>372</v>
      </c>
    </row>
    <row r="1581" ht="15.75" customHeight="1">
      <c r="A1581" s="87" t="s">
        <v>4907</v>
      </c>
      <c r="B1581" s="88">
        <v>1.22E18</v>
      </c>
      <c r="C1581" s="87" t="s">
        <v>4908</v>
      </c>
      <c r="D1581" s="87" t="s">
        <v>262</v>
      </c>
      <c r="E1581" s="87" t="s">
        <v>270</v>
      </c>
      <c r="F1581" s="87" t="s">
        <v>4908</v>
      </c>
      <c r="I1581" s="87" t="s">
        <v>58</v>
      </c>
      <c r="J1581" s="87" t="s">
        <v>3518</v>
      </c>
      <c r="K1581" s="90">
        <v>0.0</v>
      </c>
      <c r="L1581" s="92"/>
      <c r="M1581" s="93"/>
      <c r="N1581" s="87" t="s">
        <v>2771</v>
      </c>
      <c r="O1581" s="87" t="s">
        <v>377</v>
      </c>
      <c r="P1581" s="87" t="s">
        <v>372</v>
      </c>
    </row>
    <row r="1582" ht="15.75" customHeight="1">
      <c r="A1582" s="87" t="s">
        <v>4909</v>
      </c>
      <c r="B1582" s="88">
        <v>1.22E18</v>
      </c>
      <c r="C1582" s="87" t="s">
        <v>4910</v>
      </c>
      <c r="D1582" s="87" t="s">
        <v>262</v>
      </c>
      <c r="E1582" s="87" t="s">
        <v>270</v>
      </c>
      <c r="F1582" s="87" t="s">
        <v>4910</v>
      </c>
      <c r="H1582" s="93"/>
      <c r="I1582" s="87" t="s">
        <v>58</v>
      </c>
      <c r="J1582" s="87" t="s">
        <v>3787</v>
      </c>
      <c r="K1582" s="90">
        <v>0.0</v>
      </c>
      <c r="L1582" s="92"/>
      <c r="M1582" s="93"/>
      <c r="N1582" s="87" t="s">
        <v>2771</v>
      </c>
      <c r="O1582" s="87" t="s">
        <v>377</v>
      </c>
      <c r="P1582" s="87" t="s">
        <v>372</v>
      </c>
    </row>
    <row r="1583" ht="15.75" customHeight="1">
      <c r="A1583" s="87" t="s">
        <v>4911</v>
      </c>
      <c r="B1583" s="88">
        <v>1.22E18</v>
      </c>
      <c r="C1583" s="87" t="s">
        <v>4912</v>
      </c>
      <c r="D1583" s="87" t="s">
        <v>87</v>
      </c>
      <c r="E1583" s="87" t="s">
        <v>88</v>
      </c>
      <c r="F1583" s="87" t="s">
        <v>4912</v>
      </c>
      <c r="I1583" s="87" t="s">
        <v>58</v>
      </c>
      <c r="J1583" s="87" t="s">
        <v>4913</v>
      </c>
      <c r="K1583" s="90">
        <v>0.0</v>
      </c>
      <c r="L1583" s="92"/>
      <c r="M1583" s="93"/>
      <c r="N1583" s="87" t="s">
        <v>1772</v>
      </c>
      <c r="O1583" s="87" t="s">
        <v>377</v>
      </c>
      <c r="P1583" s="87" t="s">
        <v>372</v>
      </c>
    </row>
    <row r="1584" ht="15.75" customHeight="1">
      <c r="A1584" s="87" t="s">
        <v>4914</v>
      </c>
      <c r="B1584" s="88">
        <v>1.22E18</v>
      </c>
      <c r="C1584" s="87" t="s">
        <v>4915</v>
      </c>
      <c r="D1584" s="87" t="s">
        <v>262</v>
      </c>
      <c r="E1584" s="87" t="s">
        <v>270</v>
      </c>
      <c r="F1584" s="118" t="s">
        <v>4915</v>
      </c>
      <c r="G1584" s="130"/>
      <c r="H1584" s="119"/>
      <c r="I1584" s="87" t="s">
        <v>58</v>
      </c>
      <c r="J1584" s="87" t="s">
        <v>4916</v>
      </c>
      <c r="K1584" s="90">
        <v>0.0</v>
      </c>
      <c r="L1584" s="92"/>
      <c r="M1584" s="93"/>
      <c r="N1584" s="87" t="s">
        <v>1808</v>
      </c>
      <c r="O1584" s="87" t="s">
        <v>377</v>
      </c>
      <c r="P1584" s="87" t="s">
        <v>372</v>
      </c>
    </row>
    <row r="1585" ht="15.75" customHeight="1">
      <c r="A1585" s="87" t="s">
        <v>4917</v>
      </c>
      <c r="B1585" s="88">
        <v>1.22E18</v>
      </c>
      <c r="C1585" s="87" t="s">
        <v>4918</v>
      </c>
      <c r="D1585" s="87" t="s">
        <v>262</v>
      </c>
      <c r="E1585" s="87" t="s">
        <v>270</v>
      </c>
      <c r="F1585" s="118" t="s">
        <v>4918</v>
      </c>
      <c r="G1585" s="130"/>
      <c r="H1585" s="119"/>
      <c r="I1585" s="87" t="s">
        <v>58</v>
      </c>
      <c r="J1585" s="87" t="s">
        <v>4919</v>
      </c>
      <c r="K1585" s="90">
        <v>0.0</v>
      </c>
      <c r="L1585" s="92"/>
      <c r="M1585" s="93"/>
      <c r="N1585" s="87" t="s">
        <v>1808</v>
      </c>
      <c r="O1585" s="87" t="s">
        <v>377</v>
      </c>
      <c r="P1585" s="87" t="s">
        <v>372</v>
      </c>
    </row>
    <row r="1586" ht="15.75" customHeight="1">
      <c r="A1586" s="87" t="s">
        <v>4920</v>
      </c>
      <c r="B1586" s="88">
        <v>1.22E18</v>
      </c>
      <c r="C1586" s="87" t="s">
        <v>4921</v>
      </c>
      <c r="D1586" s="87" t="s">
        <v>262</v>
      </c>
      <c r="E1586" s="87" t="s">
        <v>270</v>
      </c>
      <c r="F1586" s="118" t="s">
        <v>4921</v>
      </c>
      <c r="G1586" s="130"/>
      <c r="H1586" s="119"/>
      <c r="I1586" s="87" t="s">
        <v>58</v>
      </c>
      <c r="J1586" s="87" t="s">
        <v>4922</v>
      </c>
      <c r="K1586" s="90">
        <v>0.0</v>
      </c>
      <c r="L1586" s="92"/>
      <c r="M1586" s="93"/>
      <c r="N1586" s="87" t="s">
        <v>1808</v>
      </c>
      <c r="O1586" s="87" t="s">
        <v>377</v>
      </c>
      <c r="P1586" s="87" t="s">
        <v>372</v>
      </c>
    </row>
    <row r="1587" ht="15.75" customHeight="1">
      <c r="A1587" s="87" t="s">
        <v>4923</v>
      </c>
      <c r="B1587" s="88">
        <v>1.22E18</v>
      </c>
      <c r="C1587" s="87" t="s">
        <v>4924</v>
      </c>
      <c r="D1587" s="87" t="s">
        <v>262</v>
      </c>
      <c r="E1587" s="87" t="s">
        <v>270</v>
      </c>
      <c r="F1587" s="87" t="s">
        <v>1749</v>
      </c>
      <c r="H1587" s="93"/>
      <c r="I1587" s="87" t="s">
        <v>58</v>
      </c>
      <c r="J1587" s="87" t="s">
        <v>4925</v>
      </c>
      <c r="K1587" s="90">
        <v>0.0</v>
      </c>
      <c r="L1587" s="92"/>
      <c r="M1587" s="93"/>
      <c r="N1587" s="87" t="s">
        <v>1808</v>
      </c>
      <c r="O1587" s="87" t="s">
        <v>377</v>
      </c>
      <c r="P1587" s="87" t="s">
        <v>372</v>
      </c>
    </row>
    <row r="1588" ht="15.75" customHeight="1">
      <c r="A1588" s="87" t="s">
        <v>4926</v>
      </c>
      <c r="B1588" s="88">
        <v>1.22E18</v>
      </c>
      <c r="C1588" s="87" t="s">
        <v>4927</v>
      </c>
      <c r="D1588" s="87" t="s">
        <v>262</v>
      </c>
      <c r="E1588" s="87" t="s">
        <v>270</v>
      </c>
      <c r="F1588" s="87" t="s">
        <v>1749</v>
      </c>
      <c r="H1588" s="93"/>
      <c r="I1588" s="87" t="s">
        <v>58</v>
      </c>
      <c r="J1588" s="87" t="s">
        <v>4928</v>
      </c>
      <c r="K1588" s="90">
        <v>0.0</v>
      </c>
      <c r="L1588" s="92"/>
      <c r="M1588" s="93"/>
      <c r="N1588" s="87" t="s">
        <v>1808</v>
      </c>
      <c r="O1588" s="87" t="s">
        <v>377</v>
      </c>
      <c r="P1588" s="87" t="s">
        <v>372</v>
      </c>
    </row>
    <row r="1589" ht="15.75" customHeight="1">
      <c r="A1589" s="87" t="s">
        <v>4929</v>
      </c>
      <c r="B1589" s="88">
        <v>1.22E18</v>
      </c>
      <c r="C1589" s="87" t="s">
        <v>4930</v>
      </c>
      <c r="D1589" s="87" t="s">
        <v>262</v>
      </c>
      <c r="E1589" s="87" t="s">
        <v>270</v>
      </c>
      <c r="F1589" s="87" t="s">
        <v>1749</v>
      </c>
      <c r="H1589" s="93"/>
      <c r="I1589" s="87" t="s">
        <v>58</v>
      </c>
      <c r="J1589" s="87" t="s">
        <v>4931</v>
      </c>
      <c r="K1589" s="90">
        <v>0.0</v>
      </c>
      <c r="L1589" s="92"/>
      <c r="M1589" s="93"/>
      <c r="N1589" s="87" t="s">
        <v>1808</v>
      </c>
      <c r="O1589" s="87" t="s">
        <v>377</v>
      </c>
      <c r="P1589" s="87" t="s">
        <v>372</v>
      </c>
    </row>
    <row r="1590" ht="15.75" customHeight="1">
      <c r="A1590" s="87" t="s">
        <v>4932</v>
      </c>
      <c r="B1590" s="88">
        <v>1.22E18</v>
      </c>
      <c r="C1590" s="87" t="s">
        <v>4933</v>
      </c>
      <c r="D1590" s="87" t="s">
        <v>262</v>
      </c>
      <c r="E1590" s="87" t="s">
        <v>270</v>
      </c>
      <c r="F1590" s="118" t="s">
        <v>4933</v>
      </c>
      <c r="G1590" s="130"/>
      <c r="H1590" s="119"/>
      <c r="I1590" s="87" t="s">
        <v>58</v>
      </c>
      <c r="J1590" s="87" t="s">
        <v>4934</v>
      </c>
      <c r="K1590" s="90">
        <v>0.0</v>
      </c>
      <c r="L1590" s="92"/>
      <c r="M1590" s="93"/>
      <c r="N1590" s="87" t="s">
        <v>1808</v>
      </c>
      <c r="O1590" s="87" t="s">
        <v>377</v>
      </c>
      <c r="P1590" s="87" t="s">
        <v>372</v>
      </c>
    </row>
    <row r="1591" ht="15.75" customHeight="1">
      <c r="A1591" s="87" t="s">
        <v>4935</v>
      </c>
      <c r="B1591" s="88">
        <v>1.22E18</v>
      </c>
      <c r="C1591" s="87" t="s">
        <v>4936</v>
      </c>
      <c r="D1591" s="87" t="s">
        <v>262</v>
      </c>
      <c r="E1591" s="87" t="s">
        <v>267</v>
      </c>
      <c r="F1591" s="87" t="s">
        <v>4936</v>
      </c>
      <c r="H1591" s="93"/>
      <c r="I1591" s="87" t="s">
        <v>58</v>
      </c>
      <c r="J1591" s="87" t="s">
        <v>4937</v>
      </c>
      <c r="K1591" s="90">
        <v>0.0</v>
      </c>
      <c r="L1591" s="92"/>
      <c r="M1591" s="93"/>
      <c r="N1591" s="87" t="s">
        <v>3202</v>
      </c>
      <c r="O1591" s="87" t="s">
        <v>377</v>
      </c>
      <c r="P1591" s="87" t="s">
        <v>372</v>
      </c>
    </row>
    <row r="1592" ht="15.75" customHeight="1">
      <c r="A1592" s="87" t="s">
        <v>4938</v>
      </c>
      <c r="B1592" s="88">
        <v>1.22E18</v>
      </c>
      <c r="C1592" s="87" t="s">
        <v>4939</v>
      </c>
      <c r="D1592" s="87" t="s">
        <v>262</v>
      </c>
      <c r="E1592" s="87" t="s">
        <v>263</v>
      </c>
      <c r="F1592" s="87" t="s">
        <v>415</v>
      </c>
      <c r="G1592" s="93"/>
      <c r="H1592" s="93"/>
      <c r="I1592" s="87" t="s">
        <v>58</v>
      </c>
      <c r="J1592" s="87" t="s">
        <v>4940</v>
      </c>
      <c r="K1592" s="90">
        <v>2.0</v>
      </c>
      <c r="L1592" s="92"/>
      <c r="M1592" s="93"/>
      <c r="N1592" s="87" t="s">
        <v>4941</v>
      </c>
      <c r="O1592" s="87" t="s">
        <v>377</v>
      </c>
      <c r="P1592" s="87" t="s">
        <v>372</v>
      </c>
    </row>
    <row r="1593" ht="15.75" customHeight="1">
      <c r="A1593" s="87" t="s">
        <v>4942</v>
      </c>
      <c r="B1593" s="88">
        <v>1.22E18</v>
      </c>
      <c r="C1593" s="87" t="s">
        <v>4943</v>
      </c>
      <c r="D1593" s="87" t="s">
        <v>262</v>
      </c>
      <c r="E1593" s="87" t="s">
        <v>263</v>
      </c>
      <c r="F1593" s="87" t="s">
        <v>415</v>
      </c>
      <c r="G1593" s="93"/>
      <c r="H1593" s="93"/>
      <c r="I1593" s="87" t="s">
        <v>58</v>
      </c>
      <c r="J1593" s="87" t="s">
        <v>4944</v>
      </c>
      <c r="K1593" s="90">
        <v>1.0</v>
      </c>
      <c r="L1593" s="92"/>
      <c r="M1593" s="93"/>
      <c r="N1593" s="87" t="s">
        <v>4945</v>
      </c>
      <c r="O1593" s="87" t="s">
        <v>377</v>
      </c>
      <c r="P1593" s="87" t="s">
        <v>372</v>
      </c>
    </row>
    <row r="1594" ht="15.75" customHeight="1">
      <c r="A1594" s="87" t="s">
        <v>4946</v>
      </c>
      <c r="B1594" s="88">
        <v>1.22E18</v>
      </c>
      <c r="C1594" s="87" t="s">
        <v>4947</v>
      </c>
      <c r="D1594" s="87" t="s">
        <v>262</v>
      </c>
      <c r="E1594" s="87" t="s">
        <v>270</v>
      </c>
      <c r="F1594" s="87" t="s">
        <v>4947</v>
      </c>
      <c r="I1594" s="87" t="s">
        <v>58</v>
      </c>
      <c r="J1594" s="87" t="s">
        <v>4948</v>
      </c>
      <c r="K1594" s="90">
        <v>0.0</v>
      </c>
      <c r="L1594" s="92"/>
      <c r="M1594" s="93"/>
      <c r="N1594" s="87" t="s">
        <v>1808</v>
      </c>
      <c r="O1594" s="87" t="s">
        <v>377</v>
      </c>
      <c r="P1594" s="87" t="s">
        <v>372</v>
      </c>
    </row>
    <row r="1595" ht="15.75" customHeight="1">
      <c r="A1595" s="87" t="s">
        <v>4949</v>
      </c>
      <c r="B1595" s="88">
        <v>1.22E18</v>
      </c>
      <c r="C1595" s="87" t="s">
        <v>4950</v>
      </c>
      <c r="D1595" s="87" t="s">
        <v>262</v>
      </c>
      <c r="E1595" s="87" t="s">
        <v>267</v>
      </c>
      <c r="F1595" s="118" t="s">
        <v>4950</v>
      </c>
      <c r="G1595" s="130"/>
      <c r="H1595" s="119"/>
      <c r="I1595" s="87" t="s">
        <v>58</v>
      </c>
      <c r="J1595" s="87" t="s">
        <v>2865</v>
      </c>
      <c r="K1595" s="90">
        <v>0.0</v>
      </c>
      <c r="L1595" s="92"/>
      <c r="M1595" s="93"/>
      <c r="N1595" s="87" t="s">
        <v>1789</v>
      </c>
      <c r="O1595" s="87" t="s">
        <v>377</v>
      </c>
      <c r="P1595" s="87" t="s">
        <v>372</v>
      </c>
    </row>
    <row r="1596" ht="15.75" customHeight="1">
      <c r="A1596" s="87" t="s">
        <v>4951</v>
      </c>
      <c r="B1596" s="88">
        <v>1.22E18</v>
      </c>
      <c r="C1596" s="87" t="s">
        <v>4952</v>
      </c>
      <c r="D1596" s="87" t="s">
        <v>57</v>
      </c>
      <c r="E1596" s="87" t="s">
        <v>287</v>
      </c>
      <c r="F1596" s="118" t="s">
        <v>4952</v>
      </c>
      <c r="G1596" s="130"/>
      <c r="H1596" s="119"/>
      <c r="I1596" s="87" t="s">
        <v>58</v>
      </c>
      <c r="J1596" s="87" t="s">
        <v>4953</v>
      </c>
      <c r="K1596" s="90">
        <v>0.0</v>
      </c>
      <c r="L1596" s="92"/>
      <c r="M1596" s="93"/>
      <c r="N1596" s="87" t="s">
        <v>1772</v>
      </c>
      <c r="O1596" s="87" t="s">
        <v>377</v>
      </c>
      <c r="P1596" s="87" t="s">
        <v>372</v>
      </c>
    </row>
    <row r="1597" ht="15.75" customHeight="1">
      <c r="A1597" s="87" t="s">
        <v>4954</v>
      </c>
      <c r="B1597" s="88">
        <v>1.22E18</v>
      </c>
      <c r="C1597" s="87" t="s">
        <v>4955</v>
      </c>
      <c r="D1597" s="87" t="s">
        <v>87</v>
      </c>
      <c r="E1597" s="87" t="s">
        <v>88</v>
      </c>
      <c r="F1597" s="118" t="s">
        <v>4955</v>
      </c>
      <c r="G1597" s="130"/>
      <c r="H1597" s="119"/>
      <c r="I1597" s="87" t="s">
        <v>58</v>
      </c>
      <c r="J1597" s="87" t="s">
        <v>4956</v>
      </c>
      <c r="K1597" s="90">
        <v>0.0</v>
      </c>
      <c r="L1597" s="92"/>
      <c r="M1597" s="93"/>
      <c r="N1597" s="87" t="s">
        <v>1772</v>
      </c>
      <c r="O1597" s="87" t="s">
        <v>377</v>
      </c>
      <c r="P1597" s="87" t="s">
        <v>372</v>
      </c>
    </row>
    <row r="1598" ht="15.75" customHeight="1">
      <c r="A1598" s="87" t="s">
        <v>4957</v>
      </c>
      <c r="B1598" s="88">
        <v>1.22E18</v>
      </c>
      <c r="C1598" s="87" t="s">
        <v>4958</v>
      </c>
      <c r="D1598" s="87" t="s">
        <v>87</v>
      </c>
      <c r="E1598" s="87" t="s">
        <v>88</v>
      </c>
      <c r="F1598" s="118" t="s">
        <v>4958</v>
      </c>
      <c r="G1598" s="130"/>
      <c r="H1598" s="119"/>
      <c r="I1598" s="87" t="s">
        <v>58</v>
      </c>
      <c r="J1598" s="87" t="s">
        <v>4959</v>
      </c>
      <c r="K1598" s="90">
        <v>0.0</v>
      </c>
      <c r="L1598" s="92"/>
      <c r="M1598" s="93"/>
      <c r="N1598" s="87" t="s">
        <v>1772</v>
      </c>
      <c r="O1598" s="87" t="s">
        <v>377</v>
      </c>
      <c r="P1598" s="87" t="s">
        <v>372</v>
      </c>
    </row>
    <row r="1599" ht="15.75" customHeight="1">
      <c r="A1599" s="87" t="s">
        <v>4960</v>
      </c>
      <c r="B1599" s="88">
        <v>1.22E18</v>
      </c>
      <c r="C1599" s="87" t="s">
        <v>4961</v>
      </c>
      <c r="D1599" s="87" t="s">
        <v>87</v>
      </c>
      <c r="E1599" s="87" t="s">
        <v>88</v>
      </c>
      <c r="F1599" s="118" t="s">
        <v>4961</v>
      </c>
      <c r="G1599" s="130"/>
      <c r="H1599" s="119"/>
      <c r="I1599" s="87" t="s">
        <v>58</v>
      </c>
      <c r="J1599" s="87" t="s">
        <v>4962</v>
      </c>
      <c r="K1599" s="90">
        <v>0.0</v>
      </c>
      <c r="L1599" s="92"/>
      <c r="M1599" s="93"/>
      <c r="N1599" s="87" t="s">
        <v>1772</v>
      </c>
      <c r="O1599" s="87" t="s">
        <v>377</v>
      </c>
      <c r="P1599" s="87" t="s">
        <v>372</v>
      </c>
    </row>
    <row r="1600" ht="15.75" customHeight="1">
      <c r="A1600" s="87" t="s">
        <v>4963</v>
      </c>
      <c r="B1600" s="88">
        <v>1.22E18</v>
      </c>
      <c r="C1600" s="87" t="s">
        <v>4964</v>
      </c>
      <c r="D1600" s="87" t="s">
        <v>87</v>
      </c>
      <c r="E1600" s="87" t="s">
        <v>102</v>
      </c>
      <c r="F1600" s="118" t="s">
        <v>4964</v>
      </c>
      <c r="G1600" s="130"/>
      <c r="H1600" s="119"/>
      <c r="I1600" s="87" t="s">
        <v>58</v>
      </c>
      <c r="J1600" s="87" t="s">
        <v>4965</v>
      </c>
      <c r="K1600" s="90">
        <v>0.0</v>
      </c>
      <c r="L1600" s="92"/>
      <c r="M1600" s="93"/>
      <c r="N1600" s="87" t="s">
        <v>1772</v>
      </c>
      <c r="O1600" s="87" t="s">
        <v>377</v>
      </c>
      <c r="P1600" s="87" t="s">
        <v>372</v>
      </c>
    </row>
    <row r="1601" ht="15.75" customHeight="1">
      <c r="A1601" s="87" t="s">
        <v>4966</v>
      </c>
      <c r="B1601" s="88">
        <v>1.22E18</v>
      </c>
      <c r="C1601" s="87" t="s">
        <v>4967</v>
      </c>
      <c r="D1601" s="87" t="s">
        <v>262</v>
      </c>
      <c r="E1601" s="87" t="s">
        <v>270</v>
      </c>
      <c r="F1601" s="87" t="s">
        <v>4967</v>
      </c>
      <c r="I1601" s="87" t="s">
        <v>58</v>
      </c>
      <c r="J1601" s="87" t="s">
        <v>4968</v>
      </c>
      <c r="K1601" s="90">
        <v>0.0</v>
      </c>
      <c r="L1601" s="92"/>
      <c r="M1601" s="93"/>
      <c r="N1601" s="87" t="s">
        <v>1772</v>
      </c>
      <c r="O1601" s="87" t="s">
        <v>377</v>
      </c>
      <c r="P1601" s="87" t="s">
        <v>372</v>
      </c>
    </row>
    <row r="1602" ht="15.75" customHeight="1">
      <c r="A1602" s="87" t="s">
        <v>4969</v>
      </c>
      <c r="B1602" s="88">
        <v>1.22E18</v>
      </c>
      <c r="C1602" s="87" t="s">
        <v>4970</v>
      </c>
      <c r="D1602" s="87" t="s">
        <v>56</v>
      </c>
      <c r="E1602" s="87" t="s">
        <v>102</v>
      </c>
      <c r="F1602" s="87" t="s">
        <v>1763</v>
      </c>
      <c r="I1602" s="93"/>
      <c r="J1602" s="87" t="s">
        <v>4971</v>
      </c>
      <c r="K1602" s="90">
        <v>0.0</v>
      </c>
      <c r="L1602" s="92"/>
      <c r="M1602" s="93"/>
      <c r="N1602" s="87" t="s">
        <v>1772</v>
      </c>
      <c r="O1602" s="87" t="s">
        <v>377</v>
      </c>
      <c r="P1602" s="87" t="s">
        <v>372</v>
      </c>
    </row>
    <row r="1603" ht="15.75" customHeight="1">
      <c r="A1603" s="87" t="s">
        <v>4972</v>
      </c>
      <c r="B1603" s="88">
        <v>1.22E18</v>
      </c>
      <c r="C1603" s="87" t="s">
        <v>4973</v>
      </c>
      <c r="D1603" s="87" t="s">
        <v>87</v>
      </c>
      <c r="E1603" s="87" t="s">
        <v>88</v>
      </c>
      <c r="F1603" s="118" t="s">
        <v>4973</v>
      </c>
      <c r="G1603" s="130"/>
      <c r="H1603" s="119"/>
      <c r="I1603" s="87" t="s">
        <v>58</v>
      </c>
      <c r="J1603" s="87" t="s">
        <v>4974</v>
      </c>
      <c r="K1603" s="90">
        <v>0.0</v>
      </c>
      <c r="L1603" s="92"/>
      <c r="M1603" s="93"/>
      <c r="N1603" s="87" t="s">
        <v>1772</v>
      </c>
      <c r="O1603" s="87" t="s">
        <v>377</v>
      </c>
      <c r="P1603" s="87" t="s">
        <v>372</v>
      </c>
    </row>
    <row r="1604" ht="15.75" customHeight="1">
      <c r="A1604" s="87" t="s">
        <v>4975</v>
      </c>
      <c r="B1604" s="88">
        <v>1.22E18</v>
      </c>
      <c r="C1604" s="87" t="s">
        <v>4976</v>
      </c>
      <c r="D1604" s="87" t="s">
        <v>262</v>
      </c>
      <c r="E1604" s="87" t="s">
        <v>263</v>
      </c>
      <c r="F1604" s="87" t="s">
        <v>4976</v>
      </c>
      <c r="I1604" s="87" t="s">
        <v>58</v>
      </c>
      <c r="J1604" s="87" t="s">
        <v>4977</v>
      </c>
      <c r="K1604" s="90">
        <v>0.0</v>
      </c>
      <c r="L1604" s="92"/>
      <c r="M1604" s="93"/>
      <c r="N1604" s="87" t="s">
        <v>1772</v>
      </c>
      <c r="O1604" s="87" t="s">
        <v>377</v>
      </c>
      <c r="P1604" s="87" t="s">
        <v>372</v>
      </c>
    </row>
    <row r="1605" ht="15.75" customHeight="1">
      <c r="A1605" s="87" t="s">
        <v>4978</v>
      </c>
      <c r="B1605" s="88">
        <v>1.22E18</v>
      </c>
      <c r="C1605" s="87" t="s">
        <v>4979</v>
      </c>
      <c r="D1605" s="87" t="s">
        <v>87</v>
      </c>
      <c r="E1605" s="87" t="s">
        <v>88</v>
      </c>
      <c r="F1605" s="87" t="s">
        <v>4979</v>
      </c>
      <c r="I1605" s="87" t="s">
        <v>58</v>
      </c>
      <c r="J1605" s="87" t="s">
        <v>4980</v>
      </c>
      <c r="K1605" s="90">
        <v>0.0</v>
      </c>
      <c r="L1605" s="92"/>
      <c r="M1605" s="93"/>
      <c r="N1605" s="87" t="s">
        <v>1772</v>
      </c>
      <c r="O1605" s="87" t="s">
        <v>377</v>
      </c>
      <c r="P1605" s="87" t="s">
        <v>372</v>
      </c>
    </row>
    <row r="1606" ht="15.75" customHeight="1">
      <c r="A1606" s="87" t="s">
        <v>4981</v>
      </c>
      <c r="B1606" s="88">
        <v>1.22E18</v>
      </c>
      <c r="C1606" s="87" t="s">
        <v>4982</v>
      </c>
      <c r="D1606" s="87" t="s">
        <v>57</v>
      </c>
      <c r="E1606" s="87" t="s">
        <v>281</v>
      </c>
      <c r="F1606" s="87" t="s">
        <v>4982</v>
      </c>
      <c r="I1606" s="87" t="s">
        <v>58</v>
      </c>
      <c r="J1606" s="87" t="s">
        <v>4983</v>
      </c>
      <c r="K1606" s="90">
        <v>0.0</v>
      </c>
      <c r="L1606" s="92"/>
      <c r="M1606" s="93"/>
      <c r="N1606" s="87" t="s">
        <v>1772</v>
      </c>
      <c r="O1606" s="87" t="s">
        <v>377</v>
      </c>
      <c r="P1606" s="87" t="s">
        <v>372</v>
      </c>
    </row>
    <row r="1607" ht="15.75" customHeight="1">
      <c r="A1607" s="87" t="s">
        <v>4984</v>
      </c>
      <c r="B1607" s="88">
        <v>1.22E18</v>
      </c>
      <c r="C1607" s="87" t="s">
        <v>4985</v>
      </c>
      <c r="D1607" s="87" t="s">
        <v>87</v>
      </c>
      <c r="E1607" s="87" t="s">
        <v>88</v>
      </c>
      <c r="F1607" s="118" t="s">
        <v>4985</v>
      </c>
      <c r="G1607" s="130"/>
      <c r="H1607" s="119"/>
      <c r="I1607" s="87" t="s">
        <v>58</v>
      </c>
      <c r="J1607" s="87" t="s">
        <v>4986</v>
      </c>
      <c r="K1607" s="90">
        <v>0.0</v>
      </c>
      <c r="L1607" s="92"/>
      <c r="M1607" s="93"/>
      <c r="N1607" s="93"/>
      <c r="O1607" s="87" t="s">
        <v>377</v>
      </c>
      <c r="P1607" s="87" t="s">
        <v>372</v>
      </c>
    </row>
    <row r="1608" ht="15.75" customHeight="1">
      <c r="A1608" s="87" t="s">
        <v>4987</v>
      </c>
      <c r="B1608" s="88">
        <v>1.22E18</v>
      </c>
      <c r="C1608" s="87" t="s">
        <v>4988</v>
      </c>
      <c r="D1608" s="87" t="s">
        <v>262</v>
      </c>
      <c r="E1608" s="87" t="s">
        <v>270</v>
      </c>
      <c r="F1608" s="118" t="s">
        <v>4988</v>
      </c>
      <c r="G1608" s="130"/>
      <c r="H1608" s="119"/>
      <c r="I1608" s="87" t="s">
        <v>58</v>
      </c>
      <c r="J1608" s="87" t="s">
        <v>4989</v>
      </c>
      <c r="K1608" s="90">
        <v>0.0</v>
      </c>
      <c r="L1608" s="92"/>
      <c r="M1608" s="93"/>
      <c r="N1608" s="93"/>
      <c r="O1608" s="87" t="s">
        <v>377</v>
      </c>
      <c r="P1608" s="87" t="s">
        <v>372</v>
      </c>
    </row>
    <row r="1609" ht="15.75" customHeight="1">
      <c r="A1609" s="87" t="s">
        <v>4990</v>
      </c>
      <c r="B1609" s="88">
        <v>1.22E18</v>
      </c>
      <c r="C1609" s="87" t="s">
        <v>4991</v>
      </c>
      <c r="D1609" s="87" t="s">
        <v>87</v>
      </c>
      <c r="E1609" s="87" t="s">
        <v>88</v>
      </c>
      <c r="F1609" s="87" t="s">
        <v>4991</v>
      </c>
      <c r="I1609" s="87" t="s">
        <v>58</v>
      </c>
      <c r="J1609" s="87" t="s">
        <v>4992</v>
      </c>
      <c r="K1609" s="90">
        <v>0.0</v>
      </c>
      <c r="L1609" s="92"/>
      <c r="M1609" s="93"/>
      <c r="N1609" s="87" t="s">
        <v>1772</v>
      </c>
      <c r="O1609" s="87" t="s">
        <v>377</v>
      </c>
      <c r="P1609" s="87" t="s">
        <v>372</v>
      </c>
    </row>
    <row r="1610" ht="15.75" customHeight="1">
      <c r="A1610" s="87" t="s">
        <v>4993</v>
      </c>
      <c r="B1610" s="88">
        <v>1.22E18</v>
      </c>
      <c r="C1610" s="87" t="s">
        <v>4994</v>
      </c>
      <c r="D1610" s="87" t="s">
        <v>87</v>
      </c>
      <c r="E1610" s="87" t="s">
        <v>88</v>
      </c>
      <c r="F1610" s="118" t="s">
        <v>4994</v>
      </c>
      <c r="G1610" s="130"/>
      <c r="H1610" s="119"/>
      <c r="I1610" s="87" t="s">
        <v>58</v>
      </c>
      <c r="J1610" s="87" t="s">
        <v>4995</v>
      </c>
      <c r="K1610" s="90">
        <v>0.0</v>
      </c>
      <c r="L1610" s="92"/>
      <c r="M1610" s="93"/>
      <c r="N1610" s="87" t="s">
        <v>1772</v>
      </c>
      <c r="O1610" s="87" t="s">
        <v>377</v>
      </c>
      <c r="P1610" s="87" t="s">
        <v>372</v>
      </c>
    </row>
    <row r="1611" ht="15.75" customHeight="1">
      <c r="A1611" s="87" t="s">
        <v>4996</v>
      </c>
      <c r="B1611" s="88">
        <v>1.22E18</v>
      </c>
      <c r="C1611" s="87" t="s">
        <v>4997</v>
      </c>
      <c r="D1611" s="87" t="s">
        <v>87</v>
      </c>
      <c r="E1611" s="87" t="s">
        <v>88</v>
      </c>
      <c r="F1611" s="87" t="s">
        <v>4997</v>
      </c>
      <c r="I1611" s="87" t="s">
        <v>340</v>
      </c>
      <c r="J1611" s="87" t="s">
        <v>4998</v>
      </c>
      <c r="K1611" s="90">
        <v>60000.0</v>
      </c>
      <c r="L1611" s="92"/>
      <c r="M1611" s="93"/>
      <c r="N1611" s="93"/>
      <c r="O1611" s="87" t="s">
        <v>377</v>
      </c>
      <c r="P1611" s="87" t="s">
        <v>372</v>
      </c>
    </row>
    <row r="1612" ht="15.75" customHeight="1">
      <c r="A1612" s="87" t="s">
        <v>4999</v>
      </c>
      <c r="B1612" s="88">
        <v>1.22E18</v>
      </c>
      <c r="C1612" s="87" t="s">
        <v>5000</v>
      </c>
      <c r="D1612" s="87" t="s">
        <v>87</v>
      </c>
      <c r="E1612" s="87" t="s">
        <v>88</v>
      </c>
      <c r="F1612" s="87" t="s">
        <v>5000</v>
      </c>
      <c r="I1612" s="87" t="s">
        <v>58</v>
      </c>
      <c r="J1612" s="87" t="s">
        <v>2112</v>
      </c>
      <c r="K1612" s="90">
        <v>0.0</v>
      </c>
      <c r="L1612" s="92"/>
      <c r="M1612" s="93"/>
      <c r="N1612" s="87" t="s">
        <v>5001</v>
      </c>
      <c r="O1612" s="87" t="s">
        <v>377</v>
      </c>
      <c r="P1612" s="87" t="s">
        <v>372</v>
      </c>
    </row>
    <row r="1613" ht="15.75" customHeight="1">
      <c r="A1613" s="87" t="s">
        <v>5002</v>
      </c>
      <c r="B1613" s="88">
        <v>1.22E18</v>
      </c>
      <c r="C1613" s="87" t="s">
        <v>5003</v>
      </c>
      <c r="D1613" s="87" t="s">
        <v>262</v>
      </c>
      <c r="E1613" s="87" t="s">
        <v>270</v>
      </c>
      <c r="F1613" s="87" t="s">
        <v>5003</v>
      </c>
      <c r="I1613" s="87" t="s">
        <v>2333</v>
      </c>
      <c r="J1613" s="87" t="s">
        <v>5004</v>
      </c>
      <c r="K1613" s="90">
        <v>0.0</v>
      </c>
      <c r="L1613" s="92"/>
      <c r="M1613" s="93"/>
      <c r="N1613" s="87" t="s">
        <v>1729</v>
      </c>
      <c r="O1613" s="87" t="s">
        <v>377</v>
      </c>
      <c r="P1613" s="87" t="s">
        <v>372</v>
      </c>
    </row>
    <row r="1614" ht="15.75" customHeight="1">
      <c r="A1614" s="87" t="s">
        <v>5005</v>
      </c>
      <c r="B1614" s="88">
        <v>1.22E18</v>
      </c>
      <c r="C1614" s="87" t="s">
        <v>5006</v>
      </c>
      <c r="D1614" s="87" t="s">
        <v>262</v>
      </c>
      <c r="E1614" s="87" t="s">
        <v>267</v>
      </c>
      <c r="F1614" s="87" t="s">
        <v>5006</v>
      </c>
      <c r="I1614" s="87" t="s">
        <v>58</v>
      </c>
      <c r="J1614" s="87" t="s">
        <v>2041</v>
      </c>
      <c r="K1614" s="90">
        <v>0.0</v>
      </c>
      <c r="L1614" s="92"/>
      <c r="M1614" s="93"/>
      <c r="N1614" s="87" t="s">
        <v>5007</v>
      </c>
      <c r="O1614" s="87" t="s">
        <v>377</v>
      </c>
      <c r="P1614" s="87" t="s">
        <v>372</v>
      </c>
    </row>
    <row r="1615" ht="15.75" customHeight="1">
      <c r="A1615" s="87" t="s">
        <v>5008</v>
      </c>
      <c r="B1615" s="88">
        <v>1.22E18</v>
      </c>
      <c r="C1615" s="87" t="s">
        <v>5009</v>
      </c>
      <c r="D1615" s="87" t="s">
        <v>262</v>
      </c>
      <c r="E1615" s="87" t="s">
        <v>278</v>
      </c>
      <c r="F1615" s="87" t="s">
        <v>5009</v>
      </c>
      <c r="I1615" s="87" t="s">
        <v>58</v>
      </c>
      <c r="J1615" s="87" t="s">
        <v>2844</v>
      </c>
      <c r="L1615" s="92"/>
      <c r="M1615" s="93"/>
      <c r="N1615" s="87" t="s">
        <v>5007</v>
      </c>
      <c r="O1615" s="87" t="s">
        <v>377</v>
      </c>
      <c r="P1615" s="87" t="s">
        <v>2565</v>
      </c>
    </row>
    <row r="1616" ht="15.75" customHeight="1">
      <c r="A1616" s="87" t="s">
        <v>5010</v>
      </c>
      <c r="B1616" s="88">
        <v>1.22E18</v>
      </c>
      <c r="C1616" s="87" t="s">
        <v>5011</v>
      </c>
      <c r="D1616" s="87" t="s">
        <v>87</v>
      </c>
      <c r="E1616" s="87" t="s">
        <v>88</v>
      </c>
      <c r="F1616" s="87" t="s">
        <v>5011</v>
      </c>
      <c r="I1616" s="87" t="s">
        <v>5012</v>
      </c>
      <c r="J1616" s="87" t="s">
        <v>5013</v>
      </c>
      <c r="K1616" s="90">
        <v>0.0</v>
      </c>
      <c r="L1616" s="92"/>
      <c r="M1616" s="93"/>
      <c r="N1616" s="87" t="s">
        <v>5014</v>
      </c>
      <c r="O1616" s="87" t="s">
        <v>377</v>
      </c>
      <c r="P1616" s="87" t="s">
        <v>372</v>
      </c>
    </row>
    <row r="1617" ht="15.75" customHeight="1">
      <c r="A1617" s="87" t="s">
        <v>5015</v>
      </c>
      <c r="B1617" s="88">
        <v>1.22E18</v>
      </c>
      <c r="C1617" s="87" t="s">
        <v>5016</v>
      </c>
      <c r="D1617" s="87" t="s">
        <v>87</v>
      </c>
      <c r="E1617" s="87" t="s">
        <v>102</v>
      </c>
      <c r="F1617" s="87" t="s">
        <v>861</v>
      </c>
      <c r="G1617" s="93"/>
      <c r="H1617" s="93"/>
      <c r="I1617" s="87" t="s">
        <v>1742</v>
      </c>
      <c r="J1617" s="87" t="s">
        <v>5017</v>
      </c>
      <c r="K1617" s="90">
        <v>0.0</v>
      </c>
      <c r="L1617" s="92"/>
      <c r="M1617" s="93"/>
      <c r="N1617" s="87" t="s">
        <v>5018</v>
      </c>
      <c r="O1617" s="87" t="s">
        <v>377</v>
      </c>
      <c r="P1617" s="87" t="s">
        <v>372</v>
      </c>
    </row>
    <row r="1618" ht="15.75" customHeight="1">
      <c r="A1618" s="87" t="s">
        <v>5019</v>
      </c>
      <c r="B1618" s="88">
        <v>1.22E18</v>
      </c>
      <c r="C1618" s="87" t="s">
        <v>5020</v>
      </c>
      <c r="D1618" s="87" t="s">
        <v>87</v>
      </c>
      <c r="E1618" s="87" t="s">
        <v>102</v>
      </c>
      <c r="F1618" s="87" t="s">
        <v>1763</v>
      </c>
      <c r="I1618" s="93"/>
      <c r="J1618" s="87" t="s">
        <v>5021</v>
      </c>
      <c r="K1618" s="90">
        <v>0.0</v>
      </c>
      <c r="L1618" s="92"/>
      <c r="M1618" s="93"/>
      <c r="N1618" s="87" t="s">
        <v>5018</v>
      </c>
      <c r="O1618" s="87" t="s">
        <v>377</v>
      </c>
      <c r="P1618" s="87" t="s">
        <v>372</v>
      </c>
    </row>
    <row r="1619" ht="15.75" customHeight="1">
      <c r="A1619" s="87" t="s">
        <v>5022</v>
      </c>
      <c r="B1619" s="88">
        <v>1.22E18</v>
      </c>
      <c r="C1619" s="87" t="s">
        <v>5023</v>
      </c>
      <c r="D1619" s="87" t="s">
        <v>87</v>
      </c>
      <c r="E1619" s="87" t="s">
        <v>102</v>
      </c>
      <c r="F1619" s="87" t="s">
        <v>861</v>
      </c>
      <c r="G1619" s="93"/>
      <c r="H1619" s="93"/>
      <c r="I1619" s="87" t="s">
        <v>1742</v>
      </c>
      <c r="J1619" s="87" t="s">
        <v>5024</v>
      </c>
      <c r="K1619" s="90">
        <v>0.0</v>
      </c>
      <c r="L1619" s="92"/>
      <c r="M1619" s="93"/>
      <c r="N1619" s="87" t="s">
        <v>5018</v>
      </c>
      <c r="O1619" s="87" t="s">
        <v>377</v>
      </c>
      <c r="P1619" s="87" t="s">
        <v>372</v>
      </c>
    </row>
    <row r="1620" ht="15.75" customHeight="1">
      <c r="A1620" s="87" t="s">
        <v>5025</v>
      </c>
      <c r="B1620" s="88">
        <v>1.22E18</v>
      </c>
      <c r="C1620" s="87" t="s">
        <v>5026</v>
      </c>
      <c r="D1620" s="87" t="s">
        <v>262</v>
      </c>
      <c r="E1620" s="87" t="s">
        <v>270</v>
      </c>
      <c r="F1620" s="87" t="s">
        <v>5026</v>
      </c>
      <c r="I1620" s="87" t="s">
        <v>58</v>
      </c>
      <c r="J1620" s="87" t="s">
        <v>5027</v>
      </c>
      <c r="K1620" s="90">
        <v>0.0</v>
      </c>
      <c r="L1620" s="92"/>
      <c r="M1620" s="93"/>
      <c r="N1620" s="87" t="s">
        <v>1808</v>
      </c>
      <c r="O1620" s="87" t="s">
        <v>377</v>
      </c>
      <c r="P1620" s="87" t="s">
        <v>372</v>
      </c>
    </row>
    <row r="1621" ht="15.75" customHeight="1">
      <c r="A1621" s="87" t="s">
        <v>5028</v>
      </c>
      <c r="B1621" s="88">
        <v>1.22E18</v>
      </c>
      <c r="C1621" s="87" t="s">
        <v>5029</v>
      </c>
      <c r="D1621" s="87" t="s">
        <v>262</v>
      </c>
      <c r="E1621" s="87" t="s">
        <v>270</v>
      </c>
      <c r="F1621" s="87" t="s">
        <v>5029</v>
      </c>
      <c r="I1621" s="87" t="s">
        <v>58</v>
      </c>
      <c r="J1621" s="87" t="s">
        <v>5027</v>
      </c>
      <c r="K1621" s="90">
        <v>0.0</v>
      </c>
      <c r="L1621" s="92"/>
      <c r="M1621" s="93"/>
      <c r="N1621" s="87" t="s">
        <v>1808</v>
      </c>
      <c r="O1621" s="87" t="s">
        <v>377</v>
      </c>
      <c r="P1621" s="87" t="s">
        <v>372</v>
      </c>
    </row>
    <row r="1622" ht="15.75" customHeight="1">
      <c r="A1622" s="87" t="s">
        <v>5030</v>
      </c>
      <c r="B1622" s="88">
        <v>1.22E18</v>
      </c>
      <c r="C1622" s="87" t="s">
        <v>5031</v>
      </c>
      <c r="D1622" s="87" t="s">
        <v>262</v>
      </c>
      <c r="E1622" s="87" t="s">
        <v>270</v>
      </c>
      <c r="F1622" s="87" t="s">
        <v>5031</v>
      </c>
      <c r="I1622" s="87" t="s">
        <v>58</v>
      </c>
      <c r="J1622" s="87" t="s">
        <v>2801</v>
      </c>
      <c r="K1622" s="90">
        <v>0.0</v>
      </c>
      <c r="L1622" s="92"/>
      <c r="M1622" s="93"/>
      <c r="N1622" s="87" t="s">
        <v>1808</v>
      </c>
      <c r="O1622" s="87" t="s">
        <v>377</v>
      </c>
      <c r="P1622" s="87" t="s">
        <v>372</v>
      </c>
    </row>
    <row r="1623" ht="15.75" customHeight="1">
      <c r="A1623" s="87" t="s">
        <v>5032</v>
      </c>
      <c r="B1623" s="88">
        <v>1.22E18</v>
      </c>
      <c r="C1623" s="87" t="s">
        <v>5033</v>
      </c>
      <c r="D1623" s="87" t="s">
        <v>262</v>
      </c>
      <c r="E1623" s="87" t="s">
        <v>270</v>
      </c>
      <c r="F1623" s="87" t="s">
        <v>5033</v>
      </c>
      <c r="I1623" s="87" t="s">
        <v>58</v>
      </c>
      <c r="J1623" s="87" t="s">
        <v>5027</v>
      </c>
      <c r="K1623" s="90">
        <v>0.0</v>
      </c>
      <c r="L1623" s="92"/>
      <c r="M1623" s="93"/>
      <c r="N1623" s="93"/>
      <c r="O1623" s="87" t="s">
        <v>377</v>
      </c>
      <c r="P1623" s="87" t="s">
        <v>372</v>
      </c>
    </row>
    <row r="1624" ht="15.75" customHeight="1">
      <c r="A1624" s="87" t="s">
        <v>5034</v>
      </c>
      <c r="B1624" s="88">
        <v>1.22E18</v>
      </c>
      <c r="C1624" s="87" t="s">
        <v>5035</v>
      </c>
      <c r="D1624" s="87" t="s">
        <v>262</v>
      </c>
      <c r="E1624" s="87" t="s">
        <v>267</v>
      </c>
      <c r="F1624" s="87" t="s">
        <v>5035</v>
      </c>
      <c r="I1624" s="87" t="s">
        <v>58</v>
      </c>
      <c r="J1624" s="87" t="s">
        <v>3386</v>
      </c>
      <c r="K1624" s="90">
        <v>0.0</v>
      </c>
      <c r="L1624" s="92"/>
      <c r="M1624" s="93"/>
      <c r="N1624" s="87" t="s">
        <v>1808</v>
      </c>
      <c r="O1624" s="87" t="s">
        <v>377</v>
      </c>
      <c r="P1624" s="87" t="s">
        <v>372</v>
      </c>
    </row>
    <row r="1625" ht="15.75" customHeight="1">
      <c r="A1625" s="87" t="s">
        <v>5036</v>
      </c>
      <c r="B1625" s="88">
        <v>1.22E18</v>
      </c>
      <c r="C1625" s="87" t="s">
        <v>5037</v>
      </c>
      <c r="D1625" s="87" t="s">
        <v>262</v>
      </c>
      <c r="E1625" s="87" t="s">
        <v>270</v>
      </c>
      <c r="F1625" s="87" t="s">
        <v>5037</v>
      </c>
      <c r="I1625" s="87" t="s">
        <v>58</v>
      </c>
      <c r="J1625" s="87" t="s">
        <v>3716</v>
      </c>
      <c r="K1625" s="90">
        <v>0.0</v>
      </c>
      <c r="L1625" s="92"/>
      <c r="M1625" s="93"/>
      <c r="N1625" s="87" t="s">
        <v>1808</v>
      </c>
      <c r="O1625" s="87" t="s">
        <v>377</v>
      </c>
      <c r="P1625" s="87" t="s">
        <v>372</v>
      </c>
    </row>
    <row r="1626" ht="15.75" customHeight="1">
      <c r="A1626" s="87" t="s">
        <v>5038</v>
      </c>
      <c r="B1626" s="88">
        <v>1.22E18</v>
      </c>
      <c r="C1626" s="87" t="s">
        <v>5039</v>
      </c>
      <c r="D1626" s="87" t="s">
        <v>262</v>
      </c>
      <c r="E1626" s="87" t="s">
        <v>270</v>
      </c>
      <c r="F1626" s="87" t="s">
        <v>5039</v>
      </c>
      <c r="I1626" s="87" t="s">
        <v>58</v>
      </c>
      <c r="J1626" s="87" t="s">
        <v>4653</v>
      </c>
      <c r="K1626" s="90">
        <v>0.0</v>
      </c>
      <c r="L1626" s="92"/>
      <c r="M1626" s="93"/>
      <c r="N1626" s="87" t="s">
        <v>1808</v>
      </c>
      <c r="O1626" s="87" t="s">
        <v>377</v>
      </c>
      <c r="P1626" s="87" t="s">
        <v>372</v>
      </c>
    </row>
    <row r="1627" ht="15.75" customHeight="1">
      <c r="A1627" s="87" t="s">
        <v>5040</v>
      </c>
      <c r="B1627" s="88">
        <v>1.22E18</v>
      </c>
      <c r="C1627" s="87" t="s">
        <v>5041</v>
      </c>
      <c r="D1627" s="87" t="s">
        <v>262</v>
      </c>
      <c r="E1627" s="87" t="s">
        <v>270</v>
      </c>
      <c r="F1627" s="87" t="s">
        <v>5041</v>
      </c>
      <c r="I1627" s="87" t="s">
        <v>58</v>
      </c>
      <c r="J1627" s="87" t="s">
        <v>5027</v>
      </c>
      <c r="K1627" s="90">
        <v>0.0</v>
      </c>
      <c r="L1627" s="92"/>
      <c r="M1627" s="93"/>
      <c r="N1627" s="93"/>
      <c r="O1627" s="87" t="s">
        <v>377</v>
      </c>
      <c r="P1627" s="87" t="s">
        <v>372</v>
      </c>
    </row>
    <row r="1628" ht="15.75" customHeight="1">
      <c r="A1628" s="87" t="s">
        <v>5042</v>
      </c>
      <c r="B1628" s="88">
        <v>1.22E18</v>
      </c>
      <c r="C1628" s="87" t="s">
        <v>5043</v>
      </c>
      <c r="D1628" s="87" t="s">
        <v>262</v>
      </c>
      <c r="E1628" s="87" t="s">
        <v>270</v>
      </c>
      <c r="F1628" s="87" t="s">
        <v>5043</v>
      </c>
      <c r="I1628" s="87" t="s">
        <v>58</v>
      </c>
      <c r="J1628" s="87" t="s">
        <v>5027</v>
      </c>
      <c r="K1628" s="90">
        <v>0.0</v>
      </c>
      <c r="L1628" s="92"/>
      <c r="M1628" s="93"/>
      <c r="N1628" s="87" t="s">
        <v>1808</v>
      </c>
      <c r="O1628" s="87" t="s">
        <v>377</v>
      </c>
      <c r="P1628" s="87" t="s">
        <v>372</v>
      </c>
    </row>
    <row r="1629" ht="15.75" customHeight="1">
      <c r="A1629" s="87" t="s">
        <v>5044</v>
      </c>
      <c r="B1629" s="88">
        <v>1.22E18</v>
      </c>
      <c r="C1629" s="87" t="s">
        <v>5045</v>
      </c>
      <c r="D1629" s="87" t="s">
        <v>262</v>
      </c>
      <c r="E1629" s="87" t="s">
        <v>267</v>
      </c>
      <c r="F1629" s="87" t="s">
        <v>5045</v>
      </c>
      <c r="I1629" s="87" t="s">
        <v>58</v>
      </c>
      <c r="J1629" s="87" t="s">
        <v>5046</v>
      </c>
      <c r="K1629" s="90">
        <v>0.0</v>
      </c>
      <c r="L1629" s="92"/>
      <c r="M1629" s="93"/>
      <c r="N1629" s="93"/>
      <c r="O1629" s="87" t="s">
        <v>377</v>
      </c>
      <c r="P1629" s="87" t="s">
        <v>372</v>
      </c>
    </row>
    <row r="1630" ht="15.75" customHeight="1">
      <c r="A1630" s="87" t="s">
        <v>5047</v>
      </c>
      <c r="B1630" s="88">
        <v>1.22E18</v>
      </c>
      <c r="C1630" s="87" t="s">
        <v>5048</v>
      </c>
      <c r="D1630" s="87" t="s">
        <v>57</v>
      </c>
      <c r="E1630" s="87" t="s">
        <v>281</v>
      </c>
      <c r="F1630" s="87" t="s">
        <v>5048</v>
      </c>
      <c r="I1630" s="87" t="s">
        <v>58</v>
      </c>
      <c r="J1630" s="87" t="s">
        <v>3880</v>
      </c>
      <c r="K1630" s="90">
        <v>0.0</v>
      </c>
      <c r="L1630" s="92"/>
      <c r="M1630" s="93"/>
      <c r="N1630" s="87" t="s">
        <v>1772</v>
      </c>
      <c r="O1630" s="87" t="s">
        <v>377</v>
      </c>
      <c r="P1630" s="87" t="s">
        <v>372</v>
      </c>
    </row>
    <row r="1631" ht="15.75" customHeight="1">
      <c r="A1631" s="87" t="s">
        <v>5049</v>
      </c>
      <c r="B1631" s="88">
        <v>1.22E18</v>
      </c>
      <c r="C1631" s="87" t="s">
        <v>5050</v>
      </c>
      <c r="D1631" s="87" t="s">
        <v>57</v>
      </c>
      <c r="E1631" s="87" t="s">
        <v>287</v>
      </c>
      <c r="F1631" s="87" t="s">
        <v>415</v>
      </c>
      <c r="G1631" s="93"/>
      <c r="H1631" s="93"/>
      <c r="I1631" s="87" t="s">
        <v>58</v>
      </c>
      <c r="J1631" s="87" t="s">
        <v>5051</v>
      </c>
      <c r="K1631" s="90">
        <v>1.0</v>
      </c>
      <c r="L1631" s="92"/>
      <c r="M1631" s="93"/>
      <c r="N1631" s="87" t="s">
        <v>1739</v>
      </c>
      <c r="O1631" s="87" t="s">
        <v>377</v>
      </c>
      <c r="P1631" s="87" t="s">
        <v>372</v>
      </c>
    </row>
    <row r="1632" ht="15.75" customHeight="1">
      <c r="A1632" s="87" t="s">
        <v>5052</v>
      </c>
      <c r="B1632" s="88">
        <v>1.22E18</v>
      </c>
      <c r="C1632" s="87" t="s">
        <v>5053</v>
      </c>
      <c r="D1632" s="87" t="s">
        <v>87</v>
      </c>
      <c r="E1632" s="87" t="s">
        <v>88</v>
      </c>
      <c r="F1632" s="87" t="s">
        <v>5053</v>
      </c>
      <c r="I1632" s="87" t="s">
        <v>58</v>
      </c>
      <c r="J1632" s="87" t="s">
        <v>5054</v>
      </c>
      <c r="K1632" s="90">
        <v>0.0</v>
      </c>
      <c r="L1632" s="92"/>
      <c r="M1632" s="93"/>
      <c r="N1632" s="87" t="s">
        <v>5055</v>
      </c>
      <c r="O1632" s="87" t="s">
        <v>377</v>
      </c>
      <c r="P1632" s="87" t="s">
        <v>372</v>
      </c>
    </row>
    <row r="1633" ht="15.75" customHeight="1">
      <c r="A1633" s="87" t="s">
        <v>5056</v>
      </c>
      <c r="B1633" s="88">
        <v>1.22E18</v>
      </c>
      <c r="C1633" s="87" t="s">
        <v>5057</v>
      </c>
      <c r="D1633" s="87" t="s">
        <v>56</v>
      </c>
      <c r="E1633" s="87" t="s">
        <v>154</v>
      </c>
      <c r="F1633" s="87" t="s">
        <v>5057</v>
      </c>
      <c r="I1633" s="87" t="s">
        <v>327</v>
      </c>
      <c r="J1633" s="87" t="s">
        <v>5058</v>
      </c>
      <c r="K1633" s="90">
        <v>0.0</v>
      </c>
      <c r="L1633" s="92"/>
      <c r="M1633" s="93"/>
      <c r="N1633" s="87" t="s">
        <v>5059</v>
      </c>
      <c r="O1633" s="87" t="s">
        <v>377</v>
      </c>
      <c r="P1633" s="87" t="s">
        <v>372</v>
      </c>
    </row>
    <row r="1634" ht="15.75" customHeight="1">
      <c r="A1634" s="87" t="s">
        <v>5060</v>
      </c>
      <c r="B1634" s="88">
        <v>1.22E18</v>
      </c>
      <c r="C1634" s="87" t="s">
        <v>5061</v>
      </c>
      <c r="D1634" s="87" t="s">
        <v>262</v>
      </c>
      <c r="E1634" s="87" t="s">
        <v>263</v>
      </c>
      <c r="F1634" s="118" t="s">
        <v>5061</v>
      </c>
      <c r="G1634" s="130"/>
      <c r="H1634" s="119"/>
      <c r="I1634" s="87" t="s">
        <v>58</v>
      </c>
      <c r="J1634" s="87" t="s">
        <v>5062</v>
      </c>
      <c r="K1634" s="90">
        <v>0.0</v>
      </c>
      <c r="L1634" s="92"/>
      <c r="M1634" s="93"/>
      <c r="N1634" s="87" t="s">
        <v>1772</v>
      </c>
      <c r="O1634" s="87" t="s">
        <v>377</v>
      </c>
      <c r="P1634" s="87" t="s">
        <v>372</v>
      </c>
    </row>
    <row r="1635" ht="15.75" customHeight="1">
      <c r="A1635" s="87" t="s">
        <v>5063</v>
      </c>
      <c r="B1635" s="88">
        <v>1.22E18</v>
      </c>
      <c r="C1635" s="87" t="s">
        <v>5064</v>
      </c>
      <c r="D1635" s="87" t="s">
        <v>262</v>
      </c>
      <c r="E1635" s="87" t="s">
        <v>263</v>
      </c>
      <c r="F1635" s="118" t="s">
        <v>5064</v>
      </c>
      <c r="G1635" s="130"/>
      <c r="H1635" s="119"/>
      <c r="I1635" s="87" t="s">
        <v>58</v>
      </c>
      <c r="J1635" s="87" t="s">
        <v>5065</v>
      </c>
      <c r="K1635" s="90">
        <v>0.0</v>
      </c>
      <c r="L1635" s="92"/>
      <c r="M1635" s="93"/>
      <c r="N1635" s="87" t="s">
        <v>1772</v>
      </c>
      <c r="O1635" s="87" t="s">
        <v>377</v>
      </c>
      <c r="P1635" s="87" t="s">
        <v>372</v>
      </c>
    </row>
    <row r="1636" ht="15.75" customHeight="1">
      <c r="A1636" s="87" t="s">
        <v>5066</v>
      </c>
      <c r="B1636" s="88">
        <v>1.22E18</v>
      </c>
      <c r="C1636" s="87" t="s">
        <v>5067</v>
      </c>
      <c r="D1636" s="87" t="s">
        <v>262</v>
      </c>
      <c r="E1636" s="87" t="s">
        <v>263</v>
      </c>
      <c r="F1636" s="118" t="s">
        <v>5067</v>
      </c>
      <c r="G1636" s="130"/>
      <c r="H1636" s="119"/>
      <c r="I1636" s="87" t="s">
        <v>58</v>
      </c>
      <c r="J1636" s="87" t="s">
        <v>5065</v>
      </c>
      <c r="K1636" s="90">
        <v>0.0</v>
      </c>
      <c r="L1636" s="92"/>
      <c r="M1636" s="93"/>
      <c r="N1636" s="87" t="s">
        <v>1772</v>
      </c>
      <c r="O1636" s="87" t="s">
        <v>377</v>
      </c>
      <c r="P1636" s="87" t="s">
        <v>372</v>
      </c>
    </row>
    <row r="1637" ht="15.75" customHeight="1">
      <c r="A1637" s="87" t="s">
        <v>5068</v>
      </c>
      <c r="B1637" s="88">
        <v>1.22E18</v>
      </c>
      <c r="C1637" s="87" t="s">
        <v>5069</v>
      </c>
      <c r="D1637" s="87" t="s">
        <v>262</v>
      </c>
      <c r="E1637" s="87" t="s">
        <v>263</v>
      </c>
      <c r="F1637" s="118" t="s">
        <v>5069</v>
      </c>
      <c r="G1637" s="130"/>
      <c r="H1637" s="119"/>
      <c r="I1637" s="87" t="s">
        <v>58</v>
      </c>
      <c r="J1637" s="87" t="s">
        <v>5070</v>
      </c>
      <c r="K1637" s="90">
        <v>0.0</v>
      </c>
      <c r="L1637" s="92"/>
      <c r="M1637" s="93"/>
      <c r="N1637" s="87" t="s">
        <v>1772</v>
      </c>
      <c r="O1637" s="87" t="s">
        <v>377</v>
      </c>
      <c r="P1637" s="87" t="s">
        <v>372</v>
      </c>
    </row>
    <row r="1638" ht="15.75" customHeight="1">
      <c r="A1638" s="87" t="s">
        <v>5071</v>
      </c>
      <c r="B1638" s="88">
        <v>1.22E18</v>
      </c>
      <c r="C1638" s="87" t="s">
        <v>5072</v>
      </c>
      <c r="D1638" s="87" t="s">
        <v>57</v>
      </c>
      <c r="E1638" s="87" t="s">
        <v>287</v>
      </c>
      <c r="F1638" s="118" t="s">
        <v>5072</v>
      </c>
      <c r="G1638" s="130"/>
      <c r="H1638" s="119"/>
      <c r="I1638" s="87" t="s">
        <v>58</v>
      </c>
      <c r="J1638" s="87" t="s">
        <v>5073</v>
      </c>
      <c r="K1638" s="90">
        <v>0.0</v>
      </c>
      <c r="L1638" s="92"/>
      <c r="M1638" s="93"/>
      <c r="N1638" s="87" t="s">
        <v>1772</v>
      </c>
      <c r="O1638" s="87" t="s">
        <v>377</v>
      </c>
      <c r="P1638" s="87" t="s">
        <v>372</v>
      </c>
    </row>
    <row r="1639" ht="15.75" customHeight="1">
      <c r="A1639" s="87" t="s">
        <v>5074</v>
      </c>
      <c r="B1639" s="88">
        <v>1.22E18</v>
      </c>
      <c r="C1639" s="87" t="s">
        <v>5075</v>
      </c>
      <c r="D1639" s="87" t="s">
        <v>262</v>
      </c>
      <c r="E1639" s="87" t="s">
        <v>267</v>
      </c>
      <c r="F1639" s="118" t="s">
        <v>5075</v>
      </c>
      <c r="G1639" s="130"/>
      <c r="H1639" s="119"/>
      <c r="I1639" s="87" t="s">
        <v>58</v>
      </c>
      <c r="J1639" s="87" t="s">
        <v>5076</v>
      </c>
      <c r="K1639" s="90">
        <v>0.0</v>
      </c>
      <c r="L1639" s="92"/>
      <c r="M1639" s="93"/>
      <c r="N1639" s="87" t="s">
        <v>1772</v>
      </c>
      <c r="O1639" s="87" t="s">
        <v>377</v>
      </c>
      <c r="P1639" s="87" t="s">
        <v>372</v>
      </c>
    </row>
    <row r="1640" ht="15.75" customHeight="1">
      <c r="A1640" s="87" t="s">
        <v>5077</v>
      </c>
      <c r="B1640" s="88">
        <v>1.22E18</v>
      </c>
      <c r="C1640" s="87" t="s">
        <v>5078</v>
      </c>
      <c r="D1640" s="87" t="s">
        <v>57</v>
      </c>
      <c r="E1640" s="87" t="s">
        <v>287</v>
      </c>
      <c r="F1640" s="87" t="s">
        <v>5078</v>
      </c>
      <c r="I1640" s="87" t="s">
        <v>58</v>
      </c>
      <c r="J1640" s="87" t="s">
        <v>5079</v>
      </c>
      <c r="K1640" s="90">
        <v>0.0</v>
      </c>
      <c r="L1640" s="92"/>
      <c r="M1640" s="93"/>
      <c r="N1640" s="87" t="s">
        <v>1772</v>
      </c>
      <c r="O1640" s="87" t="s">
        <v>377</v>
      </c>
      <c r="P1640" s="87" t="s">
        <v>372</v>
      </c>
    </row>
    <row r="1641" ht="15.75" customHeight="1">
      <c r="A1641" s="87" t="s">
        <v>5080</v>
      </c>
      <c r="B1641" s="88">
        <v>1.22E18</v>
      </c>
      <c r="C1641" s="87" t="s">
        <v>5081</v>
      </c>
      <c r="D1641" s="87" t="s">
        <v>57</v>
      </c>
      <c r="E1641" s="87" t="s">
        <v>281</v>
      </c>
      <c r="F1641" s="87" t="s">
        <v>5081</v>
      </c>
      <c r="I1641" s="87" t="s">
        <v>58</v>
      </c>
      <c r="J1641" s="87" t="s">
        <v>5082</v>
      </c>
      <c r="K1641" s="90">
        <v>0.0</v>
      </c>
      <c r="L1641" s="92"/>
      <c r="M1641" s="93"/>
      <c r="N1641" s="87" t="s">
        <v>1772</v>
      </c>
      <c r="O1641" s="87" t="s">
        <v>377</v>
      </c>
      <c r="P1641" s="87" t="s">
        <v>372</v>
      </c>
    </row>
    <row r="1642" ht="15.75" customHeight="1">
      <c r="A1642" s="87" t="s">
        <v>5083</v>
      </c>
      <c r="B1642" s="88">
        <v>1.22E18</v>
      </c>
      <c r="C1642" s="87" t="s">
        <v>5084</v>
      </c>
      <c r="D1642" s="87" t="s">
        <v>87</v>
      </c>
      <c r="E1642" s="87" t="s">
        <v>88</v>
      </c>
      <c r="F1642" s="87" t="s">
        <v>5084</v>
      </c>
      <c r="I1642" s="87" t="s">
        <v>58</v>
      </c>
      <c r="J1642" s="87" t="s">
        <v>3806</v>
      </c>
      <c r="K1642" s="90">
        <v>0.0</v>
      </c>
      <c r="L1642" s="92"/>
      <c r="M1642" s="93"/>
      <c r="N1642" s="87" t="s">
        <v>2835</v>
      </c>
      <c r="O1642" s="87" t="s">
        <v>377</v>
      </c>
      <c r="P1642" s="87" t="s">
        <v>372</v>
      </c>
    </row>
    <row r="1643" ht="15.75" customHeight="1">
      <c r="A1643" s="87" t="s">
        <v>5085</v>
      </c>
      <c r="B1643" s="88">
        <v>1.22E18</v>
      </c>
      <c r="C1643" s="87" t="s">
        <v>5086</v>
      </c>
      <c r="D1643" s="87" t="s">
        <v>262</v>
      </c>
      <c r="E1643" s="87" t="s">
        <v>263</v>
      </c>
      <c r="F1643" s="87" t="s">
        <v>415</v>
      </c>
      <c r="G1643" s="93"/>
      <c r="H1643" s="93"/>
      <c r="I1643" s="87" t="s">
        <v>58</v>
      </c>
      <c r="J1643" s="87" t="s">
        <v>5087</v>
      </c>
      <c r="K1643" s="90">
        <v>8.0</v>
      </c>
      <c r="L1643" s="92"/>
      <c r="M1643" s="93"/>
      <c r="N1643" s="93"/>
      <c r="O1643" s="87" t="s">
        <v>377</v>
      </c>
      <c r="P1643" s="87" t="s">
        <v>372</v>
      </c>
    </row>
    <row r="1644" ht="15.75" customHeight="1">
      <c r="A1644" s="87" t="s">
        <v>5088</v>
      </c>
      <c r="B1644" s="88">
        <v>1.22E18</v>
      </c>
      <c r="C1644" s="87" t="s">
        <v>5089</v>
      </c>
      <c r="D1644" s="87" t="s">
        <v>262</v>
      </c>
      <c r="E1644" s="87" t="s">
        <v>263</v>
      </c>
      <c r="F1644" s="87" t="s">
        <v>415</v>
      </c>
      <c r="G1644" s="93"/>
      <c r="H1644" s="93"/>
      <c r="I1644" s="87" t="s">
        <v>58</v>
      </c>
      <c r="J1644" s="87" t="s">
        <v>5090</v>
      </c>
      <c r="K1644" s="90">
        <v>5.0</v>
      </c>
      <c r="L1644" s="92"/>
      <c r="M1644" s="93"/>
      <c r="N1644" s="87" t="s">
        <v>3295</v>
      </c>
      <c r="O1644" s="87" t="s">
        <v>377</v>
      </c>
      <c r="P1644" s="87" t="s">
        <v>372</v>
      </c>
    </row>
    <row r="1645" ht="15.75" customHeight="1">
      <c r="A1645" s="87" t="s">
        <v>5091</v>
      </c>
      <c r="B1645" s="88">
        <v>1.22E18</v>
      </c>
      <c r="C1645" s="87" t="s">
        <v>5092</v>
      </c>
      <c r="D1645" s="87" t="s">
        <v>57</v>
      </c>
      <c r="E1645" s="87" t="s">
        <v>293</v>
      </c>
      <c r="F1645" s="87" t="s">
        <v>5092</v>
      </c>
      <c r="H1645" s="93"/>
      <c r="I1645" s="87" t="s">
        <v>58</v>
      </c>
      <c r="J1645" s="87" t="s">
        <v>3383</v>
      </c>
      <c r="K1645" s="90">
        <v>0.0</v>
      </c>
      <c r="L1645" s="92"/>
      <c r="M1645" s="93"/>
      <c r="N1645" s="87" t="s">
        <v>5093</v>
      </c>
      <c r="O1645" s="87" t="s">
        <v>377</v>
      </c>
      <c r="P1645" s="87" t="s">
        <v>372</v>
      </c>
    </row>
    <row r="1646" ht="15.75" customHeight="1">
      <c r="A1646" s="87" t="s">
        <v>5094</v>
      </c>
      <c r="B1646" s="88">
        <v>1.22E18</v>
      </c>
      <c r="C1646" s="87" t="s">
        <v>5095</v>
      </c>
      <c r="D1646" s="87" t="s">
        <v>262</v>
      </c>
      <c r="E1646" s="87" t="s">
        <v>270</v>
      </c>
      <c r="F1646" s="87" t="s">
        <v>5095</v>
      </c>
      <c r="I1646" s="87" t="s">
        <v>58</v>
      </c>
      <c r="J1646" s="87" t="s">
        <v>5096</v>
      </c>
      <c r="K1646" s="90">
        <v>0.0</v>
      </c>
      <c r="L1646" s="92"/>
      <c r="M1646" s="93"/>
      <c r="N1646" s="87" t="s">
        <v>5097</v>
      </c>
      <c r="O1646" s="87" t="s">
        <v>377</v>
      </c>
      <c r="P1646" s="87" t="s">
        <v>372</v>
      </c>
    </row>
    <row r="1647" ht="15.75" customHeight="1">
      <c r="A1647" s="87" t="s">
        <v>5098</v>
      </c>
      <c r="B1647" s="88">
        <v>1.22E18</v>
      </c>
      <c r="C1647" s="87" t="s">
        <v>5099</v>
      </c>
      <c r="D1647" s="87" t="s">
        <v>262</v>
      </c>
      <c r="E1647" s="87" t="s">
        <v>270</v>
      </c>
      <c r="F1647" s="87" t="s">
        <v>5099</v>
      </c>
      <c r="I1647" s="87" t="s">
        <v>58</v>
      </c>
      <c r="J1647" s="87" t="s">
        <v>4535</v>
      </c>
      <c r="K1647" s="90">
        <v>0.0</v>
      </c>
      <c r="L1647" s="92"/>
      <c r="M1647" s="93"/>
      <c r="N1647" s="87" t="s">
        <v>5097</v>
      </c>
      <c r="O1647" s="87" t="s">
        <v>377</v>
      </c>
      <c r="P1647" s="87" t="s">
        <v>372</v>
      </c>
    </row>
    <row r="1648" ht="15.75" customHeight="1">
      <c r="A1648" s="87" t="s">
        <v>5100</v>
      </c>
      <c r="B1648" s="88">
        <v>1.22E18</v>
      </c>
      <c r="C1648" s="87" t="s">
        <v>5101</v>
      </c>
      <c r="D1648" s="87" t="s">
        <v>262</v>
      </c>
      <c r="E1648" s="87" t="s">
        <v>270</v>
      </c>
      <c r="F1648" s="87" t="s">
        <v>5101</v>
      </c>
      <c r="I1648" s="87" t="s">
        <v>58</v>
      </c>
      <c r="J1648" s="87" t="s">
        <v>5102</v>
      </c>
      <c r="K1648" s="90">
        <v>0.0</v>
      </c>
      <c r="L1648" s="92"/>
      <c r="M1648" s="93"/>
      <c r="N1648" s="87" t="s">
        <v>5097</v>
      </c>
      <c r="O1648" s="87" t="s">
        <v>377</v>
      </c>
      <c r="P1648" s="87" t="s">
        <v>372</v>
      </c>
    </row>
    <row r="1649" ht="15.75" customHeight="1">
      <c r="A1649" s="87" t="s">
        <v>5103</v>
      </c>
      <c r="B1649" s="88">
        <v>1.22E18</v>
      </c>
      <c r="C1649" s="87" t="s">
        <v>5104</v>
      </c>
      <c r="D1649" s="87" t="s">
        <v>262</v>
      </c>
      <c r="E1649" s="87" t="s">
        <v>270</v>
      </c>
      <c r="F1649" s="87" t="s">
        <v>5104</v>
      </c>
      <c r="I1649" s="87" t="s">
        <v>58</v>
      </c>
      <c r="J1649" s="87" t="s">
        <v>5105</v>
      </c>
      <c r="K1649" s="90">
        <v>0.0</v>
      </c>
      <c r="L1649" s="92"/>
      <c r="M1649" s="93"/>
      <c r="N1649" s="87" t="s">
        <v>5097</v>
      </c>
      <c r="O1649" s="87" t="s">
        <v>377</v>
      </c>
      <c r="P1649" s="87" t="s">
        <v>372</v>
      </c>
    </row>
    <row r="1650" ht="15.75" customHeight="1">
      <c r="A1650" s="87" t="s">
        <v>5106</v>
      </c>
      <c r="B1650" s="88">
        <v>1.22E18</v>
      </c>
      <c r="C1650" s="87" t="s">
        <v>5107</v>
      </c>
      <c r="D1650" s="87" t="s">
        <v>262</v>
      </c>
      <c r="E1650" s="87" t="s">
        <v>270</v>
      </c>
      <c r="F1650" s="87" t="s">
        <v>5107</v>
      </c>
      <c r="I1650" s="87" t="s">
        <v>58</v>
      </c>
      <c r="J1650" s="87" t="s">
        <v>5108</v>
      </c>
      <c r="K1650" s="90">
        <v>0.0</v>
      </c>
      <c r="L1650" s="92"/>
      <c r="M1650" s="93"/>
      <c r="N1650" s="87" t="s">
        <v>5097</v>
      </c>
      <c r="O1650" s="87" t="s">
        <v>377</v>
      </c>
      <c r="P1650" s="87" t="s">
        <v>372</v>
      </c>
    </row>
    <row r="1651" ht="15.75" customHeight="1">
      <c r="A1651" s="87" t="s">
        <v>5109</v>
      </c>
      <c r="B1651" s="88">
        <v>1.22E18</v>
      </c>
      <c r="C1651" s="87" t="s">
        <v>5110</v>
      </c>
      <c r="D1651" s="87" t="s">
        <v>262</v>
      </c>
      <c r="E1651" s="87" t="s">
        <v>270</v>
      </c>
      <c r="F1651" s="87" t="s">
        <v>5110</v>
      </c>
      <c r="I1651" s="87" t="s">
        <v>58</v>
      </c>
      <c r="J1651" s="87" t="s">
        <v>5111</v>
      </c>
      <c r="K1651" s="90">
        <v>0.0</v>
      </c>
      <c r="L1651" s="92"/>
      <c r="M1651" s="93"/>
      <c r="N1651" s="87" t="s">
        <v>5097</v>
      </c>
      <c r="O1651" s="87" t="s">
        <v>377</v>
      </c>
      <c r="P1651" s="87" t="s">
        <v>372</v>
      </c>
    </row>
    <row r="1652" ht="15.75" customHeight="1">
      <c r="A1652" s="87" t="s">
        <v>5112</v>
      </c>
      <c r="B1652" s="88">
        <v>1.22E18</v>
      </c>
      <c r="C1652" s="87" t="s">
        <v>5113</v>
      </c>
      <c r="D1652" s="87" t="s">
        <v>262</v>
      </c>
      <c r="E1652" s="87" t="s">
        <v>270</v>
      </c>
      <c r="F1652" s="87" t="s">
        <v>5113</v>
      </c>
      <c r="I1652" s="87" t="s">
        <v>58</v>
      </c>
      <c r="J1652" s="87" t="s">
        <v>5114</v>
      </c>
      <c r="K1652" s="90">
        <v>0.0</v>
      </c>
      <c r="L1652" s="92"/>
      <c r="M1652" s="93"/>
      <c r="N1652" s="87" t="s">
        <v>5097</v>
      </c>
      <c r="O1652" s="87" t="s">
        <v>377</v>
      </c>
      <c r="P1652" s="87" t="s">
        <v>372</v>
      </c>
    </row>
    <row r="1653" ht="15.75" customHeight="1">
      <c r="A1653" s="87" t="s">
        <v>5115</v>
      </c>
      <c r="B1653" s="88">
        <v>1.22E18</v>
      </c>
      <c r="C1653" s="87" t="s">
        <v>5116</v>
      </c>
      <c r="D1653" s="87" t="s">
        <v>262</v>
      </c>
      <c r="E1653" s="87" t="s">
        <v>270</v>
      </c>
      <c r="F1653" s="87" t="s">
        <v>5116</v>
      </c>
      <c r="I1653" s="87" t="s">
        <v>58</v>
      </c>
      <c r="J1653" s="87" t="s">
        <v>5117</v>
      </c>
      <c r="K1653" s="90">
        <v>0.0</v>
      </c>
      <c r="L1653" s="92"/>
      <c r="M1653" s="93"/>
      <c r="N1653" s="87" t="s">
        <v>5097</v>
      </c>
      <c r="O1653" s="87" t="s">
        <v>377</v>
      </c>
      <c r="P1653" s="87" t="s">
        <v>372</v>
      </c>
    </row>
    <row r="1654" ht="15.75" customHeight="1">
      <c r="A1654" s="87" t="s">
        <v>5118</v>
      </c>
      <c r="B1654" s="88">
        <v>1.22E18</v>
      </c>
      <c r="C1654" s="87" t="s">
        <v>5119</v>
      </c>
      <c r="D1654" s="87" t="s">
        <v>87</v>
      </c>
      <c r="E1654" s="87" t="s">
        <v>88</v>
      </c>
      <c r="F1654" s="118" t="s">
        <v>5119</v>
      </c>
      <c r="G1654" s="130"/>
      <c r="H1654" s="119"/>
      <c r="I1654" s="87" t="s">
        <v>58</v>
      </c>
      <c r="J1654" s="87" t="s">
        <v>5120</v>
      </c>
      <c r="K1654" s="90">
        <v>0.0</v>
      </c>
      <c r="L1654" s="92"/>
      <c r="M1654" s="93"/>
      <c r="N1654" s="87" t="s">
        <v>1772</v>
      </c>
      <c r="O1654" s="87" t="s">
        <v>377</v>
      </c>
      <c r="P1654" s="87" t="s">
        <v>372</v>
      </c>
    </row>
    <row r="1655" ht="15.75" customHeight="1">
      <c r="A1655" s="87" t="s">
        <v>5121</v>
      </c>
      <c r="B1655" s="88">
        <v>1.22E18</v>
      </c>
      <c r="C1655" s="87" t="s">
        <v>5122</v>
      </c>
      <c r="D1655" s="87" t="s">
        <v>87</v>
      </c>
      <c r="E1655" s="87" t="s">
        <v>88</v>
      </c>
      <c r="F1655" s="87" t="s">
        <v>5122</v>
      </c>
      <c r="I1655" s="87" t="s">
        <v>327</v>
      </c>
      <c r="J1655" s="87" t="s">
        <v>5123</v>
      </c>
      <c r="K1655" s="90">
        <v>400000.0</v>
      </c>
      <c r="L1655" s="92"/>
      <c r="M1655" s="93"/>
      <c r="N1655" s="87" t="s">
        <v>2906</v>
      </c>
      <c r="O1655" s="87" t="s">
        <v>377</v>
      </c>
      <c r="P1655" s="87" t="s">
        <v>372</v>
      </c>
    </row>
    <row r="1656" ht="15.75" customHeight="1">
      <c r="A1656" s="87" t="s">
        <v>5124</v>
      </c>
      <c r="B1656" s="88">
        <v>1.22E18</v>
      </c>
      <c r="C1656" s="87" t="s">
        <v>5125</v>
      </c>
      <c r="D1656" s="87" t="s">
        <v>262</v>
      </c>
      <c r="E1656" s="87" t="s">
        <v>278</v>
      </c>
      <c r="F1656" s="87" t="s">
        <v>5125</v>
      </c>
      <c r="H1656" s="93"/>
      <c r="I1656" s="87" t="s">
        <v>58</v>
      </c>
      <c r="J1656" s="87" t="s">
        <v>5126</v>
      </c>
      <c r="L1656" s="92"/>
      <c r="M1656" s="93"/>
      <c r="N1656" s="87" t="s">
        <v>5127</v>
      </c>
      <c r="O1656" s="87" t="s">
        <v>377</v>
      </c>
      <c r="P1656" s="87" t="s">
        <v>2565</v>
      </c>
    </row>
    <row r="1657" ht="15.75" customHeight="1">
      <c r="A1657" s="87" t="s">
        <v>5128</v>
      </c>
      <c r="B1657" s="88">
        <v>1.22E18</v>
      </c>
      <c r="C1657" s="87" t="s">
        <v>5129</v>
      </c>
      <c r="D1657" s="87" t="s">
        <v>87</v>
      </c>
      <c r="E1657" s="87" t="s">
        <v>102</v>
      </c>
      <c r="F1657" s="87" t="s">
        <v>5129</v>
      </c>
      <c r="I1657" s="87" t="s">
        <v>58</v>
      </c>
      <c r="J1657" s="87" t="s">
        <v>5130</v>
      </c>
      <c r="K1657" s="90">
        <v>0.0</v>
      </c>
      <c r="L1657" s="92"/>
      <c r="M1657" s="93"/>
      <c r="N1657" s="87" t="s">
        <v>1772</v>
      </c>
      <c r="O1657" s="87" t="s">
        <v>377</v>
      </c>
      <c r="P1657" s="87" t="s">
        <v>372</v>
      </c>
    </row>
    <row r="1658" ht="15.75" customHeight="1">
      <c r="A1658" s="87" t="s">
        <v>5131</v>
      </c>
      <c r="B1658" s="88">
        <v>1.22E18</v>
      </c>
      <c r="C1658" s="87" t="s">
        <v>5132</v>
      </c>
      <c r="D1658" s="87" t="s">
        <v>87</v>
      </c>
      <c r="E1658" s="87" t="s">
        <v>102</v>
      </c>
      <c r="F1658" s="87" t="s">
        <v>5132</v>
      </c>
      <c r="I1658" s="87" t="s">
        <v>58</v>
      </c>
      <c r="J1658" s="87" t="s">
        <v>2988</v>
      </c>
      <c r="K1658" s="90">
        <v>0.0</v>
      </c>
      <c r="L1658" s="92"/>
      <c r="M1658" s="93"/>
      <c r="N1658" s="87" t="s">
        <v>1772</v>
      </c>
      <c r="O1658" s="87" t="s">
        <v>377</v>
      </c>
      <c r="P1658" s="87" t="s">
        <v>372</v>
      </c>
    </row>
    <row r="1659" ht="15.75" customHeight="1">
      <c r="A1659" s="87" t="s">
        <v>5133</v>
      </c>
      <c r="B1659" s="88">
        <v>1.22E18</v>
      </c>
      <c r="C1659" s="87" t="s">
        <v>5134</v>
      </c>
      <c r="D1659" s="87" t="s">
        <v>87</v>
      </c>
      <c r="E1659" s="87" t="s">
        <v>102</v>
      </c>
      <c r="F1659" s="87" t="s">
        <v>5134</v>
      </c>
      <c r="I1659" s="87" t="s">
        <v>58</v>
      </c>
      <c r="J1659" s="87" t="s">
        <v>5135</v>
      </c>
      <c r="K1659" s="90">
        <v>0.0</v>
      </c>
      <c r="L1659" s="92"/>
      <c r="M1659" s="93"/>
      <c r="N1659" s="87" t="s">
        <v>1772</v>
      </c>
      <c r="O1659" s="87" t="s">
        <v>377</v>
      </c>
      <c r="P1659" s="87" t="s">
        <v>372</v>
      </c>
    </row>
    <row r="1660" ht="15.75" customHeight="1">
      <c r="A1660" s="87" t="s">
        <v>5136</v>
      </c>
      <c r="B1660" s="88">
        <v>1.22E18</v>
      </c>
      <c r="C1660" s="87" t="s">
        <v>5137</v>
      </c>
      <c r="D1660" s="87" t="s">
        <v>87</v>
      </c>
      <c r="E1660" s="87" t="s">
        <v>102</v>
      </c>
      <c r="F1660" s="87" t="s">
        <v>5137</v>
      </c>
      <c r="I1660" s="87" t="s">
        <v>58</v>
      </c>
      <c r="J1660" s="87" t="s">
        <v>5138</v>
      </c>
      <c r="K1660" s="90">
        <v>0.0</v>
      </c>
      <c r="L1660" s="92"/>
      <c r="M1660" s="93"/>
      <c r="N1660" s="87" t="s">
        <v>1772</v>
      </c>
      <c r="O1660" s="87" t="s">
        <v>377</v>
      </c>
      <c r="P1660" s="87" t="s">
        <v>372</v>
      </c>
    </row>
    <row r="1661" ht="15.75" customHeight="1">
      <c r="A1661" s="87" t="s">
        <v>5139</v>
      </c>
      <c r="B1661" s="88">
        <v>1.22E18</v>
      </c>
      <c r="C1661" s="87" t="s">
        <v>5140</v>
      </c>
      <c r="D1661" s="87" t="s">
        <v>87</v>
      </c>
      <c r="E1661" s="87" t="s">
        <v>88</v>
      </c>
      <c r="F1661" s="118" t="s">
        <v>5140</v>
      </c>
      <c r="G1661" s="130"/>
      <c r="H1661" s="119"/>
      <c r="I1661" s="87" t="s">
        <v>58</v>
      </c>
      <c r="J1661" s="87" t="s">
        <v>5141</v>
      </c>
      <c r="K1661" s="90">
        <v>0.0</v>
      </c>
      <c r="L1661" s="92"/>
      <c r="M1661" s="93"/>
      <c r="N1661" s="87" t="s">
        <v>1772</v>
      </c>
      <c r="O1661" s="87" t="s">
        <v>377</v>
      </c>
      <c r="P1661" s="87" t="s">
        <v>372</v>
      </c>
    </row>
    <row r="1662" ht="15.75" customHeight="1">
      <c r="A1662" s="87" t="s">
        <v>5142</v>
      </c>
      <c r="B1662" s="88">
        <v>1.22E18</v>
      </c>
      <c r="C1662" s="87" t="s">
        <v>5143</v>
      </c>
      <c r="D1662" s="87" t="s">
        <v>262</v>
      </c>
      <c r="E1662" s="87" t="s">
        <v>263</v>
      </c>
      <c r="F1662" s="87" t="s">
        <v>415</v>
      </c>
      <c r="G1662" s="93"/>
      <c r="H1662" s="93"/>
      <c r="I1662" s="87" t="s">
        <v>58</v>
      </c>
      <c r="J1662" s="87" t="s">
        <v>5144</v>
      </c>
      <c r="K1662" s="90">
        <v>1.0</v>
      </c>
      <c r="L1662" s="92"/>
      <c r="M1662" s="93"/>
      <c r="N1662" s="87" t="s">
        <v>1772</v>
      </c>
      <c r="O1662" s="87" t="s">
        <v>377</v>
      </c>
      <c r="P1662" s="87" t="s">
        <v>372</v>
      </c>
    </row>
    <row r="1663" ht="15.75" customHeight="1">
      <c r="A1663" s="87" t="s">
        <v>5145</v>
      </c>
      <c r="B1663" s="88">
        <v>1.22E18</v>
      </c>
      <c r="C1663" s="87" t="s">
        <v>5146</v>
      </c>
      <c r="D1663" s="87" t="s">
        <v>262</v>
      </c>
      <c r="E1663" s="87" t="s">
        <v>263</v>
      </c>
      <c r="F1663" s="87" t="s">
        <v>415</v>
      </c>
      <c r="G1663" s="93"/>
      <c r="H1663" s="93"/>
      <c r="I1663" s="87" t="s">
        <v>58</v>
      </c>
      <c r="J1663" s="87" t="s">
        <v>5147</v>
      </c>
      <c r="K1663" s="90">
        <v>3.0</v>
      </c>
      <c r="L1663" s="92"/>
      <c r="M1663" s="93"/>
      <c r="N1663" s="87" t="s">
        <v>1772</v>
      </c>
      <c r="O1663" s="87" t="s">
        <v>377</v>
      </c>
      <c r="P1663" s="87" t="s">
        <v>372</v>
      </c>
    </row>
    <row r="1664" ht="15.75" customHeight="1">
      <c r="A1664" s="87" t="s">
        <v>5148</v>
      </c>
      <c r="B1664" s="88">
        <v>1.22E18</v>
      </c>
      <c r="C1664" s="87" t="s">
        <v>5149</v>
      </c>
      <c r="D1664" s="87" t="s">
        <v>87</v>
      </c>
      <c r="E1664" s="87" t="s">
        <v>88</v>
      </c>
      <c r="F1664" s="118" t="s">
        <v>5149</v>
      </c>
      <c r="G1664" s="130"/>
      <c r="H1664" s="119"/>
      <c r="I1664" s="87" t="s">
        <v>58</v>
      </c>
      <c r="J1664" s="87" t="s">
        <v>5150</v>
      </c>
      <c r="K1664" s="90">
        <v>0.0</v>
      </c>
      <c r="L1664" s="92"/>
      <c r="M1664" s="93"/>
      <c r="N1664" s="93"/>
      <c r="O1664" s="87" t="s">
        <v>377</v>
      </c>
      <c r="P1664" s="87" t="s">
        <v>372</v>
      </c>
    </row>
    <row r="1665" ht="15.75" customHeight="1">
      <c r="A1665" s="87" t="s">
        <v>5151</v>
      </c>
      <c r="B1665" s="88">
        <v>1.22E18</v>
      </c>
      <c r="C1665" s="87" t="s">
        <v>5152</v>
      </c>
      <c r="D1665" s="87" t="s">
        <v>57</v>
      </c>
      <c r="E1665" s="87" t="s">
        <v>284</v>
      </c>
      <c r="F1665" s="118" t="s">
        <v>5152</v>
      </c>
      <c r="G1665" s="130"/>
      <c r="H1665" s="119"/>
      <c r="I1665" s="87" t="s">
        <v>58</v>
      </c>
      <c r="J1665" s="87" t="s">
        <v>5153</v>
      </c>
      <c r="K1665" s="90">
        <v>0.0</v>
      </c>
      <c r="L1665" s="92"/>
      <c r="M1665" s="93"/>
      <c r="N1665" s="87" t="s">
        <v>1772</v>
      </c>
      <c r="O1665" s="87" t="s">
        <v>377</v>
      </c>
      <c r="P1665" s="87" t="s">
        <v>372</v>
      </c>
    </row>
    <row r="1666" ht="15.75" customHeight="1">
      <c r="A1666" s="87" t="s">
        <v>5154</v>
      </c>
      <c r="B1666" s="88">
        <v>1.22E18</v>
      </c>
      <c r="C1666" s="87" t="s">
        <v>5155</v>
      </c>
      <c r="D1666" s="87" t="s">
        <v>262</v>
      </c>
      <c r="E1666" s="87" t="s">
        <v>263</v>
      </c>
      <c r="F1666" s="87" t="s">
        <v>415</v>
      </c>
      <c r="G1666" s="93"/>
      <c r="H1666" s="93"/>
      <c r="I1666" s="87" t="s">
        <v>58</v>
      </c>
      <c r="J1666" s="87" t="s">
        <v>5156</v>
      </c>
      <c r="K1666" s="90">
        <v>1.0</v>
      </c>
      <c r="L1666" s="92"/>
      <c r="M1666" s="93"/>
      <c r="N1666" s="87" t="s">
        <v>5157</v>
      </c>
      <c r="O1666" s="87" t="s">
        <v>377</v>
      </c>
      <c r="P1666" s="87" t="s">
        <v>372</v>
      </c>
    </row>
    <row r="1667" ht="15.75" customHeight="1">
      <c r="A1667" s="87" t="s">
        <v>5158</v>
      </c>
      <c r="B1667" s="88">
        <v>1.22E18</v>
      </c>
      <c r="C1667" s="87" t="s">
        <v>5159</v>
      </c>
      <c r="D1667" s="87" t="s">
        <v>87</v>
      </c>
      <c r="E1667" s="87" t="s">
        <v>88</v>
      </c>
      <c r="F1667" s="118" t="s">
        <v>5159</v>
      </c>
      <c r="G1667" s="130"/>
      <c r="H1667" s="119"/>
      <c r="I1667" s="87" t="s">
        <v>327</v>
      </c>
      <c r="J1667" s="87" t="s">
        <v>5160</v>
      </c>
      <c r="K1667" s="90">
        <v>0.0</v>
      </c>
      <c r="L1667" s="92"/>
      <c r="M1667" s="93"/>
      <c r="N1667" s="87" t="s">
        <v>2370</v>
      </c>
      <c r="O1667" s="87" t="s">
        <v>377</v>
      </c>
      <c r="P1667" s="87" t="s">
        <v>372</v>
      </c>
    </row>
    <row r="1668" ht="15.75" customHeight="1">
      <c r="A1668" s="87" t="s">
        <v>5161</v>
      </c>
      <c r="B1668" s="88">
        <v>1.22E18</v>
      </c>
      <c r="C1668" s="87" t="s">
        <v>5162</v>
      </c>
      <c r="D1668" s="87" t="s">
        <v>262</v>
      </c>
      <c r="E1668" s="87" t="s">
        <v>278</v>
      </c>
      <c r="F1668" s="118" t="s">
        <v>5162</v>
      </c>
      <c r="G1668" s="130"/>
      <c r="H1668" s="119"/>
      <c r="I1668" s="87" t="s">
        <v>58</v>
      </c>
      <c r="J1668" s="87" t="s">
        <v>5163</v>
      </c>
      <c r="L1668" s="92"/>
      <c r="M1668" s="93"/>
      <c r="N1668" s="87" t="s">
        <v>3315</v>
      </c>
      <c r="O1668" s="87" t="s">
        <v>377</v>
      </c>
      <c r="P1668" s="87" t="s">
        <v>2565</v>
      </c>
    </row>
    <row r="1669" ht="15.75" customHeight="1">
      <c r="A1669" s="87" t="s">
        <v>5164</v>
      </c>
      <c r="B1669" s="88">
        <v>1.22E18</v>
      </c>
      <c r="C1669" s="87" t="s">
        <v>5165</v>
      </c>
      <c r="D1669" s="87" t="s">
        <v>87</v>
      </c>
      <c r="E1669" s="87" t="s">
        <v>88</v>
      </c>
      <c r="F1669" s="87" t="s">
        <v>379</v>
      </c>
      <c r="G1669" s="93"/>
      <c r="H1669" s="93"/>
      <c r="I1669" s="87" t="s">
        <v>58</v>
      </c>
      <c r="J1669" s="87" t="s">
        <v>5166</v>
      </c>
      <c r="K1669" s="90">
        <v>0.5</v>
      </c>
      <c r="L1669" s="92"/>
      <c r="M1669" s="93"/>
      <c r="N1669" s="87" t="s">
        <v>5167</v>
      </c>
      <c r="O1669" s="87" t="s">
        <v>377</v>
      </c>
      <c r="P1669" s="87" t="s">
        <v>372</v>
      </c>
    </row>
    <row r="1670" ht="15.75" customHeight="1">
      <c r="A1670" s="87" t="s">
        <v>5168</v>
      </c>
      <c r="B1670" s="88">
        <v>1.22E18</v>
      </c>
      <c r="C1670" s="87" t="s">
        <v>5169</v>
      </c>
      <c r="D1670" s="87" t="s">
        <v>87</v>
      </c>
      <c r="E1670" s="87" t="s">
        <v>228</v>
      </c>
      <c r="F1670" s="118" t="s">
        <v>5169</v>
      </c>
      <c r="G1670" s="130"/>
      <c r="H1670" s="119"/>
      <c r="I1670" s="87" t="s">
        <v>58</v>
      </c>
      <c r="J1670" s="87" t="s">
        <v>5170</v>
      </c>
      <c r="K1670" s="90">
        <v>0.0</v>
      </c>
      <c r="L1670" s="92"/>
      <c r="M1670" s="93"/>
      <c r="N1670" s="87" t="s">
        <v>5171</v>
      </c>
      <c r="O1670" s="87" t="s">
        <v>377</v>
      </c>
      <c r="P1670" s="87" t="s">
        <v>372</v>
      </c>
    </row>
    <row r="1671" ht="15.75" customHeight="1">
      <c r="A1671" s="87" t="s">
        <v>5172</v>
      </c>
      <c r="B1671" s="88">
        <v>1.22E18</v>
      </c>
      <c r="C1671" s="87" t="s">
        <v>5173</v>
      </c>
      <c r="D1671" s="87" t="s">
        <v>87</v>
      </c>
      <c r="E1671" s="87" t="s">
        <v>236</v>
      </c>
      <c r="F1671" s="87" t="s">
        <v>5173</v>
      </c>
      <c r="I1671" s="87" t="s">
        <v>1123</v>
      </c>
      <c r="J1671" s="87" t="s">
        <v>5174</v>
      </c>
      <c r="K1671" s="90">
        <v>0.0</v>
      </c>
      <c r="L1671" s="92"/>
      <c r="M1671" s="93"/>
      <c r="N1671" s="87" t="s">
        <v>5175</v>
      </c>
      <c r="O1671" s="87" t="s">
        <v>377</v>
      </c>
      <c r="P1671" s="87" t="s">
        <v>372</v>
      </c>
    </row>
    <row r="1672" ht="15.75" customHeight="1">
      <c r="A1672" s="87" t="s">
        <v>5176</v>
      </c>
      <c r="B1672" s="88">
        <v>1.22E18</v>
      </c>
      <c r="C1672" s="87" t="s">
        <v>5177</v>
      </c>
      <c r="D1672" s="87" t="s">
        <v>87</v>
      </c>
      <c r="E1672" s="87" t="s">
        <v>236</v>
      </c>
      <c r="F1672" s="87" t="s">
        <v>5177</v>
      </c>
      <c r="I1672" s="87" t="s">
        <v>1123</v>
      </c>
      <c r="J1672" s="87" t="s">
        <v>5174</v>
      </c>
      <c r="K1672" s="90">
        <v>0.0</v>
      </c>
      <c r="L1672" s="92"/>
      <c r="M1672" s="93"/>
      <c r="N1672" s="87" t="s">
        <v>5175</v>
      </c>
      <c r="O1672" s="87" t="s">
        <v>377</v>
      </c>
      <c r="P1672" s="87" t="s">
        <v>372</v>
      </c>
    </row>
    <row r="1673" ht="15.75" customHeight="1">
      <c r="A1673" s="87" t="s">
        <v>5178</v>
      </c>
      <c r="B1673" s="88">
        <v>1.22E18</v>
      </c>
      <c r="C1673" s="87" t="s">
        <v>5179</v>
      </c>
      <c r="D1673" s="87" t="s">
        <v>87</v>
      </c>
      <c r="E1673" s="87" t="s">
        <v>236</v>
      </c>
      <c r="F1673" s="87" t="s">
        <v>5179</v>
      </c>
      <c r="I1673" s="87" t="s">
        <v>5180</v>
      </c>
      <c r="J1673" s="87" t="s">
        <v>5174</v>
      </c>
      <c r="K1673" s="90">
        <v>0.0</v>
      </c>
      <c r="L1673" s="92"/>
      <c r="M1673" s="93"/>
      <c r="N1673" s="93"/>
      <c r="O1673" s="87" t="s">
        <v>377</v>
      </c>
      <c r="P1673" s="87" t="s">
        <v>372</v>
      </c>
    </row>
    <row r="1674" ht="15.75" customHeight="1">
      <c r="A1674" s="87" t="s">
        <v>5181</v>
      </c>
      <c r="B1674" s="88">
        <v>1.22E18</v>
      </c>
      <c r="C1674" s="87" t="s">
        <v>5182</v>
      </c>
      <c r="D1674" s="87" t="s">
        <v>87</v>
      </c>
      <c r="E1674" s="87" t="s">
        <v>236</v>
      </c>
      <c r="F1674" s="87" t="s">
        <v>5182</v>
      </c>
      <c r="H1674" s="93"/>
      <c r="I1674" s="87" t="s">
        <v>1123</v>
      </c>
      <c r="J1674" s="87" t="s">
        <v>2112</v>
      </c>
      <c r="K1674" s="90">
        <v>0.0</v>
      </c>
      <c r="L1674" s="92"/>
      <c r="M1674" s="93"/>
      <c r="N1674" s="87" t="s">
        <v>5175</v>
      </c>
      <c r="O1674" s="87" t="s">
        <v>377</v>
      </c>
      <c r="P1674" s="87" t="s">
        <v>372</v>
      </c>
    </row>
    <row r="1675" ht="15.75" customHeight="1">
      <c r="A1675" s="87" t="s">
        <v>5183</v>
      </c>
      <c r="B1675" s="88">
        <v>1.22E18</v>
      </c>
      <c r="C1675" s="87" t="s">
        <v>5184</v>
      </c>
      <c r="D1675" s="87" t="s">
        <v>87</v>
      </c>
      <c r="E1675" s="87" t="s">
        <v>236</v>
      </c>
      <c r="F1675" s="87" t="s">
        <v>5184</v>
      </c>
      <c r="I1675" s="87" t="s">
        <v>1123</v>
      </c>
      <c r="J1675" s="87" t="s">
        <v>2112</v>
      </c>
      <c r="K1675" s="90">
        <v>0.0</v>
      </c>
      <c r="L1675" s="92"/>
      <c r="M1675" s="93"/>
      <c r="N1675" s="87" t="s">
        <v>5175</v>
      </c>
      <c r="O1675" s="87" t="s">
        <v>377</v>
      </c>
      <c r="P1675" s="87" t="s">
        <v>372</v>
      </c>
    </row>
    <row r="1676" ht="15.75" customHeight="1">
      <c r="A1676" s="87" t="s">
        <v>5185</v>
      </c>
      <c r="B1676" s="88">
        <v>1.22E18</v>
      </c>
      <c r="C1676" s="87" t="s">
        <v>5186</v>
      </c>
      <c r="D1676" s="87" t="s">
        <v>87</v>
      </c>
      <c r="E1676" s="87" t="s">
        <v>236</v>
      </c>
      <c r="F1676" s="87" t="s">
        <v>5186</v>
      </c>
      <c r="I1676" s="87" t="s">
        <v>1123</v>
      </c>
      <c r="J1676" s="87" t="s">
        <v>2070</v>
      </c>
      <c r="K1676" s="90">
        <v>0.0</v>
      </c>
      <c r="L1676" s="92"/>
      <c r="M1676" s="93"/>
      <c r="N1676" s="87" t="s">
        <v>5175</v>
      </c>
      <c r="O1676" s="87" t="s">
        <v>377</v>
      </c>
      <c r="P1676" s="87" t="s">
        <v>372</v>
      </c>
    </row>
    <row r="1677" ht="15.75" customHeight="1">
      <c r="A1677" s="87" t="s">
        <v>5187</v>
      </c>
      <c r="B1677" s="88">
        <v>1.22E18</v>
      </c>
      <c r="C1677" s="87" t="s">
        <v>5188</v>
      </c>
      <c r="D1677" s="87" t="s">
        <v>87</v>
      </c>
      <c r="E1677" s="87" t="s">
        <v>236</v>
      </c>
      <c r="F1677" s="87" t="s">
        <v>5188</v>
      </c>
      <c r="I1677" s="87" t="s">
        <v>1123</v>
      </c>
      <c r="J1677" s="87" t="s">
        <v>5189</v>
      </c>
      <c r="K1677" s="90">
        <v>0.0</v>
      </c>
      <c r="L1677" s="92"/>
      <c r="M1677" s="93"/>
      <c r="N1677" s="87" t="s">
        <v>5175</v>
      </c>
      <c r="O1677" s="87" t="s">
        <v>377</v>
      </c>
      <c r="P1677" s="87" t="s">
        <v>372</v>
      </c>
    </row>
    <row r="1678" ht="15.75" customHeight="1">
      <c r="A1678" s="87" t="s">
        <v>5190</v>
      </c>
      <c r="B1678" s="88">
        <v>1.22E18</v>
      </c>
      <c r="C1678" s="87" t="s">
        <v>5191</v>
      </c>
      <c r="D1678" s="87" t="s">
        <v>87</v>
      </c>
      <c r="E1678" s="87" t="s">
        <v>236</v>
      </c>
      <c r="F1678" s="87" t="s">
        <v>5191</v>
      </c>
      <c r="I1678" s="87" t="s">
        <v>1123</v>
      </c>
      <c r="J1678" s="87" t="s">
        <v>5189</v>
      </c>
      <c r="K1678" s="90">
        <v>0.0</v>
      </c>
      <c r="L1678" s="92"/>
      <c r="M1678" s="93"/>
      <c r="N1678" s="87" t="s">
        <v>5175</v>
      </c>
      <c r="O1678" s="87" t="s">
        <v>377</v>
      </c>
      <c r="P1678" s="87" t="s">
        <v>372</v>
      </c>
    </row>
    <row r="1679" ht="15.75" customHeight="1">
      <c r="A1679" s="87" t="s">
        <v>5192</v>
      </c>
      <c r="B1679" s="88">
        <v>1.22E18</v>
      </c>
      <c r="C1679" s="87" t="s">
        <v>5193</v>
      </c>
      <c r="D1679" s="87" t="s">
        <v>87</v>
      </c>
      <c r="E1679" s="87" t="s">
        <v>236</v>
      </c>
      <c r="F1679" s="87" t="s">
        <v>5193</v>
      </c>
      <c r="I1679" s="87" t="s">
        <v>1123</v>
      </c>
      <c r="J1679" s="87" t="s">
        <v>5189</v>
      </c>
      <c r="K1679" s="90">
        <v>0.0</v>
      </c>
      <c r="L1679" s="92"/>
      <c r="M1679" s="93"/>
      <c r="N1679" s="87" t="s">
        <v>5175</v>
      </c>
      <c r="O1679" s="87" t="s">
        <v>377</v>
      </c>
      <c r="P1679" s="87" t="s">
        <v>372</v>
      </c>
    </row>
    <row r="1680" ht="15.75" customHeight="1">
      <c r="A1680" s="87" t="s">
        <v>5194</v>
      </c>
      <c r="B1680" s="88">
        <v>1.22E18</v>
      </c>
      <c r="C1680" s="87" t="s">
        <v>5195</v>
      </c>
      <c r="D1680" s="87" t="s">
        <v>87</v>
      </c>
      <c r="E1680" s="87" t="s">
        <v>236</v>
      </c>
      <c r="F1680" s="87" t="s">
        <v>5195</v>
      </c>
      <c r="I1680" s="87" t="s">
        <v>1123</v>
      </c>
      <c r="J1680" s="87" t="s">
        <v>2112</v>
      </c>
      <c r="K1680" s="90">
        <v>0.0</v>
      </c>
      <c r="L1680" s="92"/>
      <c r="M1680" s="93"/>
      <c r="N1680" s="87" t="s">
        <v>5175</v>
      </c>
      <c r="O1680" s="87" t="s">
        <v>377</v>
      </c>
      <c r="P1680" s="87" t="s">
        <v>372</v>
      </c>
    </row>
    <row r="1681" ht="15.75" customHeight="1">
      <c r="A1681" s="87" t="s">
        <v>5196</v>
      </c>
      <c r="B1681" s="88">
        <v>1.22E18</v>
      </c>
      <c r="C1681" s="87" t="s">
        <v>5197</v>
      </c>
      <c r="D1681" s="87" t="s">
        <v>87</v>
      </c>
      <c r="E1681" s="87" t="s">
        <v>236</v>
      </c>
      <c r="F1681" s="87" t="s">
        <v>5197</v>
      </c>
      <c r="I1681" s="87" t="s">
        <v>1123</v>
      </c>
      <c r="J1681" s="87" t="s">
        <v>2112</v>
      </c>
      <c r="K1681" s="90">
        <v>0.0</v>
      </c>
      <c r="L1681" s="92"/>
      <c r="M1681" s="93"/>
      <c r="N1681" s="87" t="s">
        <v>5175</v>
      </c>
      <c r="O1681" s="87" t="s">
        <v>377</v>
      </c>
      <c r="P1681" s="87" t="s">
        <v>372</v>
      </c>
    </row>
    <row r="1682" ht="15.75" customHeight="1">
      <c r="A1682" s="87" t="s">
        <v>5198</v>
      </c>
      <c r="B1682" s="88">
        <v>1.22E18</v>
      </c>
      <c r="C1682" s="87" t="s">
        <v>5199</v>
      </c>
      <c r="D1682" s="87" t="s">
        <v>87</v>
      </c>
      <c r="E1682" s="87" t="s">
        <v>236</v>
      </c>
      <c r="F1682" s="87" t="s">
        <v>5199</v>
      </c>
      <c r="H1682" s="93"/>
      <c r="I1682" s="87" t="s">
        <v>1123</v>
      </c>
      <c r="J1682" s="87" t="s">
        <v>2112</v>
      </c>
      <c r="K1682" s="90">
        <v>0.0</v>
      </c>
      <c r="L1682" s="92"/>
      <c r="M1682" s="93"/>
      <c r="N1682" s="87" t="s">
        <v>5175</v>
      </c>
      <c r="O1682" s="87" t="s">
        <v>377</v>
      </c>
      <c r="P1682" s="87" t="s">
        <v>372</v>
      </c>
    </row>
    <row r="1683" ht="15.75" customHeight="1">
      <c r="A1683" s="87" t="s">
        <v>5200</v>
      </c>
      <c r="B1683" s="88">
        <v>1.22E18</v>
      </c>
      <c r="C1683" s="87" t="s">
        <v>5201</v>
      </c>
      <c r="D1683" s="87" t="s">
        <v>87</v>
      </c>
      <c r="E1683" s="87" t="s">
        <v>88</v>
      </c>
      <c r="F1683" s="87" t="s">
        <v>5201</v>
      </c>
      <c r="I1683" s="87" t="s">
        <v>1123</v>
      </c>
      <c r="J1683" s="87" t="s">
        <v>5202</v>
      </c>
      <c r="K1683" s="90">
        <v>0.0</v>
      </c>
      <c r="L1683" s="92"/>
      <c r="M1683" s="93"/>
      <c r="N1683" s="87" t="s">
        <v>5175</v>
      </c>
      <c r="O1683" s="87" t="s">
        <v>377</v>
      </c>
      <c r="P1683" s="87" t="s">
        <v>372</v>
      </c>
    </row>
    <row r="1684" ht="15.75" customHeight="1">
      <c r="A1684" s="87" t="s">
        <v>5203</v>
      </c>
      <c r="B1684" s="88">
        <v>1.22E18</v>
      </c>
      <c r="C1684" s="132" t="s">
        <v>5204</v>
      </c>
      <c r="D1684" s="87" t="s">
        <v>262</v>
      </c>
      <c r="E1684" s="87" t="s">
        <v>263</v>
      </c>
      <c r="F1684" s="87" t="s">
        <v>415</v>
      </c>
      <c r="G1684" s="93"/>
      <c r="H1684" s="93"/>
      <c r="I1684" s="87" t="s">
        <v>58</v>
      </c>
      <c r="J1684" s="87" t="s">
        <v>5205</v>
      </c>
      <c r="K1684" s="90">
        <v>0.0</v>
      </c>
      <c r="L1684" s="92"/>
      <c r="M1684" s="93"/>
      <c r="N1684" s="87" t="s">
        <v>4427</v>
      </c>
      <c r="O1684" s="87" t="s">
        <v>377</v>
      </c>
      <c r="P1684" s="87" t="s">
        <v>372</v>
      </c>
    </row>
    <row r="1685" ht="15.75" customHeight="1">
      <c r="A1685" s="87" t="s">
        <v>5206</v>
      </c>
      <c r="B1685" s="88">
        <v>1.22E18</v>
      </c>
      <c r="C1685" s="87" t="s">
        <v>5207</v>
      </c>
      <c r="D1685" s="87" t="s">
        <v>262</v>
      </c>
      <c r="E1685" s="87" t="s">
        <v>267</v>
      </c>
      <c r="F1685" s="87" t="s">
        <v>5207</v>
      </c>
      <c r="I1685" s="87" t="s">
        <v>58</v>
      </c>
      <c r="J1685" s="87" t="s">
        <v>5208</v>
      </c>
      <c r="K1685" s="90">
        <v>0.0</v>
      </c>
      <c r="L1685" s="92"/>
      <c r="M1685" s="93"/>
      <c r="N1685" s="87" t="s">
        <v>3202</v>
      </c>
      <c r="O1685" s="87" t="s">
        <v>377</v>
      </c>
      <c r="P1685" s="87" t="s">
        <v>372</v>
      </c>
    </row>
    <row r="1686" ht="15.75" customHeight="1">
      <c r="A1686" s="87" t="s">
        <v>5209</v>
      </c>
      <c r="B1686" s="88">
        <v>1.22E18</v>
      </c>
      <c r="C1686" s="87" t="s">
        <v>5210</v>
      </c>
      <c r="D1686" s="87" t="s">
        <v>262</v>
      </c>
      <c r="E1686" s="87" t="s">
        <v>267</v>
      </c>
      <c r="F1686" s="87" t="s">
        <v>5210</v>
      </c>
      <c r="I1686" s="87" t="s">
        <v>58</v>
      </c>
      <c r="J1686" s="87" t="s">
        <v>5208</v>
      </c>
      <c r="K1686" s="90">
        <v>0.0</v>
      </c>
      <c r="L1686" s="92"/>
      <c r="M1686" s="93"/>
      <c r="N1686" s="93"/>
      <c r="O1686" s="87" t="s">
        <v>377</v>
      </c>
      <c r="P1686" s="87" t="s">
        <v>372</v>
      </c>
    </row>
    <row r="1687" ht="15.75" customHeight="1">
      <c r="A1687" s="87" t="s">
        <v>5211</v>
      </c>
      <c r="B1687" s="88">
        <v>1.22E18</v>
      </c>
      <c r="C1687" s="87" t="s">
        <v>5212</v>
      </c>
      <c r="D1687" s="87" t="s">
        <v>262</v>
      </c>
      <c r="E1687" s="87" t="s">
        <v>267</v>
      </c>
      <c r="F1687" s="87" t="s">
        <v>5212</v>
      </c>
      <c r="I1687" s="87" t="s">
        <v>58</v>
      </c>
      <c r="J1687" s="87" t="s">
        <v>5213</v>
      </c>
      <c r="K1687" s="90">
        <v>0.0</v>
      </c>
      <c r="L1687" s="92"/>
      <c r="M1687" s="93"/>
      <c r="N1687" s="87" t="s">
        <v>3202</v>
      </c>
      <c r="O1687" s="87" t="s">
        <v>377</v>
      </c>
      <c r="P1687" s="87" t="s">
        <v>372</v>
      </c>
    </row>
    <row r="1688" ht="15.75" customHeight="1">
      <c r="A1688" s="87" t="s">
        <v>5214</v>
      </c>
      <c r="B1688" s="88">
        <v>1.22E18</v>
      </c>
      <c r="C1688" s="87" t="s">
        <v>5215</v>
      </c>
      <c r="D1688" s="87" t="s">
        <v>262</v>
      </c>
      <c r="E1688" s="87" t="s">
        <v>267</v>
      </c>
      <c r="F1688" s="87" t="s">
        <v>5215</v>
      </c>
      <c r="I1688" s="87" t="s">
        <v>58</v>
      </c>
      <c r="J1688" s="87" t="s">
        <v>4778</v>
      </c>
      <c r="K1688" s="90">
        <v>0.0</v>
      </c>
      <c r="L1688" s="92"/>
      <c r="M1688" s="93"/>
      <c r="N1688" s="87" t="s">
        <v>3202</v>
      </c>
      <c r="O1688" s="87" t="s">
        <v>377</v>
      </c>
      <c r="P1688" s="87" t="s">
        <v>372</v>
      </c>
    </row>
    <row r="1689" ht="15.75" customHeight="1">
      <c r="A1689" s="87" t="s">
        <v>5216</v>
      </c>
      <c r="B1689" s="88">
        <v>1.22E18</v>
      </c>
      <c r="C1689" s="87" t="s">
        <v>5217</v>
      </c>
      <c r="D1689" s="87" t="s">
        <v>262</v>
      </c>
      <c r="E1689" s="87" t="s">
        <v>267</v>
      </c>
      <c r="F1689" s="87" t="s">
        <v>5217</v>
      </c>
      <c r="I1689" s="87" t="s">
        <v>58</v>
      </c>
      <c r="J1689" s="87" t="s">
        <v>5218</v>
      </c>
      <c r="K1689" s="90">
        <v>0.0</v>
      </c>
      <c r="L1689" s="92"/>
      <c r="M1689" s="93"/>
      <c r="N1689" s="87" t="s">
        <v>3202</v>
      </c>
      <c r="O1689" s="87" t="s">
        <v>377</v>
      </c>
      <c r="P1689" s="87" t="s">
        <v>372</v>
      </c>
    </row>
    <row r="1690" ht="15.75" customHeight="1">
      <c r="A1690" s="87" t="s">
        <v>5219</v>
      </c>
      <c r="B1690" s="88">
        <v>1.22E18</v>
      </c>
      <c r="C1690" s="87" t="s">
        <v>5220</v>
      </c>
      <c r="D1690" s="87" t="s">
        <v>262</v>
      </c>
      <c r="E1690" s="87" t="s">
        <v>267</v>
      </c>
      <c r="F1690" s="87" t="s">
        <v>5220</v>
      </c>
      <c r="I1690" s="87" t="s">
        <v>58</v>
      </c>
      <c r="J1690" s="87" t="s">
        <v>5221</v>
      </c>
      <c r="K1690" s="90">
        <v>0.0</v>
      </c>
      <c r="L1690" s="92"/>
      <c r="M1690" s="93"/>
      <c r="N1690" s="87" t="s">
        <v>3202</v>
      </c>
      <c r="O1690" s="87" t="s">
        <v>377</v>
      </c>
      <c r="P1690" s="87" t="s">
        <v>372</v>
      </c>
    </row>
    <row r="1691" ht="15.75" customHeight="1">
      <c r="A1691" s="87" t="s">
        <v>5222</v>
      </c>
      <c r="B1691" s="88">
        <v>1.22E18</v>
      </c>
      <c r="C1691" s="87" t="s">
        <v>5223</v>
      </c>
      <c r="D1691" s="87" t="s">
        <v>262</v>
      </c>
      <c r="E1691" s="87" t="s">
        <v>267</v>
      </c>
      <c r="F1691" s="87" t="s">
        <v>5223</v>
      </c>
      <c r="I1691" s="87" t="s">
        <v>58</v>
      </c>
      <c r="J1691" s="87" t="s">
        <v>5224</v>
      </c>
      <c r="K1691" s="90">
        <v>0.0</v>
      </c>
      <c r="L1691" s="92"/>
      <c r="M1691" s="93"/>
      <c r="N1691" s="87" t="s">
        <v>3202</v>
      </c>
      <c r="O1691" s="87" t="s">
        <v>377</v>
      </c>
      <c r="P1691" s="87" t="s">
        <v>372</v>
      </c>
    </row>
    <row r="1692" ht="15.75" customHeight="1">
      <c r="A1692" s="87" t="s">
        <v>5225</v>
      </c>
      <c r="B1692" s="88">
        <v>1.22E18</v>
      </c>
      <c r="C1692" s="87" t="s">
        <v>5226</v>
      </c>
      <c r="D1692" s="87" t="s">
        <v>87</v>
      </c>
      <c r="E1692" s="87" t="s">
        <v>88</v>
      </c>
      <c r="F1692" s="87" t="s">
        <v>5226</v>
      </c>
      <c r="I1692" s="87" t="s">
        <v>2333</v>
      </c>
      <c r="J1692" s="87" t="s">
        <v>5227</v>
      </c>
      <c r="K1692" s="90">
        <v>0.0</v>
      </c>
      <c r="L1692" s="92"/>
      <c r="M1692" s="93"/>
      <c r="N1692" s="87" t="s">
        <v>1729</v>
      </c>
      <c r="O1692" s="87" t="s">
        <v>377</v>
      </c>
      <c r="P1692" s="87" t="s">
        <v>372</v>
      </c>
    </row>
    <row r="1693" ht="15.75" customHeight="1">
      <c r="A1693" s="87" t="s">
        <v>5228</v>
      </c>
      <c r="B1693" s="88">
        <v>1.22E18</v>
      </c>
      <c r="C1693" s="87" t="s">
        <v>5229</v>
      </c>
      <c r="D1693" s="87" t="s">
        <v>262</v>
      </c>
      <c r="E1693" s="87" t="s">
        <v>270</v>
      </c>
      <c r="F1693" s="118" t="s">
        <v>5229</v>
      </c>
      <c r="G1693" s="130"/>
      <c r="H1693" s="119"/>
      <c r="I1693" s="87" t="s">
        <v>58</v>
      </c>
      <c r="J1693" s="87" t="s">
        <v>5230</v>
      </c>
      <c r="K1693" s="90">
        <v>0.0</v>
      </c>
      <c r="L1693" s="92"/>
      <c r="M1693" s="93"/>
      <c r="N1693" s="87" t="s">
        <v>1772</v>
      </c>
      <c r="O1693" s="87" t="s">
        <v>377</v>
      </c>
      <c r="P1693" s="87" t="s">
        <v>372</v>
      </c>
    </row>
    <row r="1694" ht="15.75" customHeight="1">
      <c r="A1694" s="87" t="s">
        <v>5231</v>
      </c>
      <c r="B1694" s="88">
        <v>1.22E18</v>
      </c>
      <c r="C1694" s="87" t="s">
        <v>5232</v>
      </c>
      <c r="D1694" s="87" t="s">
        <v>87</v>
      </c>
      <c r="E1694" s="87" t="s">
        <v>88</v>
      </c>
      <c r="F1694" s="118" t="s">
        <v>5232</v>
      </c>
      <c r="G1694" s="130"/>
      <c r="H1694" s="119"/>
      <c r="I1694" s="87" t="s">
        <v>1742</v>
      </c>
      <c r="J1694" s="87" t="s">
        <v>4962</v>
      </c>
      <c r="K1694" s="90">
        <v>0.0</v>
      </c>
      <c r="L1694" s="92"/>
      <c r="M1694" s="93"/>
      <c r="N1694" s="87" t="s">
        <v>1772</v>
      </c>
      <c r="O1694" s="87" t="s">
        <v>377</v>
      </c>
      <c r="P1694" s="87" t="s">
        <v>372</v>
      </c>
    </row>
    <row r="1695" ht="15.75" customHeight="1">
      <c r="A1695" s="87" t="s">
        <v>5233</v>
      </c>
      <c r="B1695" s="88">
        <v>1.22E18</v>
      </c>
      <c r="C1695" s="87" t="s">
        <v>5234</v>
      </c>
      <c r="D1695" s="87" t="s">
        <v>56</v>
      </c>
      <c r="E1695" s="87" t="s">
        <v>102</v>
      </c>
      <c r="F1695" s="87" t="s">
        <v>1763</v>
      </c>
      <c r="I1695" s="93"/>
      <c r="J1695" s="87" t="s">
        <v>5235</v>
      </c>
      <c r="K1695" s="90">
        <v>0.0</v>
      </c>
      <c r="L1695" s="92"/>
      <c r="M1695" s="93"/>
      <c r="N1695" s="87" t="s">
        <v>1772</v>
      </c>
      <c r="O1695" s="87" t="s">
        <v>377</v>
      </c>
      <c r="P1695" s="87" t="s">
        <v>372</v>
      </c>
    </row>
    <row r="1696" ht="15.75" customHeight="1">
      <c r="A1696" s="87" t="s">
        <v>5236</v>
      </c>
      <c r="B1696" s="88">
        <v>1.22E18</v>
      </c>
      <c r="C1696" s="87" t="s">
        <v>5237</v>
      </c>
      <c r="D1696" s="87" t="s">
        <v>57</v>
      </c>
      <c r="E1696" s="87" t="s">
        <v>287</v>
      </c>
      <c r="F1696" s="118" t="s">
        <v>5237</v>
      </c>
      <c r="G1696" s="130"/>
      <c r="H1696" s="119"/>
      <c r="I1696" s="87" t="s">
        <v>58</v>
      </c>
      <c r="J1696" s="87" t="s">
        <v>5238</v>
      </c>
      <c r="K1696" s="90">
        <v>0.0</v>
      </c>
      <c r="L1696" s="92"/>
      <c r="M1696" s="93"/>
      <c r="N1696" s="93"/>
      <c r="O1696" s="87" t="s">
        <v>377</v>
      </c>
      <c r="P1696" s="87" t="s">
        <v>372</v>
      </c>
    </row>
    <row r="1697" ht="15.75" customHeight="1">
      <c r="A1697" s="87" t="s">
        <v>5239</v>
      </c>
      <c r="B1697" s="88">
        <v>1.22E18</v>
      </c>
      <c r="C1697" s="87" t="s">
        <v>5240</v>
      </c>
      <c r="D1697" s="87" t="s">
        <v>57</v>
      </c>
      <c r="E1697" s="87" t="s">
        <v>287</v>
      </c>
      <c r="F1697" s="118" t="s">
        <v>5240</v>
      </c>
      <c r="G1697" s="130"/>
      <c r="H1697" s="119"/>
      <c r="I1697" s="87" t="s">
        <v>58</v>
      </c>
      <c r="J1697" s="87" t="s">
        <v>5073</v>
      </c>
      <c r="K1697" s="90">
        <v>0.0</v>
      </c>
      <c r="L1697" s="92"/>
      <c r="M1697" s="93"/>
      <c r="N1697" s="87" t="s">
        <v>1772</v>
      </c>
      <c r="O1697" s="87" t="s">
        <v>377</v>
      </c>
      <c r="P1697" s="87" t="s">
        <v>372</v>
      </c>
    </row>
    <row r="1698" ht="15.75" customHeight="1">
      <c r="A1698" s="87" t="s">
        <v>5241</v>
      </c>
      <c r="B1698" s="88">
        <v>1.22E18</v>
      </c>
      <c r="C1698" s="87" t="s">
        <v>5242</v>
      </c>
      <c r="D1698" s="87" t="s">
        <v>262</v>
      </c>
      <c r="E1698" s="87" t="s">
        <v>270</v>
      </c>
      <c r="F1698" s="118" t="s">
        <v>5242</v>
      </c>
      <c r="G1698" s="130"/>
      <c r="H1698" s="119"/>
      <c r="I1698" s="87" t="s">
        <v>2333</v>
      </c>
      <c r="J1698" s="87" t="s">
        <v>5243</v>
      </c>
      <c r="K1698" s="90">
        <v>0.0</v>
      </c>
      <c r="L1698" s="92"/>
      <c r="M1698" s="93"/>
      <c r="N1698" s="87" t="s">
        <v>1772</v>
      </c>
      <c r="O1698" s="87" t="s">
        <v>377</v>
      </c>
      <c r="P1698" s="87" t="s">
        <v>372</v>
      </c>
    </row>
    <row r="1699" ht="15.75" customHeight="1">
      <c r="A1699" s="87" t="s">
        <v>5244</v>
      </c>
      <c r="B1699" s="88">
        <v>1.22E18</v>
      </c>
      <c r="C1699" s="87" t="s">
        <v>5245</v>
      </c>
      <c r="D1699" s="87" t="s">
        <v>87</v>
      </c>
      <c r="E1699" s="87" t="s">
        <v>88</v>
      </c>
      <c r="F1699" s="118" t="s">
        <v>5245</v>
      </c>
      <c r="G1699" s="130"/>
      <c r="H1699" s="119"/>
      <c r="I1699" s="87" t="s">
        <v>58</v>
      </c>
      <c r="J1699" s="87" t="s">
        <v>5246</v>
      </c>
      <c r="K1699" s="90">
        <v>0.0</v>
      </c>
      <c r="L1699" s="92"/>
      <c r="M1699" s="93"/>
      <c r="N1699" s="87" t="s">
        <v>1772</v>
      </c>
      <c r="O1699" s="87" t="s">
        <v>377</v>
      </c>
      <c r="P1699" s="87" t="s">
        <v>372</v>
      </c>
    </row>
    <row r="1700" ht="15.75" customHeight="1">
      <c r="A1700" s="87" t="s">
        <v>5247</v>
      </c>
      <c r="B1700" s="88">
        <v>1.22E18</v>
      </c>
      <c r="C1700" s="87" t="s">
        <v>5248</v>
      </c>
      <c r="D1700" s="87" t="s">
        <v>262</v>
      </c>
      <c r="E1700" s="87" t="s">
        <v>263</v>
      </c>
      <c r="F1700" s="118" t="s">
        <v>5248</v>
      </c>
      <c r="G1700" s="130"/>
      <c r="H1700" s="119"/>
      <c r="I1700" s="87" t="s">
        <v>58</v>
      </c>
      <c r="J1700" s="87" t="s">
        <v>5249</v>
      </c>
      <c r="K1700" s="90">
        <v>0.0</v>
      </c>
      <c r="L1700" s="92"/>
      <c r="M1700" s="93"/>
      <c r="N1700" s="93"/>
      <c r="O1700" s="87" t="s">
        <v>377</v>
      </c>
      <c r="P1700" s="87" t="s">
        <v>372</v>
      </c>
    </row>
    <row r="1701" ht="15.75" customHeight="1">
      <c r="A1701" s="87" t="s">
        <v>5250</v>
      </c>
      <c r="B1701" s="88">
        <v>1.22E18</v>
      </c>
      <c r="C1701" s="87" t="s">
        <v>5251</v>
      </c>
      <c r="D1701" s="87" t="s">
        <v>87</v>
      </c>
      <c r="E1701" s="87" t="s">
        <v>88</v>
      </c>
      <c r="F1701" s="87" t="s">
        <v>5251</v>
      </c>
      <c r="I1701" s="87" t="s">
        <v>58</v>
      </c>
      <c r="J1701" s="87" t="s">
        <v>5252</v>
      </c>
      <c r="K1701" s="90">
        <v>0.0</v>
      </c>
      <c r="L1701" s="92"/>
      <c r="M1701" s="93"/>
      <c r="N1701" s="93"/>
      <c r="O1701" s="87" t="s">
        <v>377</v>
      </c>
      <c r="P1701" s="87" t="s">
        <v>372</v>
      </c>
    </row>
    <row r="1702" ht="15.75" customHeight="1">
      <c r="A1702" s="87" t="s">
        <v>5253</v>
      </c>
      <c r="B1702" s="88">
        <v>1.22E18</v>
      </c>
      <c r="C1702" s="87" t="s">
        <v>5254</v>
      </c>
      <c r="D1702" s="87" t="s">
        <v>57</v>
      </c>
      <c r="E1702" s="87" t="s">
        <v>287</v>
      </c>
      <c r="F1702" s="118" t="s">
        <v>5254</v>
      </c>
      <c r="G1702" s="130"/>
      <c r="H1702" s="119"/>
      <c r="I1702" s="87" t="s">
        <v>58</v>
      </c>
      <c r="J1702" s="87" t="s">
        <v>4962</v>
      </c>
      <c r="K1702" s="90">
        <v>0.0</v>
      </c>
      <c r="L1702" s="92"/>
      <c r="M1702" s="93"/>
      <c r="N1702" s="87" t="s">
        <v>1772</v>
      </c>
      <c r="O1702" s="87" t="s">
        <v>377</v>
      </c>
      <c r="P1702" s="87" t="s">
        <v>372</v>
      </c>
    </row>
    <row r="1703" ht="15.75" customHeight="1">
      <c r="A1703" s="87" t="s">
        <v>5255</v>
      </c>
      <c r="B1703" s="88">
        <v>1.22E18</v>
      </c>
      <c r="C1703" s="87" t="s">
        <v>5256</v>
      </c>
      <c r="D1703" s="87" t="s">
        <v>87</v>
      </c>
      <c r="E1703" s="87" t="s">
        <v>88</v>
      </c>
      <c r="F1703" s="87" t="s">
        <v>5256</v>
      </c>
      <c r="I1703" s="87" t="s">
        <v>58</v>
      </c>
      <c r="J1703" s="87" t="s">
        <v>5257</v>
      </c>
      <c r="K1703" s="90">
        <v>0.0</v>
      </c>
      <c r="L1703" s="92"/>
      <c r="M1703" s="93"/>
      <c r="N1703" s="87" t="s">
        <v>1772</v>
      </c>
      <c r="O1703" s="87" t="s">
        <v>377</v>
      </c>
      <c r="P1703" s="87" t="s">
        <v>372</v>
      </c>
    </row>
    <row r="1704" ht="15.75" customHeight="1">
      <c r="A1704" s="87" t="s">
        <v>5258</v>
      </c>
      <c r="B1704" s="88">
        <v>1.22E18</v>
      </c>
      <c r="C1704" s="87" t="s">
        <v>5259</v>
      </c>
      <c r="D1704" s="87" t="s">
        <v>262</v>
      </c>
      <c r="E1704" s="87" t="s">
        <v>270</v>
      </c>
      <c r="F1704" s="87" t="s">
        <v>5259</v>
      </c>
      <c r="I1704" s="87" t="s">
        <v>58</v>
      </c>
      <c r="J1704" s="87" t="s">
        <v>3944</v>
      </c>
      <c r="K1704" s="90">
        <v>0.0</v>
      </c>
      <c r="L1704" s="92"/>
      <c r="M1704" s="93"/>
      <c r="N1704" s="87" t="s">
        <v>2771</v>
      </c>
      <c r="O1704" s="87" t="s">
        <v>377</v>
      </c>
      <c r="P1704" s="87" t="s">
        <v>372</v>
      </c>
    </row>
    <row r="1705" ht="15.75" customHeight="1">
      <c r="A1705" s="87" t="s">
        <v>5260</v>
      </c>
      <c r="B1705" s="88">
        <v>1.22E18</v>
      </c>
      <c r="C1705" s="87" t="s">
        <v>5261</v>
      </c>
      <c r="D1705" s="87" t="s">
        <v>262</v>
      </c>
      <c r="E1705" s="87" t="s">
        <v>270</v>
      </c>
      <c r="F1705" s="87" t="s">
        <v>5261</v>
      </c>
      <c r="I1705" s="87" t="s">
        <v>58</v>
      </c>
      <c r="J1705" s="87" t="s">
        <v>4878</v>
      </c>
      <c r="K1705" s="90">
        <v>0.0</v>
      </c>
      <c r="L1705" s="92"/>
      <c r="M1705" s="93"/>
      <c r="N1705" s="87" t="s">
        <v>2771</v>
      </c>
      <c r="O1705" s="87" t="s">
        <v>377</v>
      </c>
      <c r="P1705" s="87" t="s">
        <v>372</v>
      </c>
    </row>
    <row r="1706" ht="15.75" customHeight="1">
      <c r="A1706" s="87" t="s">
        <v>5262</v>
      </c>
      <c r="B1706" s="88">
        <v>1.22E18</v>
      </c>
      <c r="C1706" s="87" t="s">
        <v>5263</v>
      </c>
      <c r="D1706" s="87" t="s">
        <v>262</v>
      </c>
      <c r="E1706" s="87" t="s">
        <v>270</v>
      </c>
      <c r="F1706" s="87" t="s">
        <v>5263</v>
      </c>
      <c r="H1706" s="93"/>
      <c r="I1706" s="87" t="s">
        <v>58</v>
      </c>
      <c r="J1706" s="87" t="s">
        <v>3806</v>
      </c>
      <c r="K1706" s="90">
        <v>0.0</v>
      </c>
      <c r="L1706" s="92"/>
      <c r="M1706" s="93"/>
      <c r="N1706" s="87" t="s">
        <v>2771</v>
      </c>
      <c r="O1706" s="87" t="s">
        <v>377</v>
      </c>
      <c r="P1706" s="87" t="s">
        <v>372</v>
      </c>
    </row>
    <row r="1707" ht="15.75" customHeight="1">
      <c r="A1707" s="87" t="s">
        <v>5264</v>
      </c>
      <c r="B1707" s="88">
        <v>1.22E18</v>
      </c>
      <c r="C1707" s="87" t="s">
        <v>5265</v>
      </c>
      <c r="D1707" s="87" t="s">
        <v>262</v>
      </c>
      <c r="E1707" s="87" t="s">
        <v>270</v>
      </c>
      <c r="F1707" s="87" t="s">
        <v>5265</v>
      </c>
      <c r="I1707" s="87" t="s">
        <v>58</v>
      </c>
      <c r="J1707" s="87" t="s">
        <v>4337</v>
      </c>
      <c r="K1707" s="90">
        <v>0.0</v>
      </c>
      <c r="L1707" s="92"/>
      <c r="M1707" s="93"/>
      <c r="N1707" s="87" t="s">
        <v>2771</v>
      </c>
      <c r="O1707" s="87" t="s">
        <v>377</v>
      </c>
      <c r="P1707" s="87" t="s">
        <v>372</v>
      </c>
    </row>
    <row r="1708" ht="15.75" customHeight="1">
      <c r="A1708" s="87" t="s">
        <v>5266</v>
      </c>
      <c r="B1708" s="88">
        <v>1.22E18</v>
      </c>
      <c r="C1708" s="87" t="s">
        <v>5267</v>
      </c>
      <c r="D1708" s="87" t="s">
        <v>262</v>
      </c>
      <c r="E1708" s="87" t="s">
        <v>267</v>
      </c>
      <c r="F1708" s="87" t="s">
        <v>415</v>
      </c>
      <c r="G1708" s="93"/>
      <c r="H1708" s="93"/>
      <c r="I1708" s="87" t="s">
        <v>58</v>
      </c>
      <c r="J1708" s="87" t="s">
        <v>5268</v>
      </c>
      <c r="K1708" s="90">
        <v>1.0</v>
      </c>
      <c r="L1708" s="92"/>
      <c r="M1708" s="93"/>
      <c r="N1708" s="87" t="s">
        <v>5269</v>
      </c>
      <c r="O1708" s="87" t="s">
        <v>377</v>
      </c>
      <c r="P1708" s="87" t="s">
        <v>372</v>
      </c>
    </row>
    <row r="1709" ht="15.75" customHeight="1">
      <c r="A1709" s="87" t="s">
        <v>5270</v>
      </c>
      <c r="B1709" s="88">
        <v>1.22E18</v>
      </c>
      <c r="C1709" s="87" t="s">
        <v>5271</v>
      </c>
      <c r="D1709" s="87" t="s">
        <v>262</v>
      </c>
      <c r="E1709" s="87" t="s">
        <v>267</v>
      </c>
      <c r="F1709" s="87" t="s">
        <v>415</v>
      </c>
      <c r="G1709" s="93"/>
      <c r="H1709" s="93"/>
      <c r="I1709" s="87" t="s">
        <v>58</v>
      </c>
      <c r="J1709" s="87" t="s">
        <v>5272</v>
      </c>
      <c r="K1709" s="90">
        <v>1.0</v>
      </c>
      <c r="L1709" s="92"/>
      <c r="M1709" s="93"/>
      <c r="N1709" s="93"/>
      <c r="O1709" s="87" t="s">
        <v>377</v>
      </c>
      <c r="P1709" s="87" t="s">
        <v>372</v>
      </c>
    </row>
    <row r="1710" ht="15.75" customHeight="1">
      <c r="A1710" s="87" t="s">
        <v>5273</v>
      </c>
      <c r="B1710" s="88">
        <v>1.22E18</v>
      </c>
      <c r="C1710" s="87" t="s">
        <v>5274</v>
      </c>
      <c r="D1710" s="87" t="s">
        <v>262</v>
      </c>
      <c r="E1710" s="87" t="s">
        <v>267</v>
      </c>
      <c r="F1710" s="87" t="s">
        <v>415</v>
      </c>
      <c r="G1710" s="93"/>
      <c r="H1710" s="93"/>
      <c r="I1710" s="87" t="s">
        <v>58</v>
      </c>
      <c r="J1710" s="87" t="s">
        <v>2441</v>
      </c>
      <c r="K1710" s="90">
        <v>1.0</v>
      </c>
      <c r="L1710" s="92"/>
      <c r="M1710" s="93"/>
      <c r="N1710" s="87" t="s">
        <v>5269</v>
      </c>
      <c r="O1710" s="87" t="s">
        <v>377</v>
      </c>
      <c r="P1710" s="87" t="s">
        <v>372</v>
      </c>
    </row>
    <row r="1711" ht="15.75" customHeight="1">
      <c r="A1711" s="87" t="s">
        <v>5275</v>
      </c>
      <c r="B1711" s="88">
        <v>1.22E18</v>
      </c>
      <c r="C1711" s="87" t="s">
        <v>5276</v>
      </c>
      <c r="D1711" s="87" t="s">
        <v>262</v>
      </c>
      <c r="E1711" s="87" t="s">
        <v>267</v>
      </c>
      <c r="F1711" s="87" t="s">
        <v>415</v>
      </c>
      <c r="G1711" s="93"/>
      <c r="H1711" s="93"/>
      <c r="I1711" s="87" t="s">
        <v>58</v>
      </c>
      <c r="J1711" s="87" t="s">
        <v>2957</v>
      </c>
      <c r="K1711" s="90">
        <v>1.0</v>
      </c>
      <c r="L1711" s="92"/>
      <c r="M1711" s="93"/>
      <c r="N1711" s="87" t="s">
        <v>5269</v>
      </c>
      <c r="O1711" s="87" t="s">
        <v>377</v>
      </c>
      <c r="P1711" s="87" t="s">
        <v>372</v>
      </c>
    </row>
    <row r="1712" ht="15.75" customHeight="1">
      <c r="A1712" s="87" t="s">
        <v>5277</v>
      </c>
      <c r="B1712" s="88">
        <v>1.22E18</v>
      </c>
      <c r="C1712" s="87" t="s">
        <v>5278</v>
      </c>
      <c r="D1712" s="87" t="s">
        <v>262</v>
      </c>
      <c r="E1712" s="87" t="s">
        <v>267</v>
      </c>
      <c r="F1712" s="87" t="s">
        <v>1749</v>
      </c>
      <c r="H1712" s="93"/>
      <c r="I1712" s="87" t="s">
        <v>58</v>
      </c>
      <c r="J1712" s="87" t="s">
        <v>5279</v>
      </c>
      <c r="K1712" s="90">
        <v>0.0</v>
      </c>
      <c r="L1712" s="92"/>
      <c r="M1712" s="93"/>
      <c r="N1712" s="87" t="s">
        <v>5280</v>
      </c>
      <c r="O1712" s="87" t="s">
        <v>377</v>
      </c>
      <c r="P1712" s="87" t="s">
        <v>372</v>
      </c>
    </row>
    <row r="1713" ht="15.75" customHeight="1">
      <c r="A1713" s="87" t="s">
        <v>5281</v>
      </c>
      <c r="B1713" s="88">
        <v>1.22E18</v>
      </c>
      <c r="C1713" s="87" t="s">
        <v>5282</v>
      </c>
      <c r="D1713" s="87" t="s">
        <v>87</v>
      </c>
      <c r="E1713" s="87" t="s">
        <v>88</v>
      </c>
      <c r="F1713" s="87" t="s">
        <v>5282</v>
      </c>
      <c r="I1713" s="87" t="s">
        <v>1923</v>
      </c>
      <c r="J1713" s="87" t="s">
        <v>5027</v>
      </c>
      <c r="K1713" s="90">
        <v>25.0</v>
      </c>
      <c r="L1713" s="92"/>
      <c r="M1713" s="93"/>
      <c r="N1713" s="87" t="s">
        <v>5283</v>
      </c>
      <c r="O1713" s="87" t="s">
        <v>377</v>
      </c>
      <c r="P1713" s="87" t="s">
        <v>372</v>
      </c>
    </row>
    <row r="1714" ht="15.75" customHeight="1">
      <c r="A1714" s="87" t="s">
        <v>5284</v>
      </c>
      <c r="B1714" s="88">
        <v>1.22E18</v>
      </c>
      <c r="C1714" s="87" t="s">
        <v>5285</v>
      </c>
      <c r="D1714" s="87" t="s">
        <v>87</v>
      </c>
      <c r="E1714" s="87" t="s">
        <v>102</v>
      </c>
      <c r="F1714" s="87" t="s">
        <v>5285</v>
      </c>
      <c r="I1714" s="87" t="s">
        <v>58</v>
      </c>
      <c r="J1714" s="87" t="s">
        <v>4375</v>
      </c>
      <c r="K1714" s="90">
        <v>0.0</v>
      </c>
      <c r="L1714" s="92"/>
      <c r="M1714" s="93"/>
      <c r="N1714" s="87" t="s">
        <v>4427</v>
      </c>
      <c r="O1714" s="87" t="s">
        <v>377</v>
      </c>
      <c r="P1714" s="87" t="s">
        <v>372</v>
      </c>
    </row>
    <row r="1715" ht="15.75" customHeight="1">
      <c r="A1715" s="87" t="s">
        <v>5286</v>
      </c>
      <c r="B1715" s="88">
        <v>1.22E18</v>
      </c>
      <c r="C1715" s="87" t="s">
        <v>5287</v>
      </c>
      <c r="D1715" s="87" t="s">
        <v>87</v>
      </c>
      <c r="E1715" s="87" t="s">
        <v>102</v>
      </c>
      <c r="F1715" s="87" t="s">
        <v>5287</v>
      </c>
      <c r="I1715" s="87" t="s">
        <v>58</v>
      </c>
      <c r="J1715" s="87" t="s">
        <v>3057</v>
      </c>
      <c r="K1715" s="90">
        <v>0.0</v>
      </c>
      <c r="L1715" s="92"/>
      <c r="M1715" s="93"/>
      <c r="N1715" s="87" t="s">
        <v>4427</v>
      </c>
      <c r="O1715" s="87" t="s">
        <v>377</v>
      </c>
      <c r="P1715" s="87" t="s">
        <v>372</v>
      </c>
    </row>
    <row r="1716" ht="15.75" customHeight="1">
      <c r="A1716" s="87" t="s">
        <v>5288</v>
      </c>
      <c r="B1716" s="88">
        <v>1.22E18</v>
      </c>
      <c r="C1716" s="87" t="s">
        <v>5289</v>
      </c>
      <c r="D1716" s="87" t="s">
        <v>87</v>
      </c>
      <c r="E1716" s="87" t="s">
        <v>102</v>
      </c>
      <c r="F1716" s="87" t="s">
        <v>5289</v>
      </c>
      <c r="I1716" s="87" t="s">
        <v>58</v>
      </c>
      <c r="J1716" s="87" t="s">
        <v>5290</v>
      </c>
      <c r="K1716" s="90">
        <v>0.0</v>
      </c>
      <c r="L1716" s="92"/>
      <c r="M1716" s="93"/>
      <c r="N1716" s="87" t="s">
        <v>4427</v>
      </c>
      <c r="O1716" s="87" t="s">
        <v>377</v>
      </c>
      <c r="P1716" s="87" t="s">
        <v>372</v>
      </c>
    </row>
    <row r="1717" ht="15.75" customHeight="1">
      <c r="A1717" s="87" t="s">
        <v>5291</v>
      </c>
      <c r="B1717" s="88">
        <v>1.22E18</v>
      </c>
      <c r="C1717" s="87" t="s">
        <v>5292</v>
      </c>
      <c r="D1717" s="87" t="s">
        <v>87</v>
      </c>
      <c r="E1717" s="87" t="s">
        <v>102</v>
      </c>
      <c r="F1717" s="87" t="s">
        <v>5292</v>
      </c>
      <c r="I1717" s="87" t="s">
        <v>58</v>
      </c>
      <c r="J1717" s="87" t="s">
        <v>4375</v>
      </c>
      <c r="K1717" s="90">
        <v>0.0</v>
      </c>
      <c r="L1717" s="92"/>
      <c r="M1717" s="93"/>
      <c r="N1717" s="87" t="s">
        <v>4427</v>
      </c>
      <c r="O1717" s="87" t="s">
        <v>377</v>
      </c>
      <c r="P1717" s="87" t="s">
        <v>372</v>
      </c>
    </row>
    <row r="1718" ht="15.75" customHeight="1">
      <c r="A1718" s="87" t="s">
        <v>5293</v>
      </c>
      <c r="B1718" s="88">
        <v>1.22E18</v>
      </c>
      <c r="C1718" s="87" t="s">
        <v>5294</v>
      </c>
      <c r="D1718" s="87" t="s">
        <v>87</v>
      </c>
      <c r="E1718" s="87" t="s">
        <v>88</v>
      </c>
      <c r="F1718" s="118" t="s">
        <v>5294</v>
      </c>
      <c r="G1718" s="130"/>
      <c r="H1718" s="119"/>
      <c r="I1718" s="87" t="s">
        <v>58</v>
      </c>
      <c r="J1718" s="87" t="s">
        <v>5295</v>
      </c>
      <c r="K1718" s="90">
        <v>0.0</v>
      </c>
      <c r="L1718" s="92"/>
      <c r="M1718" s="93"/>
      <c r="N1718" s="87" t="s">
        <v>1729</v>
      </c>
      <c r="O1718" s="87" t="s">
        <v>377</v>
      </c>
      <c r="P1718" s="87" t="s">
        <v>372</v>
      </c>
    </row>
    <row r="1719" ht="15.75" customHeight="1">
      <c r="A1719" s="87" t="s">
        <v>5296</v>
      </c>
      <c r="B1719" s="88">
        <v>1.22E18</v>
      </c>
      <c r="C1719" s="87" t="s">
        <v>5297</v>
      </c>
      <c r="D1719" s="87" t="s">
        <v>87</v>
      </c>
      <c r="E1719" s="87" t="s">
        <v>88</v>
      </c>
      <c r="F1719" s="118" t="s">
        <v>5297</v>
      </c>
      <c r="G1719" s="130"/>
      <c r="H1719" s="119"/>
      <c r="I1719" s="87" t="s">
        <v>58</v>
      </c>
      <c r="J1719" s="87" t="s">
        <v>5298</v>
      </c>
      <c r="K1719" s="90">
        <v>0.0</v>
      </c>
      <c r="L1719" s="92"/>
      <c r="M1719" s="93"/>
      <c r="N1719" s="87" t="s">
        <v>2345</v>
      </c>
      <c r="O1719" s="87" t="s">
        <v>377</v>
      </c>
      <c r="P1719" s="87" t="s">
        <v>372</v>
      </c>
    </row>
    <row r="1720" ht="15.75" customHeight="1">
      <c r="A1720" s="87" t="s">
        <v>5299</v>
      </c>
      <c r="B1720" s="88">
        <v>1.22E18</v>
      </c>
      <c r="C1720" s="87" t="s">
        <v>5300</v>
      </c>
      <c r="D1720" s="87" t="s">
        <v>262</v>
      </c>
      <c r="E1720" s="87" t="s">
        <v>267</v>
      </c>
      <c r="F1720" s="118" t="s">
        <v>5300</v>
      </c>
      <c r="G1720" s="130"/>
      <c r="H1720" s="119"/>
      <c r="I1720" s="87" t="s">
        <v>58</v>
      </c>
      <c r="J1720" s="87" t="s">
        <v>5301</v>
      </c>
      <c r="K1720" s="90">
        <v>0.0</v>
      </c>
      <c r="L1720" s="92"/>
      <c r="M1720" s="93"/>
      <c r="N1720" s="87" t="s">
        <v>2345</v>
      </c>
      <c r="O1720" s="87" t="s">
        <v>377</v>
      </c>
      <c r="P1720" s="87" t="s">
        <v>372</v>
      </c>
    </row>
    <row r="1721" ht="15.75" customHeight="1">
      <c r="A1721" s="87" t="s">
        <v>5302</v>
      </c>
      <c r="B1721" s="88">
        <v>1.22E18</v>
      </c>
      <c r="C1721" s="87" t="s">
        <v>5303</v>
      </c>
      <c r="D1721" s="87" t="s">
        <v>262</v>
      </c>
      <c r="E1721" s="87" t="s">
        <v>267</v>
      </c>
      <c r="F1721" s="87" t="s">
        <v>5303</v>
      </c>
      <c r="I1721" s="87" t="s">
        <v>58</v>
      </c>
      <c r="J1721" s="87" t="s">
        <v>5304</v>
      </c>
      <c r="K1721" s="90">
        <v>0.0</v>
      </c>
      <c r="L1721" s="92"/>
      <c r="M1721" s="93"/>
      <c r="N1721" s="87" t="s">
        <v>2345</v>
      </c>
      <c r="O1721" s="87" t="s">
        <v>377</v>
      </c>
      <c r="P1721" s="87" t="s">
        <v>372</v>
      </c>
    </row>
    <row r="1722" ht="15.75" customHeight="1">
      <c r="A1722" s="87" t="s">
        <v>5305</v>
      </c>
      <c r="B1722" s="88">
        <v>1.22E18</v>
      </c>
      <c r="C1722" s="87" t="s">
        <v>5306</v>
      </c>
      <c r="D1722" s="87" t="s">
        <v>262</v>
      </c>
      <c r="E1722" s="87" t="s">
        <v>267</v>
      </c>
      <c r="F1722" s="87" t="s">
        <v>5306</v>
      </c>
      <c r="I1722" s="87" t="s">
        <v>58</v>
      </c>
      <c r="J1722" s="87" t="s">
        <v>5307</v>
      </c>
      <c r="K1722" s="90">
        <v>0.0</v>
      </c>
      <c r="L1722" s="92"/>
      <c r="M1722" s="93"/>
      <c r="N1722" s="87" t="s">
        <v>2345</v>
      </c>
      <c r="O1722" s="87" t="s">
        <v>377</v>
      </c>
      <c r="P1722" s="87" t="s">
        <v>372</v>
      </c>
    </row>
    <row r="1723" ht="15.75" customHeight="1">
      <c r="A1723" s="87" t="s">
        <v>5308</v>
      </c>
      <c r="B1723" s="88">
        <v>1.22E18</v>
      </c>
      <c r="C1723" s="87" t="s">
        <v>5309</v>
      </c>
      <c r="D1723" s="87" t="s">
        <v>262</v>
      </c>
      <c r="E1723" s="87" t="s">
        <v>267</v>
      </c>
      <c r="F1723" s="118" t="s">
        <v>5309</v>
      </c>
      <c r="G1723" s="130"/>
      <c r="H1723" s="119"/>
      <c r="I1723" s="87" t="s">
        <v>58</v>
      </c>
      <c r="J1723" s="87" t="s">
        <v>5310</v>
      </c>
      <c r="K1723" s="90">
        <v>0.0</v>
      </c>
      <c r="L1723" s="92"/>
      <c r="M1723" s="93"/>
      <c r="N1723" s="87" t="s">
        <v>2345</v>
      </c>
      <c r="O1723" s="87" t="s">
        <v>377</v>
      </c>
      <c r="P1723" s="87" t="s">
        <v>372</v>
      </c>
    </row>
    <row r="1724" ht="15.75" customHeight="1">
      <c r="A1724" s="87" t="s">
        <v>5311</v>
      </c>
      <c r="B1724" s="88">
        <v>1.22E18</v>
      </c>
      <c r="C1724" s="87" t="s">
        <v>5312</v>
      </c>
      <c r="D1724" s="87" t="s">
        <v>87</v>
      </c>
      <c r="E1724" s="87" t="s">
        <v>88</v>
      </c>
      <c r="F1724" s="118" t="s">
        <v>5312</v>
      </c>
      <c r="G1724" s="130"/>
      <c r="H1724" s="119"/>
      <c r="I1724" s="87" t="s">
        <v>58</v>
      </c>
      <c r="J1724" s="87" t="s">
        <v>5313</v>
      </c>
      <c r="K1724" s="90">
        <v>0.0</v>
      </c>
      <c r="L1724" s="92"/>
      <c r="M1724" s="93"/>
      <c r="N1724" s="87" t="s">
        <v>2345</v>
      </c>
      <c r="O1724" s="87" t="s">
        <v>377</v>
      </c>
      <c r="P1724" s="87" t="s">
        <v>372</v>
      </c>
    </row>
    <row r="1725" ht="15.75" customHeight="1">
      <c r="A1725" s="87" t="s">
        <v>5314</v>
      </c>
      <c r="B1725" s="88">
        <v>1.22E18</v>
      </c>
      <c r="C1725" s="87" t="s">
        <v>5315</v>
      </c>
      <c r="D1725" s="87" t="s">
        <v>87</v>
      </c>
      <c r="E1725" s="87" t="s">
        <v>88</v>
      </c>
      <c r="F1725" s="118" t="s">
        <v>5315</v>
      </c>
      <c r="G1725" s="130"/>
      <c r="H1725" s="119"/>
      <c r="I1725" s="87" t="s">
        <v>58</v>
      </c>
      <c r="J1725" s="87" t="s">
        <v>5316</v>
      </c>
      <c r="K1725" s="90">
        <v>0.0</v>
      </c>
      <c r="L1725" s="92"/>
      <c r="M1725" s="93"/>
      <c r="N1725" s="87" t="s">
        <v>2345</v>
      </c>
      <c r="O1725" s="87" t="s">
        <v>377</v>
      </c>
      <c r="P1725" s="87" t="s">
        <v>372</v>
      </c>
    </row>
    <row r="1726" ht="15.75" customHeight="1">
      <c r="A1726" s="87" t="s">
        <v>5317</v>
      </c>
      <c r="B1726" s="88">
        <v>1.22E18</v>
      </c>
      <c r="C1726" s="87" t="s">
        <v>5318</v>
      </c>
      <c r="D1726" s="87" t="s">
        <v>87</v>
      </c>
      <c r="E1726" s="87" t="s">
        <v>88</v>
      </c>
      <c r="F1726" s="118" t="s">
        <v>5318</v>
      </c>
      <c r="G1726" s="130"/>
      <c r="H1726" s="119"/>
      <c r="I1726" s="87" t="s">
        <v>58</v>
      </c>
      <c r="J1726" s="87" t="s">
        <v>5319</v>
      </c>
      <c r="K1726" s="90">
        <v>0.0</v>
      </c>
      <c r="L1726" s="92"/>
      <c r="M1726" s="93"/>
      <c r="N1726" s="87" t="s">
        <v>2345</v>
      </c>
      <c r="O1726" s="87" t="s">
        <v>377</v>
      </c>
      <c r="P1726" s="87" t="s">
        <v>372</v>
      </c>
    </row>
    <row r="1727" ht="15.75" customHeight="1">
      <c r="A1727" s="87" t="s">
        <v>5320</v>
      </c>
      <c r="B1727" s="88">
        <v>1.22E18</v>
      </c>
      <c r="C1727" s="87" t="s">
        <v>5321</v>
      </c>
      <c r="D1727" s="87" t="s">
        <v>262</v>
      </c>
      <c r="E1727" s="87" t="s">
        <v>267</v>
      </c>
      <c r="F1727" s="87" t="s">
        <v>5321</v>
      </c>
      <c r="I1727" s="87" t="s">
        <v>58</v>
      </c>
      <c r="J1727" s="87" t="s">
        <v>4477</v>
      </c>
      <c r="K1727" s="90">
        <v>0.0</v>
      </c>
      <c r="L1727" s="92"/>
      <c r="M1727" s="93"/>
      <c r="N1727" s="87" t="s">
        <v>2345</v>
      </c>
      <c r="O1727" s="87" t="s">
        <v>377</v>
      </c>
      <c r="P1727" s="87" t="s">
        <v>372</v>
      </c>
    </row>
    <row r="1728" ht="15.75" customHeight="1">
      <c r="A1728" s="87" t="s">
        <v>5322</v>
      </c>
      <c r="B1728" s="88">
        <v>1.22E18</v>
      </c>
      <c r="C1728" s="87" t="s">
        <v>5323</v>
      </c>
      <c r="D1728" s="87" t="s">
        <v>87</v>
      </c>
      <c r="E1728" s="87" t="s">
        <v>88</v>
      </c>
      <c r="F1728" s="87" t="s">
        <v>5323</v>
      </c>
      <c r="G1728" s="93"/>
      <c r="H1728" s="93"/>
      <c r="I1728" s="87" t="s">
        <v>58</v>
      </c>
      <c r="J1728" s="87" t="s">
        <v>3787</v>
      </c>
      <c r="K1728" s="90">
        <v>0.0</v>
      </c>
      <c r="L1728" s="92"/>
      <c r="M1728" s="93"/>
      <c r="N1728" s="87" t="s">
        <v>2577</v>
      </c>
      <c r="O1728" s="87" t="s">
        <v>377</v>
      </c>
      <c r="P1728" s="87" t="s">
        <v>372</v>
      </c>
    </row>
    <row r="1729" ht="15.75" customHeight="1">
      <c r="A1729" s="87" t="s">
        <v>5324</v>
      </c>
      <c r="B1729" s="88">
        <v>1.22E18</v>
      </c>
      <c r="C1729" s="87" t="s">
        <v>5325</v>
      </c>
      <c r="D1729" s="87" t="s">
        <v>87</v>
      </c>
      <c r="E1729" s="87" t="s">
        <v>241</v>
      </c>
      <c r="F1729" s="87" t="s">
        <v>5325</v>
      </c>
      <c r="I1729" s="87" t="s">
        <v>315</v>
      </c>
      <c r="J1729" s="87" t="s">
        <v>5326</v>
      </c>
      <c r="K1729" s="90">
        <v>0.0</v>
      </c>
      <c r="L1729" s="92"/>
      <c r="M1729" s="93"/>
      <c r="N1729" s="87" t="s">
        <v>5327</v>
      </c>
      <c r="O1729" s="87" t="s">
        <v>377</v>
      </c>
      <c r="P1729" s="87" t="s">
        <v>372</v>
      </c>
    </row>
    <row r="1730" ht="15.75" customHeight="1">
      <c r="A1730" s="87" t="s">
        <v>5328</v>
      </c>
      <c r="B1730" s="88">
        <v>1.22E18</v>
      </c>
      <c r="C1730" s="87" t="s">
        <v>5329</v>
      </c>
      <c r="D1730" s="87" t="s">
        <v>262</v>
      </c>
      <c r="E1730" s="87" t="s">
        <v>267</v>
      </c>
      <c r="F1730" s="118" t="s">
        <v>5329</v>
      </c>
      <c r="G1730" s="130"/>
      <c r="H1730" s="119"/>
      <c r="I1730" s="87" t="s">
        <v>58</v>
      </c>
      <c r="J1730" s="87" t="s">
        <v>5330</v>
      </c>
      <c r="K1730" s="90">
        <v>0.0</v>
      </c>
      <c r="L1730" s="92"/>
      <c r="M1730" s="93"/>
      <c r="N1730" s="87" t="s">
        <v>1772</v>
      </c>
      <c r="O1730" s="87" t="s">
        <v>377</v>
      </c>
      <c r="P1730" s="87" t="s">
        <v>372</v>
      </c>
    </row>
    <row r="1731" ht="15.75" customHeight="1">
      <c r="A1731" s="87" t="s">
        <v>5331</v>
      </c>
      <c r="B1731" s="88">
        <v>1.22E18</v>
      </c>
      <c r="C1731" s="87" t="s">
        <v>5332</v>
      </c>
      <c r="D1731" s="87" t="s">
        <v>57</v>
      </c>
      <c r="E1731" s="87" t="s">
        <v>287</v>
      </c>
      <c r="F1731" s="87" t="s">
        <v>1749</v>
      </c>
      <c r="H1731" s="93"/>
      <c r="I1731" s="87" t="s">
        <v>58</v>
      </c>
      <c r="J1731" s="87" t="s">
        <v>5333</v>
      </c>
      <c r="K1731" s="90">
        <v>2.0</v>
      </c>
      <c r="L1731" s="92"/>
      <c r="M1731" s="93"/>
      <c r="N1731" s="87" t="s">
        <v>1772</v>
      </c>
      <c r="O1731" s="87" t="s">
        <v>377</v>
      </c>
      <c r="P1731" s="87" t="s">
        <v>372</v>
      </c>
    </row>
    <row r="1732" ht="15.75" customHeight="1">
      <c r="A1732" s="87" t="s">
        <v>5334</v>
      </c>
      <c r="B1732" s="88">
        <v>1.22E18</v>
      </c>
      <c r="C1732" s="87" t="s">
        <v>5335</v>
      </c>
      <c r="D1732" s="87" t="s">
        <v>87</v>
      </c>
      <c r="E1732" s="87" t="s">
        <v>228</v>
      </c>
      <c r="F1732" s="87" t="s">
        <v>373</v>
      </c>
      <c r="H1732" s="93"/>
      <c r="I1732" s="87" t="s">
        <v>340</v>
      </c>
      <c r="J1732" s="87" t="s">
        <v>5336</v>
      </c>
      <c r="K1732" s="90">
        <v>0.0</v>
      </c>
      <c r="L1732" s="92"/>
      <c r="M1732" s="93"/>
      <c r="N1732" s="87" t="s">
        <v>5337</v>
      </c>
      <c r="O1732" s="87" t="s">
        <v>377</v>
      </c>
      <c r="P1732" s="87" t="s">
        <v>372</v>
      </c>
    </row>
    <row r="1733" ht="15.75" customHeight="1">
      <c r="A1733" s="87" t="s">
        <v>5338</v>
      </c>
      <c r="B1733" s="88">
        <v>1.22E18</v>
      </c>
      <c r="C1733" s="87" t="s">
        <v>5339</v>
      </c>
      <c r="D1733" s="87" t="s">
        <v>87</v>
      </c>
      <c r="E1733" s="87" t="s">
        <v>241</v>
      </c>
      <c r="F1733" s="87" t="s">
        <v>5339</v>
      </c>
      <c r="H1733" s="93"/>
      <c r="I1733" s="87" t="s">
        <v>495</v>
      </c>
      <c r="J1733" s="87" t="s">
        <v>2050</v>
      </c>
      <c r="K1733" s="90">
        <v>0.0</v>
      </c>
      <c r="L1733" s="92"/>
      <c r="M1733" s="93"/>
      <c r="N1733" s="87" t="s">
        <v>497</v>
      </c>
      <c r="O1733" s="87" t="s">
        <v>377</v>
      </c>
      <c r="P1733" s="87" t="s">
        <v>372</v>
      </c>
    </row>
    <row r="1734" ht="15.75" customHeight="1">
      <c r="A1734" s="87" t="s">
        <v>5340</v>
      </c>
      <c r="B1734" s="88">
        <v>1.22E18</v>
      </c>
      <c r="C1734" s="87" t="s">
        <v>5341</v>
      </c>
      <c r="D1734" s="87" t="s">
        <v>87</v>
      </c>
      <c r="E1734" s="87" t="s">
        <v>88</v>
      </c>
      <c r="F1734" s="87" t="s">
        <v>5341</v>
      </c>
      <c r="H1734" s="93"/>
      <c r="I1734" s="87" t="s">
        <v>495</v>
      </c>
      <c r="J1734" s="87" t="s">
        <v>2030</v>
      </c>
      <c r="K1734" s="90">
        <v>0.0</v>
      </c>
      <c r="L1734" s="92"/>
      <c r="M1734" s="93"/>
      <c r="N1734" s="87" t="s">
        <v>497</v>
      </c>
      <c r="O1734" s="87" t="s">
        <v>377</v>
      </c>
      <c r="P1734" s="87" t="s">
        <v>372</v>
      </c>
    </row>
    <row r="1735" ht="15.75" customHeight="1">
      <c r="A1735" s="87" t="s">
        <v>5342</v>
      </c>
      <c r="B1735" s="88">
        <v>1.22E18</v>
      </c>
      <c r="C1735" s="87" t="s">
        <v>5343</v>
      </c>
      <c r="D1735" s="87" t="s">
        <v>87</v>
      </c>
      <c r="E1735" s="87" t="s">
        <v>88</v>
      </c>
      <c r="F1735" s="87" t="s">
        <v>5343</v>
      </c>
      <c r="I1735" s="87" t="s">
        <v>58</v>
      </c>
      <c r="J1735" s="87" t="s">
        <v>5344</v>
      </c>
      <c r="K1735" s="90">
        <v>0.0</v>
      </c>
      <c r="L1735" s="92"/>
      <c r="M1735" s="93"/>
      <c r="N1735" s="87" t="s">
        <v>5345</v>
      </c>
      <c r="O1735" s="87" t="s">
        <v>377</v>
      </c>
      <c r="P1735" s="87" t="s">
        <v>372</v>
      </c>
    </row>
    <row r="1736" ht="15.75" customHeight="1">
      <c r="A1736" s="87" t="s">
        <v>5346</v>
      </c>
      <c r="B1736" s="88">
        <v>1.22E18</v>
      </c>
      <c r="C1736" s="87" t="s">
        <v>5347</v>
      </c>
      <c r="D1736" s="87" t="s">
        <v>87</v>
      </c>
      <c r="E1736" s="87" t="s">
        <v>88</v>
      </c>
      <c r="F1736" s="87" t="s">
        <v>5347</v>
      </c>
      <c r="I1736" s="87" t="s">
        <v>58</v>
      </c>
      <c r="J1736" s="87" t="s">
        <v>1051</v>
      </c>
      <c r="K1736" s="90">
        <v>0.0</v>
      </c>
      <c r="L1736" s="92"/>
      <c r="M1736" s="93"/>
      <c r="N1736" s="87" t="s">
        <v>5345</v>
      </c>
      <c r="O1736" s="87" t="s">
        <v>377</v>
      </c>
      <c r="P1736" s="87" t="s">
        <v>372</v>
      </c>
    </row>
    <row r="1737" ht="15.75" customHeight="1">
      <c r="A1737" s="87" t="s">
        <v>5348</v>
      </c>
      <c r="B1737" s="88">
        <v>1.22E18</v>
      </c>
      <c r="C1737" s="87" t="s">
        <v>5349</v>
      </c>
      <c r="D1737" s="87" t="s">
        <v>87</v>
      </c>
      <c r="E1737" s="87" t="s">
        <v>88</v>
      </c>
      <c r="F1737" s="87" t="s">
        <v>5349</v>
      </c>
      <c r="H1737" s="93"/>
      <c r="I1737" s="87" t="s">
        <v>58</v>
      </c>
      <c r="J1737" s="87" t="s">
        <v>5350</v>
      </c>
      <c r="K1737" s="90">
        <v>0.0</v>
      </c>
      <c r="L1737" s="92"/>
      <c r="M1737" s="93"/>
      <c r="N1737" s="87" t="s">
        <v>5351</v>
      </c>
      <c r="O1737" s="87" t="s">
        <v>377</v>
      </c>
      <c r="P1737" s="87" t="s">
        <v>372</v>
      </c>
    </row>
    <row r="1738" ht="15.75" customHeight="1">
      <c r="A1738" s="87" t="s">
        <v>5352</v>
      </c>
      <c r="B1738" s="88">
        <v>1.22E18</v>
      </c>
      <c r="C1738" s="87" t="s">
        <v>5353</v>
      </c>
      <c r="D1738" s="87" t="s">
        <v>87</v>
      </c>
      <c r="E1738" s="87" t="s">
        <v>88</v>
      </c>
      <c r="F1738" s="87" t="s">
        <v>5353</v>
      </c>
      <c r="I1738" s="87" t="s">
        <v>2770</v>
      </c>
      <c r="J1738" s="87" t="s">
        <v>5354</v>
      </c>
      <c r="K1738" s="90">
        <v>0.0</v>
      </c>
      <c r="L1738" s="92"/>
      <c r="M1738" s="93"/>
      <c r="N1738" s="87" t="s">
        <v>5351</v>
      </c>
      <c r="O1738" s="87" t="s">
        <v>377</v>
      </c>
      <c r="P1738" s="87" t="s">
        <v>372</v>
      </c>
    </row>
    <row r="1739" ht="15.75" customHeight="1">
      <c r="A1739" s="87" t="s">
        <v>5355</v>
      </c>
      <c r="B1739" s="88">
        <v>1.22E18</v>
      </c>
      <c r="C1739" s="87" t="s">
        <v>5356</v>
      </c>
      <c r="D1739" s="87" t="s">
        <v>262</v>
      </c>
      <c r="E1739" s="87" t="s">
        <v>278</v>
      </c>
      <c r="F1739" s="87" t="s">
        <v>5356</v>
      </c>
      <c r="I1739" s="87" t="s">
        <v>58</v>
      </c>
      <c r="J1739" s="87" t="s">
        <v>3424</v>
      </c>
      <c r="L1739" s="92"/>
      <c r="M1739" s="93"/>
      <c r="N1739" s="87" t="s">
        <v>3295</v>
      </c>
      <c r="O1739" s="87" t="s">
        <v>377</v>
      </c>
      <c r="P1739" s="87" t="s">
        <v>2565</v>
      </c>
    </row>
    <row r="1740" ht="15.75" customHeight="1">
      <c r="A1740" s="87" t="s">
        <v>5357</v>
      </c>
      <c r="B1740" s="88">
        <v>1.22E18</v>
      </c>
      <c r="C1740" s="87" t="s">
        <v>5358</v>
      </c>
      <c r="D1740" s="87" t="s">
        <v>87</v>
      </c>
      <c r="E1740" s="87" t="s">
        <v>88</v>
      </c>
      <c r="F1740" s="87" t="s">
        <v>5358</v>
      </c>
      <c r="I1740" s="87" t="s">
        <v>58</v>
      </c>
      <c r="J1740" s="87" t="s">
        <v>5359</v>
      </c>
      <c r="K1740" s="90">
        <v>0.0</v>
      </c>
      <c r="L1740" s="92"/>
      <c r="M1740" s="93"/>
      <c r="N1740" s="87" t="s">
        <v>1772</v>
      </c>
      <c r="O1740" s="87" t="s">
        <v>377</v>
      </c>
      <c r="P1740" s="87" t="s">
        <v>372</v>
      </c>
    </row>
    <row r="1741" ht="15.75" customHeight="1">
      <c r="A1741" s="87" t="s">
        <v>5360</v>
      </c>
      <c r="B1741" s="131">
        <v>1.22E18</v>
      </c>
      <c r="C1741" s="87" t="s">
        <v>5361</v>
      </c>
      <c r="D1741" s="87" t="s">
        <v>56</v>
      </c>
      <c r="E1741" s="87" t="s">
        <v>248</v>
      </c>
      <c r="F1741" s="87" t="s">
        <v>2769</v>
      </c>
      <c r="G1741" s="93"/>
      <c r="H1741" s="93"/>
      <c r="I1741" s="87" t="s">
        <v>58</v>
      </c>
      <c r="J1741" s="87" t="s">
        <v>3175</v>
      </c>
      <c r="K1741" s="90">
        <v>16000.0</v>
      </c>
      <c r="L1741" s="92"/>
      <c r="M1741" s="93"/>
      <c r="N1741" s="87" t="s">
        <v>2849</v>
      </c>
      <c r="O1741" s="87" t="s">
        <v>377</v>
      </c>
      <c r="P1741" s="87" t="s">
        <v>372</v>
      </c>
    </row>
    <row r="1742" ht="15.75" customHeight="1">
      <c r="A1742" s="87" t="s">
        <v>5362</v>
      </c>
      <c r="B1742" s="131">
        <v>1.22E18</v>
      </c>
      <c r="C1742" s="87" t="s">
        <v>5363</v>
      </c>
      <c r="D1742" s="87" t="s">
        <v>56</v>
      </c>
      <c r="E1742" s="87" t="s">
        <v>259</v>
      </c>
      <c r="F1742" s="87" t="s">
        <v>5363</v>
      </c>
      <c r="I1742" s="87" t="s">
        <v>58</v>
      </c>
      <c r="J1742" s="87" t="s">
        <v>3726</v>
      </c>
      <c r="K1742" s="90">
        <v>0.0</v>
      </c>
      <c r="L1742" s="92"/>
      <c r="M1742" s="93"/>
      <c r="N1742" s="87" t="s">
        <v>5364</v>
      </c>
      <c r="O1742" s="87" t="s">
        <v>377</v>
      </c>
      <c r="P1742" s="87" t="s">
        <v>372</v>
      </c>
    </row>
    <row r="1743" ht="15.75" customHeight="1">
      <c r="A1743" s="87" t="s">
        <v>5365</v>
      </c>
      <c r="B1743" s="131">
        <v>1.22E18</v>
      </c>
      <c r="C1743" s="87" t="s">
        <v>5366</v>
      </c>
      <c r="D1743" s="87" t="s">
        <v>56</v>
      </c>
      <c r="E1743" s="87" t="s">
        <v>259</v>
      </c>
      <c r="F1743" s="87" t="s">
        <v>5366</v>
      </c>
      <c r="I1743" s="87" t="s">
        <v>58</v>
      </c>
      <c r="J1743" s="87" t="s">
        <v>5367</v>
      </c>
      <c r="K1743" s="90">
        <v>0.0</v>
      </c>
      <c r="L1743" s="92"/>
      <c r="M1743" s="93"/>
      <c r="N1743" s="93"/>
      <c r="O1743" s="87" t="s">
        <v>377</v>
      </c>
      <c r="P1743" s="87" t="s">
        <v>372</v>
      </c>
    </row>
    <row r="1744" ht="15.75" customHeight="1">
      <c r="A1744" s="87" t="s">
        <v>5368</v>
      </c>
      <c r="B1744" s="131">
        <v>1.22E18</v>
      </c>
      <c r="C1744" s="87" t="s">
        <v>5369</v>
      </c>
      <c r="D1744" s="87" t="s">
        <v>56</v>
      </c>
      <c r="E1744" s="87" t="s">
        <v>259</v>
      </c>
      <c r="F1744" s="87" t="s">
        <v>5369</v>
      </c>
      <c r="I1744" s="87" t="s">
        <v>58</v>
      </c>
      <c r="J1744" s="87" t="s">
        <v>3726</v>
      </c>
      <c r="K1744" s="90">
        <v>0.0</v>
      </c>
      <c r="L1744" s="92"/>
      <c r="M1744" s="93"/>
      <c r="N1744" s="87" t="s">
        <v>5364</v>
      </c>
      <c r="O1744" s="87" t="s">
        <v>377</v>
      </c>
      <c r="P1744" s="87" t="s">
        <v>372</v>
      </c>
    </row>
    <row r="1745" ht="15.75" customHeight="1">
      <c r="A1745" s="87" t="s">
        <v>5370</v>
      </c>
      <c r="B1745" s="131">
        <v>1.22E18</v>
      </c>
      <c r="C1745" s="87" t="s">
        <v>5371</v>
      </c>
      <c r="D1745" s="87" t="s">
        <v>87</v>
      </c>
      <c r="E1745" s="87" t="s">
        <v>88</v>
      </c>
      <c r="F1745" s="118" t="s">
        <v>5371</v>
      </c>
      <c r="G1745" s="130"/>
      <c r="H1745" s="119"/>
      <c r="I1745" s="87" t="s">
        <v>58</v>
      </c>
      <c r="J1745" s="87" t="s">
        <v>5372</v>
      </c>
      <c r="K1745" s="90">
        <v>0.0</v>
      </c>
      <c r="L1745" s="92"/>
      <c r="M1745" s="93"/>
      <c r="N1745" s="87" t="s">
        <v>1772</v>
      </c>
      <c r="O1745" s="87" t="s">
        <v>377</v>
      </c>
      <c r="P1745" s="87" t="s">
        <v>372</v>
      </c>
    </row>
    <row r="1746" ht="15.75" customHeight="1">
      <c r="A1746" s="87" t="s">
        <v>5373</v>
      </c>
      <c r="B1746" s="88">
        <v>1.22E18</v>
      </c>
      <c r="C1746" s="87" t="s">
        <v>5374</v>
      </c>
      <c r="D1746" s="87" t="s">
        <v>57</v>
      </c>
      <c r="E1746" s="87" t="s">
        <v>287</v>
      </c>
      <c r="F1746" s="118" t="s">
        <v>5374</v>
      </c>
      <c r="G1746" s="130"/>
      <c r="H1746" s="119"/>
      <c r="I1746" s="87" t="s">
        <v>58</v>
      </c>
      <c r="J1746" s="87" t="s">
        <v>5375</v>
      </c>
      <c r="K1746" s="90">
        <v>0.0</v>
      </c>
      <c r="L1746" s="92"/>
      <c r="M1746" s="93"/>
      <c r="N1746" s="87" t="s">
        <v>1772</v>
      </c>
      <c r="O1746" s="87" t="s">
        <v>377</v>
      </c>
      <c r="P1746" s="87" t="s">
        <v>372</v>
      </c>
    </row>
    <row r="1747" ht="15.75" customHeight="1">
      <c r="A1747" s="87" t="s">
        <v>5376</v>
      </c>
      <c r="B1747" s="131">
        <v>1.22E18</v>
      </c>
      <c r="C1747" s="87" t="s">
        <v>5377</v>
      </c>
      <c r="D1747" s="87" t="s">
        <v>87</v>
      </c>
      <c r="E1747" s="87" t="s">
        <v>88</v>
      </c>
      <c r="F1747" s="118" t="s">
        <v>5377</v>
      </c>
      <c r="G1747" s="130"/>
      <c r="H1747" s="119"/>
      <c r="I1747" s="87" t="s">
        <v>58</v>
      </c>
      <c r="J1747" s="87" t="s">
        <v>5378</v>
      </c>
      <c r="K1747" s="90">
        <v>0.0</v>
      </c>
      <c r="L1747" s="92"/>
      <c r="M1747" s="93"/>
      <c r="N1747" s="87" t="s">
        <v>1772</v>
      </c>
      <c r="O1747" s="87" t="s">
        <v>377</v>
      </c>
      <c r="P1747" s="87" t="s">
        <v>372</v>
      </c>
    </row>
    <row r="1748" ht="15.75" customHeight="1">
      <c r="A1748" s="87" t="s">
        <v>5379</v>
      </c>
      <c r="B1748" s="131">
        <v>1.22E18</v>
      </c>
      <c r="C1748" s="87" t="s">
        <v>5380</v>
      </c>
      <c r="D1748" s="87" t="s">
        <v>87</v>
      </c>
      <c r="E1748" s="87" t="s">
        <v>88</v>
      </c>
      <c r="F1748" s="87" t="s">
        <v>5380</v>
      </c>
      <c r="H1748" s="93"/>
      <c r="I1748" s="87" t="s">
        <v>3984</v>
      </c>
      <c r="J1748" s="87" t="s">
        <v>5381</v>
      </c>
      <c r="K1748" s="90">
        <v>30.0</v>
      </c>
      <c r="L1748" s="92"/>
      <c r="M1748" s="93"/>
      <c r="N1748" s="87" t="s">
        <v>4405</v>
      </c>
      <c r="O1748" s="87" t="s">
        <v>377</v>
      </c>
      <c r="P1748" s="87" t="s">
        <v>372</v>
      </c>
    </row>
    <row r="1749" ht="15.75" customHeight="1">
      <c r="A1749" s="87" t="s">
        <v>5382</v>
      </c>
      <c r="B1749" s="88">
        <v>1.22E18</v>
      </c>
      <c r="C1749" s="87" t="s">
        <v>5383</v>
      </c>
      <c r="D1749" s="87" t="s">
        <v>87</v>
      </c>
      <c r="E1749" s="87" t="s">
        <v>88</v>
      </c>
      <c r="F1749" s="87" t="s">
        <v>379</v>
      </c>
      <c r="G1749" s="93"/>
      <c r="H1749" s="93"/>
      <c r="I1749" s="93"/>
      <c r="J1749" s="87" t="s">
        <v>5384</v>
      </c>
      <c r="K1749" s="90">
        <v>1000.0</v>
      </c>
      <c r="L1749" s="92"/>
      <c r="M1749" s="93"/>
      <c r="N1749" s="87" t="s">
        <v>390</v>
      </c>
      <c r="O1749" s="87" t="s">
        <v>377</v>
      </c>
      <c r="P1749" s="87" t="s">
        <v>372</v>
      </c>
    </row>
    <row r="1750" ht="15.75" customHeight="1">
      <c r="A1750" s="87" t="s">
        <v>5385</v>
      </c>
      <c r="B1750" s="88">
        <v>1.22E18</v>
      </c>
      <c r="C1750" s="87" t="s">
        <v>5386</v>
      </c>
      <c r="D1750" s="87" t="s">
        <v>87</v>
      </c>
      <c r="E1750" s="87" t="s">
        <v>228</v>
      </c>
      <c r="F1750" s="118" t="s">
        <v>5386</v>
      </c>
      <c r="G1750" s="130"/>
      <c r="H1750" s="119"/>
      <c r="I1750" s="87" t="s">
        <v>340</v>
      </c>
      <c r="J1750" s="87" t="s">
        <v>5387</v>
      </c>
      <c r="K1750" s="90">
        <v>0.0</v>
      </c>
      <c r="L1750" s="92"/>
      <c r="M1750" s="93"/>
      <c r="N1750" s="87" t="s">
        <v>1844</v>
      </c>
      <c r="O1750" s="87" t="s">
        <v>377</v>
      </c>
      <c r="P1750" s="87" t="s">
        <v>372</v>
      </c>
    </row>
    <row r="1751" ht="15.75" customHeight="1">
      <c r="A1751" s="87" t="s">
        <v>5388</v>
      </c>
      <c r="B1751" s="88">
        <v>1.22E18</v>
      </c>
      <c r="C1751" s="87" t="s">
        <v>5389</v>
      </c>
      <c r="D1751" s="87" t="s">
        <v>87</v>
      </c>
      <c r="E1751" s="87" t="s">
        <v>88</v>
      </c>
      <c r="F1751" s="118" t="s">
        <v>5389</v>
      </c>
      <c r="G1751" s="130"/>
      <c r="H1751" s="119"/>
      <c r="I1751" s="87" t="s">
        <v>340</v>
      </c>
      <c r="J1751" s="87" t="s">
        <v>5390</v>
      </c>
      <c r="K1751" s="90">
        <v>0.0</v>
      </c>
      <c r="L1751" s="92"/>
      <c r="M1751" s="93"/>
      <c r="N1751" s="87" t="s">
        <v>1844</v>
      </c>
      <c r="O1751" s="87" t="s">
        <v>377</v>
      </c>
      <c r="P1751" s="87" t="s">
        <v>372</v>
      </c>
    </row>
    <row r="1752" ht="15.75" customHeight="1">
      <c r="A1752" s="87" t="s">
        <v>5391</v>
      </c>
      <c r="B1752" s="88">
        <v>1.22E18</v>
      </c>
      <c r="C1752" s="87" t="s">
        <v>5392</v>
      </c>
      <c r="D1752" s="87" t="s">
        <v>262</v>
      </c>
      <c r="E1752" s="87" t="s">
        <v>270</v>
      </c>
      <c r="F1752" s="118" t="s">
        <v>5392</v>
      </c>
      <c r="G1752" s="130"/>
      <c r="H1752" s="119"/>
      <c r="I1752" s="87" t="s">
        <v>58</v>
      </c>
      <c r="J1752" s="87" t="s">
        <v>4535</v>
      </c>
      <c r="K1752" s="90">
        <v>0.0</v>
      </c>
      <c r="L1752" s="92"/>
      <c r="M1752" s="93"/>
      <c r="N1752" s="87" t="s">
        <v>5393</v>
      </c>
      <c r="O1752" s="87" t="s">
        <v>377</v>
      </c>
      <c r="P1752" s="87" t="s">
        <v>372</v>
      </c>
    </row>
    <row r="1753" ht="15.75" customHeight="1">
      <c r="A1753" s="87" t="s">
        <v>5394</v>
      </c>
      <c r="B1753" s="88">
        <v>1.22E18</v>
      </c>
      <c r="C1753" s="87" t="s">
        <v>5395</v>
      </c>
      <c r="D1753" s="87" t="s">
        <v>262</v>
      </c>
      <c r="E1753" s="87" t="s">
        <v>270</v>
      </c>
      <c r="F1753" s="118" t="s">
        <v>5395</v>
      </c>
      <c r="G1753" s="130"/>
      <c r="H1753" s="119"/>
      <c r="I1753" s="87" t="s">
        <v>58</v>
      </c>
      <c r="J1753" s="87" t="s">
        <v>3160</v>
      </c>
      <c r="K1753" s="90">
        <v>0.0</v>
      </c>
      <c r="L1753" s="92"/>
      <c r="M1753" s="93"/>
      <c r="N1753" s="87" t="s">
        <v>5393</v>
      </c>
      <c r="O1753" s="87" t="s">
        <v>377</v>
      </c>
      <c r="P1753" s="87" t="s">
        <v>372</v>
      </c>
    </row>
    <row r="1754" ht="15.75" customHeight="1">
      <c r="A1754" s="87" t="s">
        <v>5396</v>
      </c>
      <c r="B1754" s="88">
        <v>1.22E18</v>
      </c>
      <c r="C1754" s="87" t="s">
        <v>5397</v>
      </c>
      <c r="D1754" s="87" t="s">
        <v>56</v>
      </c>
      <c r="E1754" s="87" t="s">
        <v>259</v>
      </c>
      <c r="F1754" s="87" t="s">
        <v>5397</v>
      </c>
      <c r="I1754" s="87" t="s">
        <v>58</v>
      </c>
      <c r="J1754" s="87" t="s">
        <v>806</v>
      </c>
      <c r="K1754" s="90">
        <v>0.0</v>
      </c>
      <c r="L1754" s="92"/>
      <c r="M1754" s="93"/>
      <c r="N1754" s="87" t="s">
        <v>5393</v>
      </c>
      <c r="O1754" s="87" t="s">
        <v>377</v>
      </c>
      <c r="P1754" s="87" t="s">
        <v>372</v>
      </c>
    </row>
    <row r="1755" ht="15.75" customHeight="1">
      <c r="A1755" s="87" t="s">
        <v>5398</v>
      </c>
      <c r="B1755" s="88">
        <v>1.22E18</v>
      </c>
      <c r="C1755" s="87" t="s">
        <v>5399</v>
      </c>
      <c r="D1755" s="87" t="s">
        <v>262</v>
      </c>
      <c r="E1755" s="87" t="s">
        <v>278</v>
      </c>
      <c r="F1755" s="87" t="s">
        <v>5399</v>
      </c>
      <c r="I1755" s="87" t="s">
        <v>58</v>
      </c>
      <c r="J1755" s="87" t="s">
        <v>3129</v>
      </c>
      <c r="L1755" s="92"/>
      <c r="M1755" s="93"/>
      <c r="N1755" s="87" t="s">
        <v>5400</v>
      </c>
      <c r="O1755" s="87" t="s">
        <v>377</v>
      </c>
      <c r="P1755" s="87" t="s">
        <v>2565</v>
      </c>
    </row>
    <row r="1756" ht="15.75" customHeight="1">
      <c r="A1756" s="87" t="s">
        <v>5401</v>
      </c>
      <c r="B1756" s="88">
        <v>1.22E18</v>
      </c>
      <c r="C1756" s="87" t="s">
        <v>5402</v>
      </c>
      <c r="D1756" s="87" t="s">
        <v>87</v>
      </c>
      <c r="E1756" s="87" t="s">
        <v>88</v>
      </c>
      <c r="F1756" s="87" t="s">
        <v>5402</v>
      </c>
      <c r="I1756" s="87" t="s">
        <v>58</v>
      </c>
      <c r="J1756" s="87" t="s">
        <v>5403</v>
      </c>
      <c r="K1756" s="90">
        <v>0.0</v>
      </c>
      <c r="L1756" s="92"/>
      <c r="M1756" s="93"/>
      <c r="N1756" s="87" t="s">
        <v>5404</v>
      </c>
      <c r="O1756" s="87" t="s">
        <v>377</v>
      </c>
      <c r="P1756" s="87" t="s">
        <v>372</v>
      </c>
    </row>
    <row r="1757" ht="15.75" customHeight="1">
      <c r="A1757" s="87" t="s">
        <v>5405</v>
      </c>
      <c r="B1757" s="88">
        <v>1.22E18</v>
      </c>
      <c r="C1757" s="87" t="s">
        <v>5406</v>
      </c>
      <c r="D1757" s="87" t="s">
        <v>262</v>
      </c>
      <c r="E1757" s="87" t="s">
        <v>278</v>
      </c>
      <c r="F1757" s="87" t="s">
        <v>5406</v>
      </c>
      <c r="I1757" s="87" t="s">
        <v>103</v>
      </c>
      <c r="J1757" s="87" t="s">
        <v>5407</v>
      </c>
      <c r="L1757" s="92"/>
      <c r="M1757" s="93"/>
      <c r="N1757" s="87" t="s">
        <v>5055</v>
      </c>
      <c r="O1757" s="87" t="s">
        <v>377</v>
      </c>
      <c r="P1757" s="87" t="s">
        <v>2565</v>
      </c>
    </row>
    <row r="1758" ht="15.75" customHeight="1">
      <c r="A1758" s="87" t="s">
        <v>5408</v>
      </c>
      <c r="B1758" s="88">
        <v>1.22E18</v>
      </c>
      <c r="C1758" s="87" t="s">
        <v>5409</v>
      </c>
      <c r="D1758" s="87" t="s">
        <v>56</v>
      </c>
      <c r="E1758" s="87" t="s">
        <v>154</v>
      </c>
      <c r="F1758" s="87" t="s">
        <v>5409</v>
      </c>
      <c r="I1758" s="87" t="s">
        <v>58</v>
      </c>
      <c r="J1758" s="87" t="s">
        <v>3518</v>
      </c>
      <c r="K1758" s="90">
        <v>0.0</v>
      </c>
      <c r="L1758" s="92"/>
      <c r="M1758" s="93"/>
      <c r="N1758" s="87" t="s">
        <v>5410</v>
      </c>
      <c r="O1758" s="87" t="s">
        <v>377</v>
      </c>
      <c r="P1758" s="87" t="s">
        <v>372</v>
      </c>
    </row>
    <row r="1759" ht="15.75" customHeight="1">
      <c r="A1759" s="87" t="s">
        <v>5411</v>
      </c>
      <c r="B1759" s="88">
        <v>1.22E18</v>
      </c>
      <c r="C1759" s="87" t="s">
        <v>5412</v>
      </c>
      <c r="D1759" s="87" t="s">
        <v>87</v>
      </c>
      <c r="E1759" s="87" t="s">
        <v>88</v>
      </c>
      <c r="F1759" s="87" t="s">
        <v>5412</v>
      </c>
      <c r="H1759" s="93"/>
      <c r="I1759" s="87" t="s">
        <v>457</v>
      </c>
      <c r="J1759" s="87" t="s">
        <v>5413</v>
      </c>
      <c r="K1759" s="90">
        <v>0.0</v>
      </c>
      <c r="L1759" s="92"/>
      <c r="M1759" s="93"/>
      <c r="N1759" s="87" t="s">
        <v>4427</v>
      </c>
      <c r="O1759" s="87" t="s">
        <v>377</v>
      </c>
      <c r="P1759" s="87" t="s">
        <v>372</v>
      </c>
    </row>
    <row r="1760" ht="15.75" customHeight="1">
      <c r="A1760" s="87" t="s">
        <v>5414</v>
      </c>
      <c r="B1760" s="88">
        <v>1.22E18</v>
      </c>
      <c r="C1760" s="87" t="s">
        <v>5415</v>
      </c>
      <c r="D1760" s="87" t="s">
        <v>56</v>
      </c>
      <c r="E1760" s="87" t="s">
        <v>154</v>
      </c>
      <c r="F1760" s="87" t="s">
        <v>5415</v>
      </c>
      <c r="H1760" s="93"/>
      <c r="I1760" s="87" t="s">
        <v>58</v>
      </c>
      <c r="J1760" s="87" t="s">
        <v>2852</v>
      </c>
      <c r="K1760" s="90">
        <v>0.0</v>
      </c>
      <c r="L1760" s="92"/>
      <c r="M1760" s="93"/>
      <c r="N1760" s="87" t="s">
        <v>5416</v>
      </c>
      <c r="O1760" s="87" t="s">
        <v>377</v>
      </c>
      <c r="P1760" s="87" t="s">
        <v>372</v>
      </c>
    </row>
    <row r="1761" ht="15.75" customHeight="1">
      <c r="A1761" s="87" t="s">
        <v>5417</v>
      </c>
      <c r="B1761" s="88">
        <v>1.22E18</v>
      </c>
      <c r="C1761" s="87" t="s">
        <v>5418</v>
      </c>
      <c r="D1761" s="87" t="s">
        <v>87</v>
      </c>
      <c r="E1761" s="87" t="s">
        <v>102</v>
      </c>
      <c r="F1761" s="87" t="s">
        <v>5418</v>
      </c>
      <c r="H1761" s="93"/>
      <c r="I1761" s="87" t="s">
        <v>58</v>
      </c>
      <c r="J1761" s="87" t="s">
        <v>5419</v>
      </c>
      <c r="K1761" s="90">
        <v>0.0</v>
      </c>
      <c r="L1761" s="92"/>
      <c r="M1761" s="93"/>
      <c r="N1761" s="87" t="s">
        <v>4427</v>
      </c>
      <c r="O1761" s="87" t="s">
        <v>377</v>
      </c>
      <c r="P1761" s="87" t="s">
        <v>372</v>
      </c>
    </row>
    <row r="1762" ht="15.75" customHeight="1">
      <c r="A1762" s="87" t="s">
        <v>5420</v>
      </c>
      <c r="B1762" s="88">
        <v>1.22E18</v>
      </c>
      <c r="C1762" s="87" t="s">
        <v>5421</v>
      </c>
      <c r="D1762" s="87" t="s">
        <v>87</v>
      </c>
      <c r="E1762" s="87" t="s">
        <v>102</v>
      </c>
      <c r="F1762" s="87" t="s">
        <v>5421</v>
      </c>
      <c r="H1762" s="93"/>
      <c r="I1762" s="87" t="s">
        <v>58</v>
      </c>
      <c r="J1762" s="87" t="s">
        <v>5422</v>
      </c>
      <c r="K1762" s="90">
        <v>0.0</v>
      </c>
      <c r="L1762" s="92"/>
      <c r="M1762" s="93"/>
      <c r="N1762" s="87" t="s">
        <v>4427</v>
      </c>
      <c r="O1762" s="87" t="s">
        <v>377</v>
      </c>
      <c r="P1762" s="87" t="s">
        <v>372</v>
      </c>
    </row>
    <row r="1763" ht="15.75" customHeight="1">
      <c r="A1763" s="87" t="s">
        <v>5423</v>
      </c>
      <c r="B1763" s="88">
        <v>1.22E18</v>
      </c>
      <c r="C1763" s="87" t="s">
        <v>5424</v>
      </c>
      <c r="D1763" s="87" t="s">
        <v>87</v>
      </c>
      <c r="E1763" s="87" t="s">
        <v>88</v>
      </c>
      <c r="F1763" s="87" t="s">
        <v>5424</v>
      </c>
      <c r="I1763" s="87" t="s">
        <v>457</v>
      </c>
      <c r="J1763" s="87" t="s">
        <v>5425</v>
      </c>
      <c r="K1763" s="90">
        <v>0.0</v>
      </c>
      <c r="L1763" s="92"/>
      <c r="M1763" s="93"/>
      <c r="N1763" s="87" t="s">
        <v>4427</v>
      </c>
      <c r="O1763" s="87" t="s">
        <v>377</v>
      </c>
      <c r="P1763" s="87" t="s">
        <v>372</v>
      </c>
    </row>
    <row r="1764" ht="15.75" customHeight="1">
      <c r="A1764" s="87" t="s">
        <v>5426</v>
      </c>
      <c r="B1764" s="88">
        <v>1.22E18</v>
      </c>
      <c r="C1764" s="87" t="s">
        <v>5427</v>
      </c>
      <c r="D1764" s="87" t="s">
        <v>56</v>
      </c>
      <c r="E1764" s="87" t="s">
        <v>248</v>
      </c>
      <c r="F1764" s="87" t="s">
        <v>2769</v>
      </c>
      <c r="G1764" s="93"/>
      <c r="H1764" s="93"/>
      <c r="I1764" s="87" t="s">
        <v>58</v>
      </c>
      <c r="J1764" s="87" t="s">
        <v>3816</v>
      </c>
      <c r="K1764" s="90">
        <v>1.0</v>
      </c>
      <c r="L1764" s="92"/>
      <c r="M1764" s="93"/>
      <c r="N1764" s="87" t="s">
        <v>5428</v>
      </c>
      <c r="O1764" s="87" t="s">
        <v>377</v>
      </c>
      <c r="P1764" s="87" t="s">
        <v>372</v>
      </c>
    </row>
    <row r="1765" ht="15.75" customHeight="1">
      <c r="A1765" s="87" t="s">
        <v>5429</v>
      </c>
      <c r="B1765" s="88">
        <v>1.22E18</v>
      </c>
      <c r="C1765" s="87" t="s">
        <v>5430</v>
      </c>
      <c r="D1765" s="87" t="s">
        <v>262</v>
      </c>
      <c r="E1765" s="87" t="s">
        <v>270</v>
      </c>
      <c r="F1765" s="87" t="s">
        <v>5430</v>
      </c>
      <c r="G1765" s="93"/>
      <c r="H1765" s="93"/>
      <c r="I1765" s="87" t="s">
        <v>58</v>
      </c>
      <c r="J1765" s="87" t="s">
        <v>5431</v>
      </c>
      <c r="K1765" s="90">
        <v>0.0</v>
      </c>
      <c r="L1765" s="92"/>
      <c r="M1765" s="93"/>
      <c r="N1765" s="87" t="s">
        <v>5428</v>
      </c>
      <c r="O1765" s="87" t="s">
        <v>377</v>
      </c>
      <c r="P1765" s="87" t="s">
        <v>372</v>
      </c>
    </row>
    <row r="1766" ht="15.75" customHeight="1">
      <c r="A1766" s="87" t="s">
        <v>5432</v>
      </c>
      <c r="B1766" s="88">
        <v>1.22E18</v>
      </c>
      <c r="C1766" s="87" t="s">
        <v>5433</v>
      </c>
      <c r="D1766" s="87" t="s">
        <v>56</v>
      </c>
      <c r="E1766" s="87" t="s">
        <v>248</v>
      </c>
      <c r="F1766" s="87" t="s">
        <v>5433</v>
      </c>
      <c r="I1766" s="87" t="s">
        <v>58</v>
      </c>
      <c r="J1766" s="87" t="s">
        <v>2852</v>
      </c>
      <c r="K1766" s="90">
        <v>0.0</v>
      </c>
      <c r="L1766" s="92"/>
      <c r="M1766" s="93"/>
      <c r="N1766" s="87" t="s">
        <v>5428</v>
      </c>
      <c r="O1766" s="87" t="s">
        <v>377</v>
      </c>
      <c r="P1766" s="87" t="s">
        <v>372</v>
      </c>
    </row>
    <row r="1767" ht="15.75" customHeight="1">
      <c r="A1767" s="87" t="s">
        <v>5434</v>
      </c>
      <c r="B1767" s="88">
        <v>1.22E18</v>
      </c>
      <c r="C1767" s="87" t="s">
        <v>5435</v>
      </c>
      <c r="D1767" s="87" t="s">
        <v>87</v>
      </c>
      <c r="E1767" s="87" t="s">
        <v>88</v>
      </c>
      <c r="F1767" s="87" t="s">
        <v>5435</v>
      </c>
      <c r="I1767" s="87" t="s">
        <v>58</v>
      </c>
      <c r="J1767" s="87" t="s">
        <v>4332</v>
      </c>
      <c r="K1767" s="90">
        <v>0.0</v>
      </c>
      <c r="L1767" s="92"/>
      <c r="M1767" s="93"/>
      <c r="N1767" s="87" t="s">
        <v>5428</v>
      </c>
      <c r="O1767" s="87" t="s">
        <v>377</v>
      </c>
      <c r="P1767" s="87" t="s">
        <v>372</v>
      </c>
    </row>
    <row r="1768" ht="15.75" customHeight="1">
      <c r="A1768" s="87" t="s">
        <v>5436</v>
      </c>
      <c r="B1768" s="88">
        <v>1.22E18</v>
      </c>
      <c r="C1768" s="87" t="s">
        <v>5437</v>
      </c>
      <c r="D1768" s="87" t="s">
        <v>57</v>
      </c>
      <c r="E1768" s="87" t="s">
        <v>287</v>
      </c>
      <c r="F1768" s="87" t="s">
        <v>5437</v>
      </c>
      <c r="I1768" s="87" t="s">
        <v>58</v>
      </c>
      <c r="J1768" s="87" t="s">
        <v>5407</v>
      </c>
      <c r="K1768" s="90">
        <v>0.0</v>
      </c>
      <c r="L1768" s="92"/>
      <c r="M1768" s="93"/>
      <c r="N1768" s="87" t="s">
        <v>5400</v>
      </c>
      <c r="O1768" s="87" t="s">
        <v>377</v>
      </c>
      <c r="P1768" s="87" t="s">
        <v>372</v>
      </c>
    </row>
    <row r="1769" ht="15.75" customHeight="1">
      <c r="A1769" s="87" t="s">
        <v>5438</v>
      </c>
      <c r="B1769" s="88">
        <v>1.22E18</v>
      </c>
      <c r="C1769" s="87" t="s">
        <v>5439</v>
      </c>
      <c r="D1769" s="87" t="s">
        <v>87</v>
      </c>
      <c r="E1769" s="87" t="s">
        <v>88</v>
      </c>
      <c r="F1769" s="87" t="s">
        <v>5439</v>
      </c>
      <c r="I1769" s="87" t="s">
        <v>58</v>
      </c>
      <c r="J1769" s="87" t="s">
        <v>5440</v>
      </c>
      <c r="K1769" s="90">
        <v>0.0</v>
      </c>
      <c r="L1769" s="92"/>
      <c r="M1769" s="93"/>
      <c r="N1769" s="87" t="s">
        <v>5441</v>
      </c>
      <c r="O1769" s="87" t="s">
        <v>377</v>
      </c>
      <c r="P1769" s="87" t="s">
        <v>372</v>
      </c>
    </row>
    <row r="1770" ht="15.75" customHeight="1">
      <c r="A1770" s="87" t="s">
        <v>5442</v>
      </c>
      <c r="B1770" s="88">
        <v>1.22E18</v>
      </c>
      <c r="C1770" s="87" t="s">
        <v>5443</v>
      </c>
      <c r="D1770" s="87" t="s">
        <v>262</v>
      </c>
      <c r="E1770" s="87" t="s">
        <v>270</v>
      </c>
      <c r="F1770" s="87" t="s">
        <v>5443</v>
      </c>
      <c r="H1770" s="93"/>
      <c r="I1770" s="87" t="s">
        <v>58</v>
      </c>
      <c r="J1770" s="87" t="s">
        <v>3849</v>
      </c>
      <c r="K1770" s="90">
        <v>0.0</v>
      </c>
      <c r="L1770" s="92"/>
      <c r="M1770" s="93"/>
      <c r="N1770" s="87" t="s">
        <v>5444</v>
      </c>
      <c r="O1770" s="87" t="s">
        <v>377</v>
      </c>
      <c r="P1770" s="87" t="s">
        <v>372</v>
      </c>
    </row>
    <row r="1771" ht="15.75" customHeight="1">
      <c r="A1771" s="87" t="s">
        <v>5445</v>
      </c>
      <c r="B1771" s="88">
        <v>1.22E18</v>
      </c>
      <c r="C1771" s="87" t="s">
        <v>5446</v>
      </c>
      <c r="D1771" s="87" t="s">
        <v>87</v>
      </c>
      <c r="E1771" s="87" t="s">
        <v>102</v>
      </c>
      <c r="F1771" s="87" t="s">
        <v>5446</v>
      </c>
      <c r="I1771" s="87" t="s">
        <v>58</v>
      </c>
      <c r="J1771" s="87" t="s">
        <v>5447</v>
      </c>
      <c r="K1771" s="90">
        <v>0.0</v>
      </c>
      <c r="L1771" s="92"/>
      <c r="M1771" s="93"/>
      <c r="N1771" s="87" t="s">
        <v>2835</v>
      </c>
      <c r="O1771" s="87" t="s">
        <v>377</v>
      </c>
      <c r="P1771" s="87" t="s">
        <v>372</v>
      </c>
    </row>
    <row r="1772" ht="15.75" customHeight="1">
      <c r="A1772" s="87" t="s">
        <v>5448</v>
      </c>
      <c r="B1772" s="88">
        <v>1.22E18</v>
      </c>
      <c r="C1772" s="87" t="s">
        <v>5449</v>
      </c>
      <c r="D1772" s="87" t="s">
        <v>87</v>
      </c>
      <c r="E1772" s="87" t="s">
        <v>102</v>
      </c>
      <c r="F1772" s="87" t="s">
        <v>5449</v>
      </c>
      <c r="I1772" s="87" t="s">
        <v>58</v>
      </c>
      <c r="J1772" s="87" t="s">
        <v>5450</v>
      </c>
      <c r="K1772" s="90">
        <v>0.0</v>
      </c>
      <c r="L1772" s="92"/>
      <c r="M1772" s="93"/>
      <c r="N1772" s="87" t="s">
        <v>2835</v>
      </c>
      <c r="O1772" s="87" t="s">
        <v>377</v>
      </c>
      <c r="P1772" s="87" t="s">
        <v>372</v>
      </c>
    </row>
    <row r="1773" ht="15.75" customHeight="1">
      <c r="A1773" s="87" t="s">
        <v>5451</v>
      </c>
      <c r="B1773" s="88">
        <v>1.22E18</v>
      </c>
      <c r="C1773" s="87" t="s">
        <v>5452</v>
      </c>
      <c r="D1773" s="87" t="s">
        <v>87</v>
      </c>
      <c r="E1773" s="87" t="s">
        <v>88</v>
      </c>
      <c r="F1773" s="118" t="s">
        <v>5452</v>
      </c>
      <c r="G1773" s="130"/>
      <c r="H1773" s="119"/>
      <c r="I1773" s="87" t="s">
        <v>5012</v>
      </c>
      <c r="J1773" s="87" t="s">
        <v>5453</v>
      </c>
      <c r="K1773" s="90">
        <v>0.0</v>
      </c>
      <c r="L1773" s="92"/>
      <c r="M1773" s="93"/>
      <c r="N1773" s="87" t="s">
        <v>1772</v>
      </c>
      <c r="O1773" s="87" t="s">
        <v>377</v>
      </c>
      <c r="P1773" s="87" t="s">
        <v>372</v>
      </c>
    </row>
    <row r="1774" ht="15.75" customHeight="1">
      <c r="A1774" s="87" t="s">
        <v>5454</v>
      </c>
      <c r="B1774" s="88">
        <v>1.22E18</v>
      </c>
      <c r="C1774" s="87" t="s">
        <v>5455</v>
      </c>
      <c r="D1774" s="87" t="s">
        <v>87</v>
      </c>
      <c r="E1774" s="87" t="s">
        <v>88</v>
      </c>
      <c r="F1774" s="118" t="s">
        <v>5455</v>
      </c>
      <c r="G1774" s="130"/>
      <c r="H1774" s="119"/>
      <c r="I1774" s="87" t="s">
        <v>58</v>
      </c>
      <c r="J1774" s="87" t="s">
        <v>5456</v>
      </c>
      <c r="K1774" s="90">
        <v>0.0</v>
      </c>
      <c r="L1774" s="92"/>
      <c r="M1774" s="93"/>
      <c r="N1774" s="87" t="s">
        <v>5457</v>
      </c>
      <c r="O1774" s="87" t="s">
        <v>377</v>
      </c>
      <c r="P1774" s="87" t="s">
        <v>372</v>
      </c>
    </row>
    <row r="1775" ht="15.75" customHeight="1">
      <c r="A1775" s="87" t="s">
        <v>5458</v>
      </c>
      <c r="B1775" s="88">
        <v>1.22E18</v>
      </c>
      <c r="C1775" s="87" t="s">
        <v>5459</v>
      </c>
      <c r="D1775" s="87" t="s">
        <v>87</v>
      </c>
      <c r="E1775" s="87" t="s">
        <v>88</v>
      </c>
      <c r="F1775" s="118" t="s">
        <v>5459</v>
      </c>
      <c r="G1775" s="130"/>
      <c r="H1775" s="119"/>
      <c r="I1775" s="87" t="s">
        <v>58</v>
      </c>
      <c r="J1775" s="87" t="s">
        <v>5460</v>
      </c>
      <c r="K1775" s="90">
        <v>0.0</v>
      </c>
      <c r="L1775" s="92"/>
      <c r="M1775" s="93"/>
      <c r="N1775" s="87" t="s">
        <v>5457</v>
      </c>
      <c r="O1775" s="87" t="s">
        <v>377</v>
      </c>
      <c r="P1775" s="87" t="s">
        <v>372</v>
      </c>
    </row>
    <row r="1776" ht="15.75" customHeight="1">
      <c r="A1776" s="87" t="s">
        <v>5461</v>
      </c>
      <c r="B1776" s="88">
        <v>1.22E18</v>
      </c>
      <c r="C1776" s="87" t="s">
        <v>5462</v>
      </c>
      <c r="D1776" s="87" t="s">
        <v>262</v>
      </c>
      <c r="E1776" s="87" t="s">
        <v>270</v>
      </c>
      <c r="F1776" s="87" t="s">
        <v>1749</v>
      </c>
      <c r="H1776" s="93"/>
      <c r="I1776" s="87" t="s">
        <v>58</v>
      </c>
      <c r="J1776" s="87" t="s">
        <v>5463</v>
      </c>
      <c r="K1776" s="90">
        <v>0.0</v>
      </c>
      <c r="L1776" s="92"/>
      <c r="M1776" s="93"/>
      <c r="N1776" s="87" t="s">
        <v>5457</v>
      </c>
      <c r="O1776" s="87" t="s">
        <v>377</v>
      </c>
      <c r="P1776" s="87" t="s">
        <v>372</v>
      </c>
    </row>
    <row r="1777" ht="15.75" customHeight="1">
      <c r="A1777" s="87" t="s">
        <v>5464</v>
      </c>
      <c r="B1777" s="88">
        <v>1.22E18</v>
      </c>
      <c r="C1777" s="87" t="s">
        <v>5465</v>
      </c>
      <c r="D1777" s="87" t="s">
        <v>87</v>
      </c>
      <c r="E1777" s="87" t="s">
        <v>88</v>
      </c>
      <c r="F1777" s="87" t="s">
        <v>5465</v>
      </c>
      <c r="I1777" s="87" t="s">
        <v>5012</v>
      </c>
      <c r="J1777" s="87" t="s">
        <v>5466</v>
      </c>
      <c r="K1777" s="90">
        <v>0.0</v>
      </c>
      <c r="L1777" s="92"/>
      <c r="M1777" s="93"/>
      <c r="N1777" s="87" t="s">
        <v>5467</v>
      </c>
      <c r="O1777" s="87" t="s">
        <v>377</v>
      </c>
      <c r="P1777" s="87" t="s">
        <v>372</v>
      </c>
    </row>
    <row r="1778" ht="15.75" customHeight="1">
      <c r="A1778" s="87" t="s">
        <v>5468</v>
      </c>
      <c r="B1778" s="88">
        <v>1.22E18</v>
      </c>
      <c r="C1778" s="87" t="s">
        <v>5469</v>
      </c>
      <c r="D1778" s="87" t="s">
        <v>87</v>
      </c>
      <c r="E1778" s="87" t="s">
        <v>88</v>
      </c>
      <c r="F1778" s="87" t="s">
        <v>5469</v>
      </c>
      <c r="I1778" s="87" t="s">
        <v>58</v>
      </c>
      <c r="J1778" s="87" t="s">
        <v>4775</v>
      </c>
      <c r="K1778" s="90">
        <v>0.0</v>
      </c>
      <c r="L1778" s="92"/>
      <c r="M1778" s="93"/>
      <c r="N1778" s="87" t="s">
        <v>5467</v>
      </c>
      <c r="O1778" s="87" t="s">
        <v>377</v>
      </c>
      <c r="P1778" s="87" t="s">
        <v>372</v>
      </c>
    </row>
    <row r="1779" ht="15.75" customHeight="1">
      <c r="A1779" s="87" t="s">
        <v>5470</v>
      </c>
      <c r="B1779" s="88">
        <v>1.22E18</v>
      </c>
      <c r="C1779" s="87" t="s">
        <v>5471</v>
      </c>
      <c r="D1779" s="87" t="s">
        <v>262</v>
      </c>
      <c r="E1779" s="87" t="s">
        <v>267</v>
      </c>
      <c r="F1779" s="118" t="s">
        <v>5471</v>
      </c>
      <c r="G1779" s="130"/>
      <c r="H1779" s="119"/>
      <c r="I1779" s="87" t="s">
        <v>58</v>
      </c>
      <c r="J1779" s="87" t="s">
        <v>5472</v>
      </c>
      <c r="K1779" s="90">
        <v>0.0</v>
      </c>
      <c r="L1779" s="92"/>
      <c r="M1779" s="93"/>
      <c r="N1779" s="87" t="s">
        <v>2364</v>
      </c>
      <c r="O1779" s="87" t="s">
        <v>377</v>
      </c>
      <c r="P1779" s="87" t="s">
        <v>372</v>
      </c>
    </row>
    <row r="1780" ht="15.75" customHeight="1">
      <c r="A1780" s="87" t="s">
        <v>5473</v>
      </c>
      <c r="B1780" s="88">
        <v>1.22E18</v>
      </c>
      <c r="C1780" s="87" t="s">
        <v>5474</v>
      </c>
      <c r="D1780" s="87" t="s">
        <v>87</v>
      </c>
      <c r="E1780" s="87" t="s">
        <v>88</v>
      </c>
      <c r="F1780" s="87" t="s">
        <v>5474</v>
      </c>
      <c r="I1780" s="87" t="s">
        <v>58</v>
      </c>
      <c r="J1780" s="87" t="s">
        <v>5475</v>
      </c>
      <c r="K1780" s="90">
        <v>0.0</v>
      </c>
      <c r="L1780" s="92"/>
      <c r="M1780" s="93"/>
      <c r="N1780" s="87" t="s">
        <v>2364</v>
      </c>
      <c r="O1780" s="87" t="s">
        <v>377</v>
      </c>
      <c r="P1780" s="87" t="s">
        <v>372</v>
      </c>
    </row>
    <row r="1781" ht="15.75" customHeight="1">
      <c r="A1781" s="87" t="s">
        <v>5476</v>
      </c>
      <c r="B1781" s="88">
        <v>1.22E18</v>
      </c>
      <c r="C1781" s="87" t="s">
        <v>5477</v>
      </c>
      <c r="D1781" s="87" t="s">
        <v>87</v>
      </c>
      <c r="E1781" s="87" t="s">
        <v>88</v>
      </c>
      <c r="F1781" s="118" t="s">
        <v>5477</v>
      </c>
      <c r="G1781" s="130"/>
      <c r="H1781" s="119"/>
      <c r="I1781" s="87" t="s">
        <v>58</v>
      </c>
      <c r="J1781" s="87" t="s">
        <v>5478</v>
      </c>
      <c r="K1781" s="90">
        <v>0.0</v>
      </c>
      <c r="L1781" s="92"/>
      <c r="M1781" s="93"/>
      <c r="N1781" s="87" t="s">
        <v>2364</v>
      </c>
      <c r="O1781" s="87" t="s">
        <v>377</v>
      </c>
      <c r="P1781" s="87" t="s">
        <v>372</v>
      </c>
    </row>
    <row r="1782" ht="15.75" customHeight="1">
      <c r="A1782" s="87" t="s">
        <v>5479</v>
      </c>
      <c r="B1782" s="88">
        <v>1.22E18</v>
      </c>
      <c r="C1782" s="87" t="s">
        <v>5480</v>
      </c>
      <c r="D1782" s="87" t="s">
        <v>262</v>
      </c>
      <c r="E1782" s="87" t="s">
        <v>267</v>
      </c>
      <c r="F1782" s="118" t="s">
        <v>5480</v>
      </c>
      <c r="G1782" s="130"/>
      <c r="H1782" s="119"/>
      <c r="I1782" s="87" t="s">
        <v>58</v>
      </c>
      <c r="J1782" s="87" t="s">
        <v>5481</v>
      </c>
      <c r="K1782" s="90">
        <v>0.0</v>
      </c>
      <c r="L1782" s="92"/>
      <c r="M1782" s="93"/>
      <c r="N1782" s="87" t="s">
        <v>2364</v>
      </c>
      <c r="O1782" s="87" t="s">
        <v>377</v>
      </c>
      <c r="P1782" s="87" t="s">
        <v>372</v>
      </c>
    </row>
    <row r="1783" ht="15.75" customHeight="1">
      <c r="A1783" s="87" t="s">
        <v>5482</v>
      </c>
      <c r="B1783" s="88">
        <v>1.22E18</v>
      </c>
      <c r="C1783" s="87" t="s">
        <v>5483</v>
      </c>
      <c r="D1783" s="87" t="s">
        <v>262</v>
      </c>
      <c r="E1783" s="87" t="s">
        <v>267</v>
      </c>
      <c r="F1783" s="118" t="s">
        <v>5483</v>
      </c>
      <c r="G1783" s="130"/>
      <c r="H1783" s="119"/>
      <c r="I1783" s="87" t="s">
        <v>58</v>
      </c>
      <c r="J1783" s="87" t="s">
        <v>5484</v>
      </c>
      <c r="K1783" s="90">
        <v>0.0</v>
      </c>
      <c r="L1783" s="92"/>
      <c r="M1783" s="93"/>
      <c r="N1783" s="87" t="s">
        <v>2364</v>
      </c>
      <c r="O1783" s="87" t="s">
        <v>377</v>
      </c>
      <c r="P1783" s="87" t="s">
        <v>372</v>
      </c>
    </row>
    <row r="1784" ht="15.75" customHeight="1">
      <c r="A1784" s="87" t="s">
        <v>5485</v>
      </c>
      <c r="B1784" s="88">
        <v>1.22E18</v>
      </c>
      <c r="C1784" s="87" t="s">
        <v>5486</v>
      </c>
      <c r="D1784" s="87" t="s">
        <v>87</v>
      </c>
      <c r="E1784" s="87" t="s">
        <v>88</v>
      </c>
      <c r="F1784" s="118" t="s">
        <v>5486</v>
      </c>
      <c r="G1784" s="130"/>
      <c r="H1784" s="119"/>
      <c r="I1784" s="87" t="s">
        <v>58</v>
      </c>
      <c r="J1784" s="87" t="s">
        <v>5487</v>
      </c>
      <c r="K1784" s="90">
        <v>0.0</v>
      </c>
      <c r="L1784" s="92"/>
      <c r="M1784" s="93"/>
      <c r="N1784" s="87" t="s">
        <v>2364</v>
      </c>
      <c r="O1784" s="87" t="s">
        <v>377</v>
      </c>
      <c r="P1784" s="87" t="s">
        <v>372</v>
      </c>
    </row>
    <row r="1785" ht="15.75" customHeight="1">
      <c r="A1785" s="87" t="s">
        <v>5488</v>
      </c>
      <c r="B1785" s="88">
        <v>1.22E18</v>
      </c>
      <c r="C1785" s="87" t="s">
        <v>5489</v>
      </c>
      <c r="D1785" s="87" t="s">
        <v>87</v>
      </c>
      <c r="E1785" s="87" t="s">
        <v>88</v>
      </c>
      <c r="F1785" s="118" t="s">
        <v>5489</v>
      </c>
      <c r="G1785" s="130"/>
      <c r="H1785" s="119"/>
      <c r="I1785" s="87" t="s">
        <v>58</v>
      </c>
      <c r="J1785" s="87" t="s">
        <v>5490</v>
      </c>
      <c r="K1785" s="90">
        <v>0.0</v>
      </c>
      <c r="L1785" s="92"/>
      <c r="M1785" s="93"/>
      <c r="N1785" s="87" t="s">
        <v>2364</v>
      </c>
      <c r="O1785" s="87" t="s">
        <v>377</v>
      </c>
      <c r="P1785" s="87" t="s">
        <v>372</v>
      </c>
    </row>
    <row r="1786" ht="15.75" customHeight="1">
      <c r="A1786" s="87" t="s">
        <v>5491</v>
      </c>
      <c r="B1786" s="88">
        <v>1.22E18</v>
      </c>
      <c r="C1786" s="87" t="s">
        <v>5492</v>
      </c>
      <c r="D1786" s="87" t="s">
        <v>87</v>
      </c>
      <c r="E1786" s="87" t="s">
        <v>88</v>
      </c>
      <c r="F1786" s="87" t="s">
        <v>5492</v>
      </c>
      <c r="I1786" s="87" t="s">
        <v>58</v>
      </c>
      <c r="J1786" s="87" t="s">
        <v>5493</v>
      </c>
      <c r="K1786" s="90">
        <v>0.0</v>
      </c>
      <c r="L1786" s="92"/>
      <c r="M1786" s="93"/>
      <c r="N1786" s="87" t="s">
        <v>2364</v>
      </c>
      <c r="O1786" s="87" t="s">
        <v>377</v>
      </c>
      <c r="P1786" s="87" t="s">
        <v>372</v>
      </c>
    </row>
    <row r="1787" ht="15.75" customHeight="1">
      <c r="A1787" s="87" t="s">
        <v>5494</v>
      </c>
      <c r="B1787" s="88">
        <v>1.22E18</v>
      </c>
      <c r="C1787" s="87" t="s">
        <v>5495</v>
      </c>
      <c r="D1787" s="87" t="s">
        <v>262</v>
      </c>
      <c r="E1787" s="87" t="s">
        <v>267</v>
      </c>
      <c r="F1787" s="87" t="s">
        <v>5495</v>
      </c>
      <c r="I1787" s="87" t="s">
        <v>58</v>
      </c>
      <c r="J1787" s="87" t="s">
        <v>5496</v>
      </c>
      <c r="K1787" s="90">
        <v>0.0</v>
      </c>
      <c r="L1787" s="92"/>
      <c r="M1787" s="93"/>
      <c r="N1787" s="87" t="s">
        <v>2364</v>
      </c>
      <c r="O1787" s="87" t="s">
        <v>377</v>
      </c>
      <c r="P1787" s="87" t="s">
        <v>372</v>
      </c>
    </row>
    <row r="1788" ht="15.75" customHeight="1">
      <c r="A1788" s="87" t="s">
        <v>5497</v>
      </c>
      <c r="B1788" s="88">
        <v>1.22E18</v>
      </c>
      <c r="C1788" s="87" t="s">
        <v>5498</v>
      </c>
      <c r="D1788" s="87" t="s">
        <v>262</v>
      </c>
      <c r="E1788" s="87" t="s">
        <v>267</v>
      </c>
      <c r="F1788" s="87" t="s">
        <v>5498</v>
      </c>
      <c r="I1788" s="87" t="s">
        <v>58</v>
      </c>
      <c r="J1788" s="87" t="s">
        <v>5499</v>
      </c>
      <c r="K1788" s="90">
        <v>0.0</v>
      </c>
      <c r="L1788" s="92"/>
      <c r="M1788" s="93"/>
      <c r="N1788" s="87" t="s">
        <v>2364</v>
      </c>
      <c r="O1788" s="87" t="s">
        <v>377</v>
      </c>
      <c r="P1788" s="87" t="s">
        <v>372</v>
      </c>
    </row>
    <row r="1789" ht="15.75" customHeight="1">
      <c r="A1789" s="87" t="s">
        <v>5500</v>
      </c>
      <c r="B1789" s="88">
        <v>1.22E18</v>
      </c>
      <c r="C1789" s="87" t="s">
        <v>5501</v>
      </c>
      <c r="D1789" s="87" t="s">
        <v>87</v>
      </c>
      <c r="E1789" s="87" t="s">
        <v>88</v>
      </c>
      <c r="F1789" s="87" t="s">
        <v>5501</v>
      </c>
      <c r="I1789" s="87" t="s">
        <v>58</v>
      </c>
      <c r="J1789" s="87" t="s">
        <v>5502</v>
      </c>
      <c r="K1789" s="90">
        <v>0.0</v>
      </c>
      <c r="L1789" s="92"/>
      <c r="M1789" s="93"/>
      <c r="N1789" s="87" t="s">
        <v>2364</v>
      </c>
      <c r="O1789" s="87" t="s">
        <v>377</v>
      </c>
      <c r="P1789" s="87" t="s">
        <v>372</v>
      </c>
    </row>
    <row r="1790" ht="15.75" customHeight="1">
      <c r="A1790" s="87" t="s">
        <v>5503</v>
      </c>
      <c r="B1790" s="88">
        <v>1.22E18</v>
      </c>
      <c r="C1790" s="87" t="s">
        <v>5504</v>
      </c>
      <c r="D1790" s="87" t="s">
        <v>87</v>
      </c>
      <c r="E1790" s="87" t="s">
        <v>88</v>
      </c>
      <c r="F1790" s="87" t="s">
        <v>5504</v>
      </c>
      <c r="I1790" s="87" t="s">
        <v>58</v>
      </c>
      <c r="J1790" s="87" t="s">
        <v>5505</v>
      </c>
      <c r="K1790" s="90">
        <v>0.0</v>
      </c>
      <c r="L1790" s="92"/>
      <c r="M1790" s="93"/>
      <c r="N1790" s="87" t="s">
        <v>2364</v>
      </c>
      <c r="O1790" s="87" t="s">
        <v>377</v>
      </c>
      <c r="P1790" s="87" t="s">
        <v>372</v>
      </c>
    </row>
    <row r="1791" ht="15.75" customHeight="1">
      <c r="A1791" s="87" t="s">
        <v>5506</v>
      </c>
      <c r="B1791" s="88">
        <v>1.22E18</v>
      </c>
      <c r="C1791" s="87" t="s">
        <v>5507</v>
      </c>
      <c r="D1791" s="87" t="s">
        <v>87</v>
      </c>
      <c r="E1791" s="87" t="s">
        <v>88</v>
      </c>
      <c r="F1791" s="87" t="s">
        <v>5507</v>
      </c>
      <c r="I1791" s="87" t="s">
        <v>58</v>
      </c>
      <c r="J1791" s="87" t="s">
        <v>5508</v>
      </c>
      <c r="K1791" s="90">
        <v>0.0</v>
      </c>
      <c r="L1791" s="92"/>
      <c r="M1791" s="93"/>
      <c r="N1791" s="87" t="s">
        <v>2364</v>
      </c>
      <c r="O1791" s="87" t="s">
        <v>377</v>
      </c>
      <c r="P1791" s="87" t="s">
        <v>372</v>
      </c>
    </row>
    <row r="1792" ht="15.75" customHeight="1">
      <c r="A1792" s="87" t="s">
        <v>5509</v>
      </c>
      <c r="B1792" s="88">
        <v>1.22E18</v>
      </c>
      <c r="C1792" s="87" t="s">
        <v>5510</v>
      </c>
      <c r="D1792" s="87" t="s">
        <v>87</v>
      </c>
      <c r="E1792" s="87" t="s">
        <v>88</v>
      </c>
      <c r="F1792" s="87" t="s">
        <v>5510</v>
      </c>
      <c r="I1792" s="87" t="s">
        <v>58</v>
      </c>
      <c r="J1792" s="87" t="s">
        <v>5511</v>
      </c>
      <c r="K1792" s="90">
        <v>0.0</v>
      </c>
      <c r="L1792" s="92"/>
      <c r="M1792" s="93"/>
      <c r="N1792" s="87" t="s">
        <v>2364</v>
      </c>
      <c r="O1792" s="87" t="s">
        <v>377</v>
      </c>
      <c r="P1792" s="87" t="s">
        <v>372</v>
      </c>
    </row>
    <row r="1793" ht="15.75" customHeight="1">
      <c r="A1793" s="87" t="s">
        <v>5512</v>
      </c>
      <c r="B1793" s="88">
        <v>1.22E18</v>
      </c>
      <c r="C1793" s="87" t="s">
        <v>5513</v>
      </c>
      <c r="D1793" s="87" t="s">
        <v>87</v>
      </c>
      <c r="E1793" s="87" t="s">
        <v>88</v>
      </c>
      <c r="F1793" s="87" t="s">
        <v>5513</v>
      </c>
      <c r="I1793" s="87" t="s">
        <v>58</v>
      </c>
      <c r="J1793" s="87" t="s">
        <v>5514</v>
      </c>
      <c r="K1793" s="90">
        <v>0.0</v>
      </c>
      <c r="L1793" s="92"/>
      <c r="M1793" s="93"/>
      <c r="N1793" s="87" t="s">
        <v>2364</v>
      </c>
      <c r="O1793" s="87" t="s">
        <v>377</v>
      </c>
      <c r="P1793" s="87" t="s">
        <v>372</v>
      </c>
    </row>
    <row r="1794" ht="15.75" customHeight="1">
      <c r="A1794" s="87" t="s">
        <v>5515</v>
      </c>
      <c r="B1794" s="88">
        <v>1.22E18</v>
      </c>
      <c r="C1794" s="87" t="s">
        <v>5516</v>
      </c>
      <c r="D1794" s="87" t="s">
        <v>262</v>
      </c>
      <c r="E1794" s="87" t="s">
        <v>278</v>
      </c>
      <c r="F1794" s="87" t="s">
        <v>5516</v>
      </c>
      <c r="H1794" s="93"/>
      <c r="I1794" s="87" t="s">
        <v>58</v>
      </c>
      <c r="J1794" s="87" t="s">
        <v>4240</v>
      </c>
      <c r="L1794" s="92"/>
      <c r="M1794" s="93"/>
      <c r="N1794" s="87" t="s">
        <v>5517</v>
      </c>
      <c r="O1794" s="87" t="s">
        <v>377</v>
      </c>
      <c r="P1794" s="87" t="s">
        <v>2565</v>
      </c>
    </row>
    <row r="1795" ht="15.75" customHeight="1">
      <c r="A1795" s="87" t="s">
        <v>5518</v>
      </c>
      <c r="B1795" s="88">
        <v>1.22E18</v>
      </c>
      <c r="C1795" s="87" t="s">
        <v>5519</v>
      </c>
      <c r="D1795" s="87" t="s">
        <v>262</v>
      </c>
      <c r="E1795" s="87" t="s">
        <v>263</v>
      </c>
      <c r="F1795" s="87" t="s">
        <v>5519</v>
      </c>
      <c r="I1795" s="87" t="s">
        <v>58</v>
      </c>
      <c r="J1795" s="87" t="s">
        <v>5520</v>
      </c>
      <c r="K1795" s="90">
        <v>0.0</v>
      </c>
      <c r="L1795" s="92"/>
      <c r="M1795" s="93"/>
      <c r="N1795" s="87" t="s">
        <v>3295</v>
      </c>
      <c r="O1795" s="87" t="s">
        <v>377</v>
      </c>
      <c r="P1795" s="87" t="s">
        <v>372</v>
      </c>
    </row>
    <row r="1796" ht="15.75" customHeight="1">
      <c r="A1796" s="87" t="s">
        <v>5521</v>
      </c>
      <c r="B1796" s="88">
        <v>1.22E18</v>
      </c>
      <c r="C1796" s="87" t="s">
        <v>5522</v>
      </c>
      <c r="D1796" s="87" t="s">
        <v>56</v>
      </c>
      <c r="E1796" s="87" t="s">
        <v>154</v>
      </c>
      <c r="F1796" s="87" t="s">
        <v>5522</v>
      </c>
      <c r="H1796" s="93"/>
      <c r="I1796" s="87" t="s">
        <v>58</v>
      </c>
      <c r="J1796" s="87" t="s">
        <v>5523</v>
      </c>
      <c r="K1796" s="90">
        <v>0.0</v>
      </c>
      <c r="L1796" s="92"/>
      <c r="M1796" s="93"/>
      <c r="N1796" s="87" t="s">
        <v>5524</v>
      </c>
      <c r="O1796" s="87" t="s">
        <v>377</v>
      </c>
      <c r="P1796" s="87" t="s">
        <v>372</v>
      </c>
    </row>
    <row r="1797" ht="15.75" customHeight="1">
      <c r="A1797" s="87" t="s">
        <v>5525</v>
      </c>
      <c r="B1797" s="88">
        <v>1.22E18</v>
      </c>
      <c r="C1797" s="87" t="s">
        <v>5526</v>
      </c>
      <c r="D1797" s="87" t="s">
        <v>87</v>
      </c>
      <c r="E1797" s="87" t="s">
        <v>88</v>
      </c>
      <c r="F1797" s="87" t="s">
        <v>5526</v>
      </c>
      <c r="I1797" s="87" t="s">
        <v>327</v>
      </c>
      <c r="J1797" s="87" t="s">
        <v>5527</v>
      </c>
      <c r="K1797" s="90">
        <v>1000.0</v>
      </c>
      <c r="L1797" s="92"/>
      <c r="M1797" s="93"/>
      <c r="N1797" s="93"/>
      <c r="O1797" s="87" t="s">
        <v>377</v>
      </c>
      <c r="P1797" s="87" t="s">
        <v>372</v>
      </c>
    </row>
    <row r="1798" ht="15.75" customHeight="1">
      <c r="A1798" s="87" t="s">
        <v>5528</v>
      </c>
      <c r="B1798" s="88">
        <v>1.22E18</v>
      </c>
      <c r="C1798" s="87" t="s">
        <v>5529</v>
      </c>
      <c r="D1798" s="87" t="s">
        <v>87</v>
      </c>
      <c r="E1798" s="87" t="s">
        <v>88</v>
      </c>
      <c r="F1798" s="87" t="s">
        <v>5529</v>
      </c>
      <c r="I1798" s="87" t="s">
        <v>58</v>
      </c>
      <c r="J1798" s="87" t="s">
        <v>449</v>
      </c>
      <c r="K1798" s="90">
        <v>0.0</v>
      </c>
      <c r="L1798" s="92"/>
      <c r="M1798" s="93"/>
      <c r="N1798" s="87" t="s">
        <v>4690</v>
      </c>
      <c r="O1798" s="87" t="s">
        <v>377</v>
      </c>
      <c r="P1798" s="87" t="s">
        <v>372</v>
      </c>
    </row>
    <row r="1799" ht="15.75" customHeight="1">
      <c r="A1799" s="87" t="s">
        <v>5530</v>
      </c>
      <c r="B1799" s="88">
        <v>1.22E18</v>
      </c>
      <c r="C1799" s="87" t="s">
        <v>5531</v>
      </c>
      <c r="D1799" s="87" t="s">
        <v>87</v>
      </c>
      <c r="E1799" s="87" t="s">
        <v>228</v>
      </c>
      <c r="F1799" s="87" t="s">
        <v>373</v>
      </c>
      <c r="H1799" s="93"/>
      <c r="I1799" s="87" t="s">
        <v>340</v>
      </c>
      <c r="J1799" s="87" t="s">
        <v>5532</v>
      </c>
      <c r="K1799" s="90">
        <v>730.0</v>
      </c>
      <c r="L1799" s="92"/>
      <c r="M1799" s="93"/>
      <c r="N1799" s="87" t="s">
        <v>2405</v>
      </c>
      <c r="O1799" s="87" t="s">
        <v>377</v>
      </c>
      <c r="P1799" s="87" t="s">
        <v>372</v>
      </c>
    </row>
    <row r="1800" ht="15.75" customHeight="1">
      <c r="A1800" s="87" t="s">
        <v>5533</v>
      </c>
      <c r="B1800" s="88">
        <v>1.22E18</v>
      </c>
      <c r="C1800" s="87" t="s">
        <v>5534</v>
      </c>
      <c r="D1800" s="87" t="s">
        <v>87</v>
      </c>
      <c r="E1800" s="87" t="s">
        <v>228</v>
      </c>
      <c r="F1800" s="87" t="s">
        <v>373</v>
      </c>
      <c r="H1800" s="93"/>
      <c r="I1800" s="87" t="s">
        <v>340</v>
      </c>
      <c r="J1800" s="87" t="s">
        <v>4552</v>
      </c>
      <c r="K1800" s="90">
        <v>800.0</v>
      </c>
      <c r="L1800" s="92"/>
      <c r="M1800" s="93"/>
      <c r="N1800" s="87" t="s">
        <v>2405</v>
      </c>
      <c r="O1800" s="87" t="s">
        <v>377</v>
      </c>
      <c r="P1800" s="87" t="s">
        <v>372</v>
      </c>
    </row>
    <row r="1801" ht="15.75" customHeight="1">
      <c r="A1801" s="87" t="s">
        <v>5535</v>
      </c>
      <c r="B1801" s="88">
        <v>1.22E18</v>
      </c>
      <c r="C1801" s="87" t="s">
        <v>5536</v>
      </c>
      <c r="D1801" s="87" t="s">
        <v>87</v>
      </c>
      <c r="E1801" s="87" t="s">
        <v>228</v>
      </c>
      <c r="F1801" s="87" t="s">
        <v>373</v>
      </c>
      <c r="H1801" s="93"/>
      <c r="I1801" s="87" t="s">
        <v>340</v>
      </c>
      <c r="J1801" s="87" t="s">
        <v>5537</v>
      </c>
      <c r="K1801" s="90">
        <v>955.0</v>
      </c>
      <c r="L1801" s="92"/>
      <c r="M1801" s="93"/>
      <c r="N1801" s="87" t="s">
        <v>2405</v>
      </c>
      <c r="O1801" s="87" t="s">
        <v>377</v>
      </c>
      <c r="P1801" s="87" t="s">
        <v>372</v>
      </c>
    </row>
    <row r="1802" ht="15.75" customHeight="1">
      <c r="A1802" s="87" t="s">
        <v>5538</v>
      </c>
      <c r="B1802" s="88">
        <v>1.22E18</v>
      </c>
      <c r="C1802" s="87" t="s">
        <v>5539</v>
      </c>
      <c r="D1802" s="87" t="s">
        <v>87</v>
      </c>
      <c r="E1802" s="87" t="s">
        <v>228</v>
      </c>
      <c r="F1802" s="87" t="s">
        <v>373</v>
      </c>
      <c r="H1802" s="93"/>
      <c r="I1802" s="87" t="s">
        <v>340</v>
      </c>
      <c r="J1802" s="87" t="s">
        <v>5540</v>
      </c>
      <c r="K1802" s="90">
        <v>100.0</v>
      </c>
      <c r="L1802" s="92"/>
      <c r="M1802" s="93"/>
      <c r="N1802" s="87" t="s">
        <v>408</v>
      </c>
      <c r="O1802" s="87" t="s">
        <v>377</v>
      </c>
      <c r="P1802" s="87" t="s">
        <v>372</v>
      </c>
    </row>
    <row r="1803" ht="15.75" customHeight="1">
      <c r="A1803" s="87" t="s">
        <v>5541</v>
      </c>
      <c r="B1803" s="88">
        <v>1.22E18</v>
      </c>
      <c r="C1803" s="87" t="s">
        <v>5542</v>
      </c>
      <c r="D1803" s="87" t="s">
        <v>87</v>
      </c>
      <c r="E1803" s="87" t="s">
        <v>228</v>
      </c>
      <c r="F1803" s="87" t="s">
        <v>373</v>
      </c>
      <c r="H1803" s="93"/>
      <c r="I1803" s="87" t="s">
        <v>340</v>
      </c>
      <c r="J1803" s="87" t="s">
        <v>5540</v>
      </c>
      <c r="K1803" s="90">
        <v>50.0</v>
      </c>
      <c r="L1803" s="92"/>
      <c r="M1803" s="93"/>
      <c r="N1803" s="87" t="s">
        <v>408</v>
      </c>
      <c r="O1803" s="87" t="s">
        <v>377</v>
      </c>
      <c r="P1803" s="87" t="s">
        <v>372</v>
      </c>
    </row>
    <row r="1804" ht="15.75" customHeight="1">
      <c r="A1804" s="87" t="s">
        <v>5543</v>
      </c>
      <c r="B1804" s="88">
        <v>1.22E18</v>
      </c>
      <c r="C1804" s="87" t="s">
        <v>5544</v>
      </c>
      <c r="D1804" s="87" t="s">
        <v>87</v>
      </c>
      <c r="E1804" s="87" t="s">
        <v>228</v>
      </c>
      <c r="F1804" s="87" t="s">
        <v>373</v>
      </c>
      <c r="H1804" s="93"/>
      <c r="I1804" s="87" t="s">
        <v>340</v>
      </c>
      <c r="J1804" s="87" t="s">
        <v>5545</v>
      </c>
      <c r="K1804" s="90">
        <v>747.0</v>
      </c>
      <c r="L1804" s="92"/>
      <c r="M1804" s="93"/>
      <c r="N1804" s="87" t="s">
        <v>408</v>
      </c>
      <c r="O1804" s="87" t="s">
        <v>377</v>
      </c>
      <c r="P1804" s="87" t="s">
        <v>372</v>
      </c>
    </row>
    <row r="1805" ht="15.75" customHeight="1">
      <c r="A1805" s="87" t="s">
        <v>5546</v>
      </c>
      <c r="B1805" s="88">
        <v>1.22E18</v>
      </c>
      <c r="C1805" s="87" t="s">
        <v>5547</v>
      </c>
      <c r="D1805" s="87" t="s">
        <v>262</v>
      </c>
      <c r="E1805" s="87" t="s">
        <v>263</v>
      </c>
      <c r="F1805" s="87" t="s">
        <v>415</v>
      </c>
      <c r="G1805" s="93"/>
      <c r="H1805" s="93"/>
      <c r="I1805" s="87" t="s">
        <v>58</v>
      </c>
      <c r="J1805" s="87" t="s">
        <v>5548</v>
      </c>
      <c r="K1805" s="90">
        <v>1.0</v>
      </c>
      <c r="L1805" s="92"/>
      <c r="M1805" s="93"/>
      <c r="N1805" s="87" t="s">
        <v>5549</v>
      </c>
      <c r="O1805" s="87" t="s">
        <v>377</v>
      </c>
      <c r="P1805" s="87" t="s">
        <v>372</v>
      </c>
    </row>
    <row r="1806" ht="15.75" customHeight="1">
      <c r="A1806" s="87" t="s">
        <v>5550</v>
      </c>
      <c r="B1806" s="88">
        <v>1.22E18</v>
      </c>
      <c r="C1806" s="87" t="s">
        <v>5551</v>
      </c>
      <c r="D1806" s="87" t="s">
        <v>262</v>
      </c>
      <c r="E1806" s="87" t="s">
        <v>263</v>
      </c>
      <c r="F1806" s="87" t="s">
        <v>415</v>
      </c>
      <c r="G1806" s="93"/>
      <c r="H1806" s="93"/>
      <c r="I1806" s="87" t="s">
        <v>58</v>
      </c>
      <c r="J1806" s="87" t="s">
        <v>5552</v>
      </c>
      <c r="K1806" s="90">
        <v>1.0</v>
      </c>
      <c r="L1806" s="92"/>
      <c r="M1806" s="93"/>
      <c r="N1806" s="87" t="s">
        <v>5549</v>
      </c>
      <c r="O1806" s="87" t="s">
        <v>377</v>
      </c>
      <c r="P1806" s="87" t="s">
        <v>372</v>
      </c>
    </row>
    <row r="1807" ht="15.75" customHeight="1">
      <c r="A1807" s="87" t="s">
        <v>5553</v>
      </c>
      <c r="B1807" s="88">
        <v>1.22E18</v>
      </c>
      <c r="C1807" s="87" t="s">
        <v>5554</v>
      </c>
      <c r="D1807" s="87" t="s">
        <v>262</v>
      </c>
      <c r="E1807" s="87" t="s">
        <v>263</v>
      </c>
      <c r="F1807" s="87" t="s">
        <v>415</v>
      </c>
      <c r="G1807" s="93"/>
      <c r="H1807" s="93"/>
      <c r="I1807" s="87" t="s">
        <v>58</v>
      </c>
      <c r="J1807" s="87" t="s">
        <v>5552</v>
      </c>
      <c r="K1807" s="90">
        <v>1.0</v>
      </c>
      <c r="L1807" s="92"/>
      <c r="M1807" s="93"/>
      <c r="N1807" s="87" t="s">
        <v>5549</v>
      </c>
      <c r="O1807" s="87" t="s">
        <v>377</v>
      </c>
      <c r="P1807" s="87" t="s">
        <v>372</v>
      </c>
    </row>
    <row r="1808" ht="15.75" customHeight="1">
      <c r="A1808" s="87" t="s">
        <v>5555</v>
      </c>
      <c r="B1808" s="88">
        <v>1.22E18</v>
      </c>
      <c r="C1808" s="87" t="s">
        <v>5556</v>
      </c>
      <c r="D1808" s="87" t="s">
        <v>262</v>
      </c>
      <c r="E1808" s="87" t="s">
        <v>263</v>
      </c>
      <c r="F1808" s="87" t="s">
        <v>415</v>
      </c>
      <c r="G1808" s="93"/>
      <c r="H1808" s="93"/>
      <c r="I1808" s="87" t="s">
        <v>58</v>
      </c>
      <c r="J1808" s="87" t="s">
        <v>5552</v>
      </c>
      <c r="K1808" s="90">
        <v>1.0</v>
      </c>
      <c r="L1808" s="92"/>
      <c r="M1808" s="93"/>
      <c r="N1808" s="87" t="s">
        <v>5549</v>
      </c>
      <c r="O1808" s="87" t="s">
        <v>377</v>
      </c>
      <c r="P1808" s="87" t="s">
        <v>372</v>
      </c>
    </row>
    <row r="1809" ht="15.75" customHeight="1">
      <c r="A1809" s="87" t="s">
        <v>5557</v>
      </c>
      <c r="B1809" s="88">
        <v>1.22E18</v>
      </c>
      <c r="C1809" s="87" t="s">
        <v>5558</v>
      </c>
      <c r="D1809" s="87" t="s">
        <v>87</v>
      </c>
      <c r="E1809" s="87" t="s">
        <v>88</v>
      </c>
      <c r="F1809" s="87" t="s">
        <v>5558</v>
      </c>
      <c r="I1809" s="87" t="s">
        <v>58</v>
      </c>
      <c r="J1809" s="87" t="s">
        <v>5559</v>
      </c>
      <c r="K1809" s="90">
        <v>0.0</v>
      </c>
      <c r="L1809" s="92"/>
      <c r="M1809" s="93"/>
      <c r="N1809" s="87" t="s">
        <v>1772</v>
      </c>
      <c r="O1809" s="87" t="s">
        <v>377</v>
      </c>
      <c r="P1809" s="87" t="s">
        <v>372</v>
      </c>
    </row>
    <row r="1810" ht="15.75" customHeight="1">
      <c r="A1810" s="87" t="s">
        <v>5560</v>
      </c>
      <c r="B1810" s="88">
        <v>1.22E18</v>
      </c>
      <c r="C1810" s="87" t="s">
        <v>5561</v>
      </c>
      <c r="D1810" s="87" t="s">
        <v>87</v>
      </c>
      <c r="E1810" s="87" t="s">
        <v>88</v>
      </c>
      <c r="F1810" s="87" t="s">
        <v>5561</v>
      </c>
      <c r="I1810" s="87" t="s">
        <v>58</v>
      </c>
      <c r="J1810" s="87" t="s">
        <v>5562</v>
      </c>
      <c r="K1810" s="90">
        <v>0.0</v>
      </c>
      <c r="L1810" s="92"/>
      <c r="M1810" s="93"/>
      <c r="N1810" s="87" t="s">
        <v>1772</v>
      </c>
      <c r="O1810" s="87" t="s">
        <v>377</v>
      </c>
      <c r="P1810" s="87" t="s">
        <v>372</v>
      </c>
    </row>
    <row r="1811" ht="15.75" customHeight="1">
      <c r="A1811" s="87" t="s">
        <v>5563</v>
      </c>
      <c r="B1811" s="88">
        <v>1.22E18</v>
      </c>
      <c r="C1811" s="87" t="s">
        <v>5564</v>
      </c>
      <c r="D1811" s="87" t="s">
        <v>87</v>
      </c>
      <c r="E1811" s="87" t="s">
        <v>88</v>
      </c>
      <c r="F1811" s="87" t="s">
        <v>5564</v>
      </c>
      <c r="I1811" s="87" t="s">
        <v>58</v>
      </c>
      <c r="J1811" s="87" t="s">
        <v>5565</v>
      </c>
      <c r="K1811" s="90">
        <v>0.0</v>
      </c>
      <c r="L1811" s="92"/>
      <c r="M1811" s="93"/>
      <c r="N1811" s="87" t="s">
        <v>1772</v>
      </c>
      <c r="O1811" s="87" t="s">
        <v>377</v>
      </c>
      <c r="P1811" s="87" t="s">
        <v>372</v>
      </c>
    </row>
    <row r="1812" ht="15.75" customHeight="1">
      <c r="A1812" s="87" t="s">
        <v>5566</v>
      </c>
      <c r="B1812" s="88">
        <v>1.22E18</v>
      </c>
      <c r="C1812" s="87" t="s">
        <v>5567</v>
      </c>
      <c r="D1812" s="87" t="s">
        <v>262</v>
      </c>
      <c r="E1812" s="87" t="s">
        <v>263</v>
      </c>
      <c r="F1812" s="87" t="s">
        <v>5567</v>
      </c>
      <c r="I1812" s="87" t="s">
        <v>58</v>
      </c>
      <c r="J1812" s="87" t="s">
        <v>5568</v>
      </c>
      <c r="K1812" s="90">
        <v>1.0</v>
      </c>
      <c r="L1812" s="92"/>
      <c r="M1812" s="93"/>
      <c r="N1812" s="93"/>
      <c r="O1812" s="87" t="s">
        <v>377</v>
      </c>
      <c r="P1812" s="87" t="s">
        <v>372</v>
      </c>
    </row>
    <row r="1813" ht="15.75" customHeight="1">
      <c r="A1813" s="87" t="s">
        <v>5569</v>
      </c>
      <c r="B1813" s="88">
        <v>1.22E18</v>
      </c>
      <c r="C1813" s="87" t="s">
        <v>5570</v>
      </c>
      <c r="D1813" s="87" t="s">
        <v>87</v>
      </c>
      <c r="E1813" s="87" t="s">
        <v>88</v>
      </c>
      <c r="F1813" s="87" t="s">
        <v>5570</v>
      </c>
      <c r="I1813" s="87" t="s">
        <v>58</v>
      </c>
      <c r="J1813" s="87" t="s">
        <v>5571</v>
      </c>
      <c r="K1813" s="90">
        <v>0.0</v>
      </c>
      <c r="L1813" s="92"/>
      <c r="M1813" s="93"/>
      <c r="N1813" s="87" t="s">
        <v>2370</v>
      </c>
      <c r="O1813" s="87" t="s">
        <v>377</v>
      </c>
      <c r="P1813" s="87" t="s">
        <v>372</v>
      </c>
    </row>
    <row r="1814" ht="15.75" customHeight="1">
      <c r="A1814" s="87" t="s">
        <v>5572</v>
      </c>
      <c r="B1814" s="88">
        <v>1.22E18</v>
      </c>
      <c r="C1814" s="87" t="s">
        <v>5573</v>
      </c>
      <c r="D1814" s="87" t="s">
        <v>87</v>
      </c>
      <c r="E1814" s="87" t="s">
        <v>102</v>
      </c>
      <c r="F1814" s="87" t="s">
        <v>5573</v>
      </c>
      <c r="I1814" s="87" t="s">
        <v>58</v>
      </c>
      <c r="J1814" s="87" t="s">
        <v>5574</v>
      </c>
      <c r="K1814" s="90">
        <v>0.0</v>
      </c>
      <c r="L1814" s="92"/>
      <c r="M1814" s="93"/>
      <c r="N1814" s="87" t="s">
        <v>4427</v>
      </c>
      <c r="O1814" s="87" t="s">
        <v>377</v>
      </c>
      <c r="P1814" s="87" t="s">
        <v>372</v>
      </c>
    </row>
    <row r="1815" ht="15.75" customHeight="1">
      <c r="A1815" s="87" t="s">
        <v>5575</v>
      </c>
      <c r="B1815" s="88">
        <v>1.22E18</v>
      </c>
      <c r="C1815" s="87" t="s">
        <v>5576</v>
      </c>
      <c r="D1815" s="87" t="s">
        <v>87</v>
      </c>
      <c r="E1815" s="87" t="s">
        <v>102</v>
      </c>
      <c r="F1815" s="87" t="s">
        <v>5576</v>
      </c>
      <c r="I1815" s="87" t="s">
        <v>58</v>
      </c>
      <c r="J1815" s="87" t="s">
        <v>5577</v>
      </c>
      <c r="K1815" s="90">
        <v>0.0</v>
      </c>
      <c r="L1815" s="92"/>
      <c r="M1815" s="93"/>
      <c r="N1815" s="87" t="s">
        <v>4427</v>
      </c>
      <c r="O1815" s="87" t="s">
        <v>377</v>
      </c>
      <c r="P1815" s="87" t="s">
        <v>372</v>
      </c>
    </row>
    <row r="1816" ht="15.75" customHeight="1">
      <c r="A1816" s="87" t="s">
        <v>5578</v>
      </c>
      <c r="B1816" s="88">
        <v>1.22E18</v>
      </c>
      <c r="C1816" s="87" t="s">
        <v>5579</v>
      </c>
      <c r="D1816" s="87" t="s">
        <v>87</v>
      </c>
      <c r="E1816" s="87" t="s">
        <v>102</v>
      </c>
      <c r="F1816" s="87" t="s">
        <v>5579</v>
      </c>
      <c r="I1816" s="87" t="s">
        <v>58</v>
      </c>
      <c r="J1816" s="87" t="s">
        <v>1537</v>
      </c>
      <c r="K1816" s="90">
        <v>0.0</v>
      </c>
      <c r="L1816" s="92"/>
      <c r="M1816" s="93"/>
      <c r="N1816" s="87" t="s">
        <v>4427</v>
      </c>
      <c r="O1816" s="87" t="s">
        <v>377</v>
      </c>
      <c r="P1816" s="87" t="s">
        <v>372</v>
      </c>
    </row>
    <row r="1817" ht="15.75" customHeight="1">
      <c r="A1817" s="87" t="s">
        <v>5580</v>
      </c>
      <c r="B1817" s="88">
        <v>1.22E18</v>
      </c>
      <c r="C1817" s="87" t="s">
        <v>5581</v>
      </c>
      <c r="D1817" s="87" t="s">
        <v>87</v>
      </c>
      <c r="E1817" s="87" t="s">
        <v>102</v>
      </c>
      <c r="F1817" s="87" t="s">
        <v>5581</v>
      </c>
      <c r="I1817" s="87" t="s">
        <v>58</v>
      </c>
      <c r="J1817" s="87" t="s">
        <v>5582</v>
      </c>
      <c r="K1817" s="90">
        <v>0.0</v>
      </c>
      <c r="L1817" s="92"/>
      <c r="M1817" s="93"/>
      <c r="N1817" s="87" t="s">
        <v>4427</v>
      </c>
      <c r="O1817" s="87" t="s">
        <v>377</v>
      </c>
      <c r="P1817" s="87" t="s">
        <v>372</v>
      </c>
    </row>
    <row r="1818" ht="15.75" customHeight="1">
      <c r="A1818" s="87" t="s">
        <v>5583</v>
      </c>
      <c r="B1818" s="88">
        <v>1.22E18</v>
      </c>
      <c r="C1818" s="87" t="s">
        <v>5584</v>
      </c>
      <c r="D1818" s="87" t="s">
        <v>262</v>
      </c>
      <c r="E1818" s="87" t="s">
        <v>263</v>
      </c>
      <c r="F1818" s="87" t="s">
        <v>415</v>
      </c>
      <c r="G1818" s="93"/>
      <c r="H1818" s="93"/>
      <c r="I1818" s="87" t="s">
        <v>58</v>
      </c>
      <c r="J1818" s="87" t="s">
        <v>5585</v>
      </c>
      <c r="K1818" s="90">
        <v>1.0</v>
      </c>
      <c r="L1818" s="92"/>
      <c r="M1818" s="93"/>
      <c r="N1818" s="87" t="s">
        <v>4427</v>
      </c>
      <c r="O1818" s="87" t="s">
        <v>377</v>
      </c>
      <c r="P1818" s="87" t="s">
        <v>372</v>
      </c>
    </row>
    <row r="1819" ht="15.75" customHeight="1">
      <c r="A1819" s="87" t="s">
        <v>5586</v>
      </c>
      <c r="B1819" s="88">
        <v>1.22E18</v>
      </c>
      <c r="C1819" s="87" t="s">
        <v>5587</v>
      </c>
      <c r="D1819" s="87" t="s">
        <v>87</v>
      </c>
      <c r="E1819" s="87" t="s">
        <v>102</v>
      </c>
      <c r="F1819" s="87" t="s">
        <v>379</v>
      </c>
      <c r="G1819" s="93"/>
      <c r="H1819" s="93"/>
      <c r="I1819" s="93"/>
      <c r="J1819" s="87" t="s">
        <v>5588</v>
      </c>
      <c r="K1819" s="90">
        <v>0.0</v>
      </c>
      <c r="L1819" s="92"/>
      <c r="M1819" s="93"/>
      <c r="N1819" s="87" t="s">
        <v>390</v>
      </c>
      <c r="O1819" s="87" t="s">
        <v>377</v>
      </c>
      <c r="P1819" s="87" t="s">
        <v>372</v>
      </c>
    </row>
    <row r="1820" ht="15.75" customHeight="1">
      <c r="A1820" s="87" t="s">
        <v>5589</v>
      </c>
      <c r="B1820" s="88">
        <v>1.22E18</v>
      </c>
      <c r="C1820" s="87" t="s">
        <v>5590</v>
      </c>
      <c r="D1820" s="87" t="s">
        <v>87</v>
      </c>
      <c r="E1820" s="87" t="s">
        <v>102</v>
      </c>
      <c r="F1820" s="87" t="s">
        <v>379</v>
      </c>
      <c r="G1820" s="93"/>
      <c r="H1820" s="93"/>
      <c r="I1820" s="93"/>
      <c r="J1820" s="87" t="s">
        <v>5591</v>
      </c>
      <c r="K1820" s="90">
        <v>0.0</v>
      </c>
      <c r="L1820" s="92"/>
      <c r="M1820" s="93"/>
      <c r="N1820" s="87" t="s">
        <v>390</v>
      </c>
      <c r="O1820" s="87" t="s">
        <v>377</v>
      </c>
      <c r="P1820" s="87" t="s">
        <v>372</v>
      </c>
    </row>
    <row r="1821" ht="15.75" customHeight="1">
      <c r="A1821" s="87" t="s">
        <v>5592</v>
      </c>
      <c r="B1821" s="88">
        <v>1.22E18</v>
      </c>
      <c r="C1821" s="87" t="s">
        <v>5593</v>
      </c>
      <c r="D1821" s="87" t="s">
        <v>87</v>
      </c>
      <c r="E1821" s="87" t="s">
        <v>88</v>
      </c>
      <c r="F1821" s="118" t="s">
        <v>5593</v>
      </c>
      <c r="G1821" s="130"/>
      <c r="H1821" s="119"/>
      <c r="I1821" s="87" t="s">
        <v>58</v>
      </c>
      <c r="J1821" s="87" t="s">
        <v>5594</v>
      </c>
      <c r="K1821" s="90">
        <v>6000.0</v>
      </c>
      <c r="L1821" s="92"/>
      <c r="M1821" s="93"/>
      <c r="N1821" s="87" t="s">
        <v>5595</v>
      </c>
      <c r="O1821" s="87" t="s">
        <v>377</v>
      </c>
      <c r="P1821" s="87" t="s">
        <v>372</v>
      </c>
    </row>
    <row r="1822" ht="15.75" customHeight="1">
      <c r="A1822" s="87" t="s">
        <v>5596</v>
      </c>
      <c r="B1822" s="88">
        <v>1.22E18</v>
      </c>
      <c r="C1822" s="87" t="s">
        <v>5597</v>
      </c>
      <c r="D1822" s="87" t="s">
        <v>87</v>
      </c>
      <c r="E1822" s="87" t="s">
        <v>88</v>
      </c>
      <c r="F1822" s="87" t="s">
        <v>5597</v>
      </c>
      <c r="I1822" s="87" t="s">
        <v>340</v>
      </c>
      <c r="J1822" s="87" t="s">
        <v>5598</v>
      </c>
      <c r="K1822" s="90">
        <v>50000.0</v>
      </c>
      <c r="L1822" s="92"/>
      <c r="M1822" s="93"/>
      <c r="N1822" s="93"/>
      <c r="O1822" s="87" t="s">
        <v>377</v>
      </c>
      <c r="P1822" s="87" t="s">
        <v>372</v>
      </c>
    </row>
    <row r="1823" ht="15.75" customHeight="1">
      <c r="A1823" s="87" t="s">
        <v>5599</v>
      </c>
      <c r="B1823" s="88">
        <v>1.22E18</v>
      </c>
      <c r="C1823" s="87" t="s">
        <v>5600</v>
      </c>
      <c r="D1823" s="87" t="s">
        <v>87</v>
      </c>
      <c r="E1823" s="87" t="s">
        <v>88</v>
      </c>
      <c r="F1823" s="87" t="s">
        <v>5600</v>
      </c>
      <c r="I1823" s="87" t="s">
        <v>5601</v>
      </c>
      <c r="J1823" s="87" t="s">
        <v>5602</v>
      </c>
      <c r="K1823" s="90">
        <v>0.0</v>
      </c>
      <c r="L1823" s="92"/>
      <c r="M1823" s="93"/>
      <c r="N1823" s="87" t="s">
        <v>5603</v>
      </c>
      <c r="O1823" s="87" t="s">
        <v>377</v>
      </c>
      <c r="P1823" s="87" t="s">
        <v>372</v>
      </c>
    </row>
    <row r="1824" ht="15.75" customHeight="1">
      <c r="A1824" s="87" t="s">
        <v>5604</v>
      </c>
      <c r="B1824" s="88">
        <v>1.22E18</v>
      </c>
      <c r="C1824" s="87" t="s">
        <v>5605</v>
      </c>
      <c r="D1824" s="87" t="s">
        <v>87</v>
      </c>
      <c r="E1824" s="87" t="s">
        <v>88</v>
      </c>
      <c r="F1824" s="87" t="s">
        <v>5605</v>
      </c>
      <c r="I1824" s="87" t="s">
        <v>5606</v>
      </c>
      <c r="J1824" s="87" t="s">
        <v>5607</v>
      </c>
      <c r="K1824" s="90">
        <v>0.0</v>
      </c>
      <c r="L1824" s="92"/>
      <c r="M1824" s="93"/>
      <c r="N1824" s="87" t="s">
        <v>5603</v>
      </c>
      <c r="O1824" s="87" t="s">
        <v>377</v>
      </c>
      <c r="P1824" s="87" t="s">
        <v>372</v>
      </c>
    </row>
    <row r="1825" ht="15.75" customHeight="1">
      <c r="A1825" s="87" t="s">
        <v>5608</v>
      </c>
      <c r="B1825" s="88">
        <v>1.22E18</v>
      </c>
      <c r="C1825" s="87" t="s">
        <v>5609</v>
      </c>
      <c r="D1825" s="87" t="s">
        <v>56</v>
      </c>
      <c r="E1825" s="87" t="s">
        <v>248</v>
      </c>
      <c r="F1825" s="87" t="s">
        <v>2769</v>
      </c>
      <c r="G1825" s="93"/>
      <c r="H1825" s="93"/>
      <c r="I1825" s="87" t="s">
        <v>58</v>
      </c>
      <c r="J1825" s="87" t="s">
        <v>5431</v>
      </c>
      <c r="K1825" s="90">
        <v>0.0</v>
      </c>
      <c r="L1825" s="92"/>
      <c r="M1825" s="93"/>
      <c r="N1825" s="87" t="s">
        <v>2849</v>
      </c>
      <c r="O1825" s="87" t="s">
        <v>377</v>
      </c>
      <c r="P1825" s="87" t="s">
        <v>372</v>
      </c>
    </row>
    <row r="1826" ht="15.75" customHeight="1">
      <c r="A1826" s="87" t="s">
        <v>5610</v>
      </c>
      <c r="B1826" s="88">
        <v>1.22E18</v>
      </c>
      <c r="C1826" s="87" t="s">
        <v>5611</v>
      </c>
      <c r="D1826" s="87" t="s">
        <v>262</v>
      </c>
      <c r="E1826" s="87" t="s">
        <v>270</v>
      </c>
      <c r="F1826" s="87" t="s">
        <v>5611</v>
      </c>
      <c r="I1826" s="87" t="s">
        <v>58</v>
      </c>
      <c r="J1826" s="87" t="s">
        <v>5202</v>
      </c>
      <c r="K1826" s="90">
        <v>0.0</v>
      </c>
      <c r="L1826" s="92"/>
      <c r="M1826" s="93"/>
      <c r="N1826" s="87" t="s">
        <v>5612</v>
      </c>
      <c r="O1826" s="87" t="s">
        <v>377</v>
      </c>
      <c r="P1826" s="87" t="s">
        <v>372</v>
      </c>
    </row>
    <row r="1827" ht="15.75" customHeight="1">
      <c r="A1827" s="87" t="s">
        <v>5613</v>
      </c>
      <c r="B1827" s="88">
        <v>1.22E18</v>
      </c>
      <c r="C1827" s="87" t="s">
        <v>5614</v>
      </c>
      <c r="D1827" s="87" t="s">
        <v>87</v>
      </c>
      <c r="E1827" s="87" t="s">
        <v>228</v>
      </c>
      <c r="F1827" s="87" t="s">
        <v>5614</v>
      </c>
      <c r="I1827" s="87" t="s">
        <v>340</v>
      </c>
      <c r="J1827" s="87" t="s">
        <v>5615</v>
      </c>
      <c r="K1827" s="90">
        <v>0.0</v>
      </c>
      <c r="L1827" s="92"/>
      <c r="M1827" s="93"/>
      <c r="N1827" s="87" t="s">
        <v>2139</v>
      </c>
      <c r="O1827" s="87" t="s">
        <v>377</v>
      </c>
      <c r="P1827" s="87" t="s">
        <v>372</v>
      </c>
    </row>
    <row r="1828" ht="15.75" customHeight="1">
      <c r="A1828" s="87" t="s">
        <v>5616</v>
      </c>
      <c r="B1828" s="88">
        <v>1.22E18</v>
      </c>
      <c r="C1828" s="87" t="s">
        <v>5617</v>
      </c>
      <c r="D1828" s="87" t="s">
        <v>87</v>
      </c>
      <c r="E1828" s="87" t="s">
        <v>88</v>
      </c>
      <c r="F1828" s="87" t="s">
        <v>379</v>
      </c>
      <c r="G1828" s="93"/>
      <c r="H1828" s="93"/>
      <c r="I1828" s="93"/>
      <c r="J1828" s="87" t="s">
        <v>5618</v>
      </c>
      <c r="K1828" s="90">
        <v>200.0</v>
      </c>
      <c r="L1828" s="92"/>
      <c r="M1828" s="93"/>
      <c r="N1828" s="87" t="s">
        <v>5619</v>
      </c>
      <c r="O1828" s="87" t="s">
        <v>377</v>
      </c>
      <c r="P1828" s="87" t="s">
        <v>372</v>
      </c>
    </row>
    <row r="1829" ht="15.75" customHeight="1">
      <c r="A1829" s="87" t="s">
        <v>5620</v>
      </c>
      <c r="B1829" s="88">
        <v>1.22E18</v>
      </c>
      <c r="C1829" s="87" t="s">
        <v>5621</v>
      </c>
      <c r="D1829" s="87" t="s">
        <v>87</v>
      </c>
      <c r="E1829" s="87" t="s">
        <v>88</v>
      </c>
      <c r="F1829" s="87" t="s">
        <v>379</v>
      </c>
      <c r="G1829" s="93"/>
      <c r="H1829" s="93"/>
      <c r="I1829" s="93"/>
      <c r="J1829" s="87" t="s">
        <v>5622</v>
      </c>
      <c r="K1829" s="90">
        <v>0.0</v>
      </c>
      <c r="L1829" s="92"/>
      <c r="M1829" s="93"/>
      <c r="N1829" s="87" t="s">
        <v>5619</v>
      </c>
      <c r="O1829" s="87" t="s">
        <v>377</v>
      </c>
      <c r="P1829" s="87" t="s">
        <v>372</v>
      </c>
    </row>
    <row r="1830" ht="15.75" customHeight="1">
      <c r="A1830" s="87" t="s">
        <v>5623</v>
      </c>
      <c r="B1830" s="88">
        <v>1.22E18</v>
      </c>
      <c r="C1830" s="87" t="s">
        <v>5624</v>
      </c>
      <c r="D1830" s="87" t="s">
        <v>87</v>
      </c>
      <c r="E1830" s="87" t="s">
        <v>88</v>
      </c>
      <c r="F1830" s="87" t="s">
        <v>379</v>
      </c>
      <c r="G1830" s="93"/>
      <c r="H1830" s="93"/>
      <c r="I1830" s="93"/>
      <c r="J1830" s="87" t="s">
        <v>5622</v>
      </c>
      <c r="K1830" s="90">
        <v>200.0</v>
      </c>
      <c r="L1830" s="92"/>
      <c r="M1830" s="93"/>
      <c r="N1830" s="87" t="s">
        <v>5619</v>
      </c>
      <c r="O1830" s="87" t="s">
        <v>377</v>
      </c>
      <c r="P1830" s="87" t="s">
        <v>372</v>
      </c>
    </row>
    <row r="1831" ht="15.75" customHeight="1">
      <c r="A1831" s="87" t="s">
        <v>5625</v>
      </c>
      <c r="B1831" s="88">
        <v>1.22E18</v>
      </c>
      <c r="C1831" s="87" t="s">
        <v>5626</v>
      </c>
      <c r="D1831" s="87" t="s">
        <v>87</v>
      </c>
      <c r="E1831" s="87" t="s">
        <v>88</v>
      </c>
      <c r="F1831" s="87" t="s">
        <v>5626</v>
      </c>
      <c r="I1831" s="87" t="s">
        <v>315</v>
      </c>
      <c r="J1831" s="87" t="s">
        <v>5627</v>
      </c>
      <c r="K1831" s="90">
        <v>0.0</v>
      </c>
      <c r="L1831" s="92"/>
      <c r="M1831" s="93"/>
      <c r="N1831" s="87" t="s">
        <v>390</v>
      </c>
      <c r="O1831" s="87" t="s">
        <v>377</v>
      </c>
      <c r="P1831" s="87" t="s">
        <v>372</v>
      </c>
    </row>
    <row r="1832" ht="15.75" customHeight="1">
      <c r="A1832" s="87" t="s">
        <v>5628</v>
      </c>
      <c r="B1832" s="88">
        <v>1.22E18</v>
      </c>
      <c r="C1832" s="87" t="s">
        <v>5629</v>
      </c>
      <c r="D1832" s="87" t="s">
        <v>87</v>
      </c>
      <c r="E1832" s="87" t="s">
        <v>88</v>
      </c>
      <c r="F1832" s="118" t="s">
        <v>5629</v>
      </c>
      <c r="G1832" s="130"/>
      <c r="H1832" s="119"/>
      <c r="I1832" s="87" t="s">
        <v>58</v>
      </c>
      <c r="J1832" s="87" t="s">
        <v>5630</v>
      </c>
      <c r="K1832" s="90">
        <v>0.0</v>
      </c>
      <c r="L1832" s="92"/>
      <c r="M1832" s="93"/>
      <c r="N1832" s="87" t="s">
        <v>2416</v>
      </c>
      <c r="O1832" s="87" t="s">
        <v>377</v>
      </c>
      <c r="P1832" s="87" t="s">
        <v>372</v>
      </c>
    </row>
    <row r="1833" ht="15.75" customHeight="1">
      <c r="A1833" s="87" t="s">
        <v>5631</v>
      </c>
      <c r="B1833" s="88">
        <v>1.22E18</v>
      </c>
      <c r="C1833" s="87" t="s">
        <v>5632</v>
      </c>
      <c r="D1833" s="87" t="s">
        <v>262</v>
      </c>
      <c r="E1833" s="87" t="s">
        <v>270</v>
      </c>
      <c r="F1833" s="118" t="s">
        <v>5632</v>
      </c>
      <c r="G1833" s="130"/>
      <c r="H1833" s="119"/>
      <c r="I1833" s="87" t="s">
        <v>58</v>
      </c>
      <c r="J1833" s="87" t="s">
        <v>5633</v>
      </c>
      <c r="K1833" s="90">
        <v>0.0</v>
      </c>
      <c r="L1833" s="92"/>
      <c r="M1833" s="93"/>
      <c r="N1833" s="87" t="s">
        <v>2416</v>
      </c>
      <c r="O1833" s="87" t="s">
        <v>377</v>
      </c>
      <c r="P1833" s="87" t="s">
        <v>372</v>
      </c>
    </row>
    <row r="1834" ht="15.75" customHeight="1">
      <c r="A1834" s="87" t="s">
        <v>5634</v>
      </c>
      <c r="B1834" s="88">
        <v>1.22E18</v>
      </c>
      <c r="C1834" s="87" t="s">
        <v>5635</v>
      </c>
      <c r="D1834" s="87" t="s">
        <v>262</v>
      </c>
      <c r="E1834" s="87" t="s">
        <v>270</v>
      </c>
      <c r="F1834" s="118" t="s">
        <v>5635</v>
      </c>
      <c r="G1834" s="130"/>
      <c r="H1834" s="119"/>
      <c r="I1834" s="87" t="s">
        <v>58</v>
      </c>
      <c r="J1834" s="87" t="s">
        <v>5636</v>
      </c>
      <c r="K1834" s="90">
        <v>0.0</v>
      </c>
      <c r="L1834" s="92"/>
      <c r="M1834" s="93"/>
      <c r="N1834" s="87" t="s">
        <v>2416</v>
      </c>
      <c r="O1834" s="87" t="s">
        <v>377</v>
      </c>
      <c r="P1834" s="87" t="s">
        <v>372</v>
      </c>
    </row>
    <row r="1835" ht="15.75" customHeight="1">
      <c r="A1835" s="87" t="s">
        <v>5637</v>
      </c>
      <c r="B1835" s="88">
        <v>1.22E18</v>
      </c>
      <c r="C1835" s="87" t="s">
        <v>5638</v>
      </c>
      <c r="D1835" s="87" t="s">
        <v>262</v>
      </c>
      <c r="E1835" s="87" t="s">
        <v>270</v>
      </c>
      <c r="F1835" s="87" t="s">
        <v>5638</v>
      </c>
      <c r="I1835" s="87" t="s">
        <v>58</v>
      </c>
      <c r="J1835" s="87" t="s">
        <v>5639</v>
      </c>
      <c r="K1835" s="90">
        <v>0.0</v>
      </c>
      <c r="L1835" s="92"/>
      <c r="M1835" s="93"/>
      <c r="N1835" s="87" t="s">
        <v>2416</v>
      </c>
      <c r="O1835" s="87" t="s">
        <v>377</v>
      </c>
      <c r="P1835" s="87" t="s">
        <v>372</v>
      </c>
    </row>
    <row r="1836" ht="15.75" customHeight="1">
      <c r="A1836" s="87" t="s">
        <v>5640</v>
      </c>
      <c r="B1836" s="88">
        <v>1.22E18</v>
      </c>
      <c r="C1836" s="87" t="s">
        <v>5641</v>
      </c>
      <c r="D1836" s="87" t="s">
        <v>87</v>
      </c>
      <c r="E1836" s="87" t="s">
        <v>88</v>
      </c>
      <c r="F1836" s="118" t="s">
        <v>5641</v>
      </c>
      <c r="G1836" s="130"/>
      <c r="H1836" s="119"/>
      <c r="I1836" s="87" t="s">
        <v>58</v>
      </c>
      <c r="J1836" s="87" t="s">
        <v>5642</v>
      </c>
      <c r="K1836" s="90">
        <v>0.0</v>
      </c>
      <c r="L1836" s="92"/>
      <c r="M1836" s="93"/>
      <c r="N1836" s="87" t="s">
        <v>1772</v>
      </c>
      <c r="O1836" s="87" t="s">
        <v>377</v>
      </c>
      <c r="P1836" s="87" t="s">
        <v>372</v>
      </c>
    </row>
    <row r="1837" ht="15.75" customHeight="1">
      <c r="A1837" s="87" t="s">
        <v>5643</v>
      </c>
      <c r="B1837" s="88">
        <v>1.22E18</v>
      </c>
      <c r="C1837" s="87" t="s">
        <v>5644</v>
      </c>
      <c r="D1837" s="87" t="s">
        <v>87</v>
      </c>
      <c r="E1837" s="87" t="s">
        <v>88</v>
      </c>
      <c r="F1837" s="118" t="s">
        <v>5644</v>
      </c>
      <c r="G1837" s="130"/>
      <c r="H1837" s="119"/>
      <c r="I1837" s="87" t="s">
        <v>58</v>
      </c>
      <c r="J1837" s="87" t="s">
        <v>5645</v>
      </c>
      <c r="K1837" s="90">
        <v>0.0</v>
      </c>
      <c r="L1837" s="92"/>
      <c r="M1837" s="93"/>
      <c r="N1837" s="87" t="s">
        <v>3061</v>
      </c>
      <c r="O1837" s="87" t="s">
        <v>377</v>
      </c>
      <c r="P1837" s="87" t="s">
        <v>372</v>
      </c>
    </row>
    <row r="1838" ht="15.75" customHeight="1">
      <c r="A1838" s="87" t="s">
        <v>5646</v>
      </c>
      <c r="B1838" s="88">
        <v>1.22E18</v>
      </c>
      <c r="C1838" s="87" t="s">
        <v>5647</v>
      </c>
      <c r="D1838" s="87" t="s">
        <v>87</v>
      </c>
      <c r="E1838" s="87" t="s">
        <v>88</v>
      </c>
      <c r="F1838" s="87" t="s">
        <v>5647</v>
      </c>
      <c r="I1838" s="87" t="s">
        <v>1923</v>
      </c>
      <c r="J1838" s="87" t="s">
        <v>5648</v>
      </c>
      <c r="K1838" s="90">
        <v>400.0</v>
      </c>
      <c r="L1838" s="92"/>
      <c r="M1838" s="93"/>
      <c r="N1838" s="87" t="s">
        <v>390</v>
      </c>
      <c r="O1838" s="87" t="s">
        <v>377</v>
      </c>
      <c r="P1838" s="87" t="s">
        <v>372</v>
      </c>
    </row>
    <row r="1839" ht="15.75" customHeight="1">
      <c r="A1839" s="87" t="s">
        <v>5649</v>
      </c>
      <c r="B1839" s="88">
        <v>1.22E18</v>
      </c>
      <c r="C1839" s="87" t="s">
        <v>5650</v>
      </c>
      <c r="D1839" s="87" t="s">
        <v>87</v>
      </c>
      <c r="E1839" s="87" t="s">
        <v>88</v>
      </c>
      <c r="F1839" s="118" t="s">
        <v>5650</v>
      </c>
      <c r="G1839" s="130"/>
      <c r="H1839" s="119"/>
      <c r="I1839" s="87" t="s">
        <v>495</v>
      </c>
      <c r="J1839" s="87" t="s">
        <v>4240</v>
      </c>
      <c r="K1839" s="90">
        <v>0.0</v>
      </c>
      <c r="L1839" s="92"/>
      <c r="M1839" s="93"/>
      <c r="N1839" s="93"/>
      <c r="O1839" s="87" t="s">
        <v>377</v>
      </c>
      <c r="P1839" s="87" t="s">
        <v>372</v>
      </c>
    </row>
    <row r="1840" ht="15.75" customHeight="1">
      <c r="A1840" s="87" t="s">
        <v>5651</v>
      </c>
      <c r="B1840" s="88">
        <v>1.22E18</v>
      </c>
      <c r="C1840" s="87" t="s">
        <v>5652</v>
      </c>
      <c r="D1840" s="87" t="s">
        <v>57</v>
      </c>
      <c r="E1840" s="87" t="s">
        <v>287</v>
      </c>
      <c r="F1840" s="87" t="s">
        <v>1749</v>
      </c>
      <c r="H1840" s="93"/>
      <c r="I1840" s="87" t="s">
        <v>58</v>
      </c>
      <c r="J1840" s="87" t="s">
        <v>5653</v>
      </c>
      <c r="K1840" s="90">
        <v>0.0</v>
      </c>
      <c r="L1840" s="92"/>
      <c r="M1840" s="93"/>
      <c r="N1840" s="87" t="s">
        <v>1772</v>
      </c>
      <c r="O1840" s="87" t="s">
        <v>377</v>
      </c>
      <c r="P1840" s="87" t="s">
        <v>372</v>
      </c>
    </row>
    <row r="1841" ht="15.75" customHeight="1">
      <c r="A1841" s="87" t="s">
        <v>5654</v>
      </c>
      <c r="B1841" s="88">
        <v>1.22E18</v>
      </c>
      <c r="C1841" s="87" t="s">
        <v>5655</v>
      </c>
      <c r="D1841" s="87" t="s">
        <v>87</v>
      </c>
      <c r="E1841" s="87" t="s">
        <v>88</v>
      </c>
      <c r="F1841" s="118" t="s">
        <v>5655</v>
      </c>
      <c r="G1841" s="130"/>
      <c r="H1841" s="119"/>
      <c r="I1841" s="87" t="s">
        <v>58</v>
      </c>
      <c r="J1841" s="87" t="s">
        <v>5378</v>
      </c>
      <c r="K1841" s="90">
        <v>0.0</v>
      </c>
      <c r="L1841" s="92"/>
      <c r="M1841" s="93"/>
      <c r="N1841" s="93"/>
      <c r="O1841" s="87" t="s">
        <v>377</v>
      </c>
      <c r="P1841" s="87" t="s">
        <v>372</v>
      </c>
    </row>
    <row r="1842" ht="15.75" customHeight="1">
      <c r="A1842" s="87" t="s">
        <v>5656</v>
      </c>
      <c r="B1842" s="88">
        <v>1.22E18</v>
      </c>
      <c r="C1842" s="87" t="s">
        <v>5657</v>
      </c>
      <c r="D1842" s="87" t="s">
        <v>262</v>
      </c>
      <c r="E1842" s="87" t="s">
        <v>270</v>
      </c>
      <c r="F1842" s="118" t="s">
        <v>5657</v>
      </c>
      <c r="G1842" s="130"/>
      <c r="H1842" s="119"/>
      <c r="I1842" s="87" t="s">
        <v>5012</v>
      </c>
      <c r="J1842" s="87" t="s">
        <v>5658</v>
      </c>
      <c r="K1842" s="90">
        <v>0.0</v>
      </c>
      <c r="L1842" s="92"/>
      <c r="M1842" s="93"/>
      <c r="N1842" s="87" t="s">
        <v>1772</v>
      </c>
      <c r="O1842" s="87" t="s">
        <v>377</v>
      </c>
      <c r="P1842" s="87" t="s">
        <v>372</v>
      </c>
    </row>
    <row r="1843" ht="15.75" customHeight="1">
      <c r="A1843" s="87" t="s">
        <v>5659</v>
      </c>
      <c r="B1843" s="88">
        <v>1.22E18</v>
      </c>
      <c r="C1843" s="87" t="s">
        <v>5660</v>
      </c>
      <c r="D1843" s="87" t="s">
        <v>262</v>
      </c>
      <c r="E1843" s="87" t="s">
        <v>263</v>
      </c>
      <c r="F1843" s="87" t="s">
        <v>415</v>
      </c>
      <c r="G1843" s="93"/>
      <c r="H1843" s="93"/>
      <c r="I1843" s="87" t="s">
        <v>58</v>
      </c>
      <c r="J1843" s="87" t="s">
        <v>5661</v>
      </c>
      <c r="K1843" s="90">
        <v>1.0</v>
      </c>
      <c r="L1843" s="92"/>
      <c r="M1843" s="93"/>
      <c r="N1843" s="87" t="s">
        <v>5662</v>
      </c>
      <c r="O1843" s="87" t="s">
        <v>377</v>
      </c>
      <c r="P1843" s="87" t="s">
        <v>372</v>
      </c>
    </row>
    <row r="1844" ht="15.75" customHeight="1">
      <c r="A1844" s="87" t="s">
        <v>5663</v>
      </c>
      <c r="B1844" s="88">
        <v>1.22E18</v>
      </c>
      <c r="C1844" s="87" t="s">
        <v>5664</v>
      </c>
      <c r="D1844" s="87" t="s">
        <v>262</v>
      </c>
      <c r="E1844" s="87" t="s">
        <v>263</v>
      </c>
      <c r="F1844" s="87" t="s">
        <v>415</v>
      </c>
      <c r="G1844" s="93"/>
      <c r="H1844" s="93"/>
      <c r="I1844" s="87" t="s">
        <v>58</v>
      </c>
      <c r="J1844" s="87" t="s">
        <v>5665</v>
      </c>
      <c r="K1844" s="90">
        <v>1.0</v>
      </c>
      <c r="L1844" s="92"/>
      <c r="M1844" s="93"/>
      <c r="N1844" s="87" t="s">
        <v>5666</v>
      </c>
      <c r="O1844" s="87" t="s">
        <v>377</v>
      </c>
      <c r="P1844" s="87" t="s">
        <v>372</v>
      </c>
    </row>
    <row r="1845" ht="15.75" customHeight="1">
      <c r="A1845" s="87" t="s">
        <v>5667</v>
      </c>
      <c r="B1845" s="88">
        <v>1.22E18</v>
      </c>
      <c r="C1845" s="87" t="s">
        <v>5668</v>
      </c>
      <c r="D1845" s="87" t="s">
        <v>262</v>
      </c>
      <c r="E1845" s="87" t="s">
        <v>263</v>
      </c>
      <c r="F1845" s="87" t="s">
        <v>5668</v>
      </c>
      <c r="I1845" s="87" t="s">
        <v>58</v>
      </c>
      <c r="J1845" s="87" t="s">
        <v>5669</v>
      </c>
      <c r="K1845" s="90">
        <v>0.0</v>
      </c>
      <c r="L1845" s="92"/>
      <c r="M1845" s="93"/>
      <c r="N1845" s="87" t="s">
        <v>5666</v>
      </c>
      <c r="O1845" s="87" t="s">
        <v>377</v>
      </c>
      <c r="P1845" s="87" t="s">
        <v>372</v>
      </c>
    </row>
    <row r="1846" ht="15.75" customHeight="1">
      <c r="A1846" s="87" t="s">
        <v>5670</v>
      </c>
      <c r="B1846" s="88">
        <v>1.22E18</v>
      </c>
      <c r="C1846" s="87" t="s">
        <v>5671</v>
      </c>
      <c r="D1846" s="87" t="s">
        <v>262</v>
      </c>
      <c r="E1846" s="87" t="s">
        <v>263</v>
      </c>
      <c r="F1846" s="87" t="s">
        <v>415</v>
      </c>
      <c r="G1846" s="93"/>
      <c r="H1846" s="93"/>
      <c r="I1846" s="87" t="s">
        <v>58</v>
      </c>
      <c r="J1846" s="87" t="s">
        <v>5672</v>
      </c>
      <c r="K1846" s="90">
        <v>4.0</v>
      </c>
      <c r="L1846" s="92"/>
      <c r="M1846" s="93"/>
      <c r="N1846" s="87" t="s">
        <v>1772</v>
      </c>
      <c r="O1846" s="87" t="s">
        <v>377</v>
      </c>
      <c r="P1846" s="87" t="s">
        <v>372</v>
      </c>
    </row>
    <row r="1847" ht="15.75" customHeight="1">
      <c r="A1847" s="87" t="s">
        <v>5673</v>
      </c>
      <c r="B1847" s="88">
        <v>1.22E18</v>
      </c>
      <c r="C1847" s="87" t="s">
        <v>5674</v>
      </c>
      <c r="D1847" s="87" t="s">
        <v>87</v>
      </c>
      <c r="E1847" s="87" t="s">
        <v>88</v>
      </c>
      <c r="F1847" s="118" t="s">
        <v>5674</v>
      </c>
      <c r="G1847" s="130"/>
      <c r="H1847" s="119"/>
      <c r="I1847" s="87" t="s">
        <v>58</v>
      </c>
      <c r="J1847" s="87" t="s">
        <v>5675</v>
      </c>
      <c r="K1847" s="90">
        <v>0.0</v>
      </c>
      <c r="L1847" s="92"/>
      <c r="M1847" s="93"/>
      <c r="N1847" s="87" t="s">
        <v>1772</v>
      </c>
      <c r="O1847" s="87" t="s">
        <v>377</v>
      </c>
      <c r="P1847" s="87" t="s">
        <v>372</v>
      </c>
    </row>
    <row r="1848" ht="15.75" customHeight="1">
      <c r="A1848" s="87" t="s">
        <v>5676</v>
      </c>
      <c r="B1848" s="88">
        <v>1.22E18</v>
      </c>
      <c r="C1848" s="87" t="s">
        <v>5677</v>
      </c>
      <c r="D1848" s="87" t="s">
        <v>262</v>
      </c>
      <c r="E1848" s="87" t="s">
        <v>263</v>
      </c>
      <c r="F1848" s="87" t="s">
        <v>415</v>
      </c>
      <c r="G1848" s="93"/>
      <c r="H1848" s="93"/>
      <c r="I1848" s="87" t="s">
        <v>58</v>
      </c>
      <c r="J1848" s="87" t="s">
        <v>5678</v>
      </c>
      <c r="K1848" s="90">
        <v>1.0</v>
      </c>
      <c r="L1848" s="92"/>
      <c r="M1848" s="93"/>
      <c r="N1848" s="87" t="s">
        <v>5679</v>
      </c>
      <c r="O1848" s="87" t="s">
        <v>377</v>
      </c>
      <c r="P1848" s="87" t="s">
        <v>372</v>
      </c>
    </row>
    <row r="1849" ht="15.75" customHeight="1">
      <c r="A1849" s="87" t="s">
        <v>5680</v>
      </c>
      <c r="B1849" s="88">
        <v>1.22E18</v>
      </c>
      <c r="C1849" s="87" t="s">
        <v>5681</v>
      </c>
      <c r="D1849" s="87" t="s">
        <v>262</v>
      </c>
      <c r="E1849" s="87" t="s">
        <v>270</v>
      </c>
      <c r="F1849" s="87" t="s">
        <v>5681</v>
      </c>
      <c r="I1849" s="87" t="s">
        <v>58</v>
      </c>
      <c r="J1849" s="87" t="s">
        <v>5682</v>
      </c>
      <c r="K1849" s="90">
        <v>0.0</v>
      </c>
      <c r="L1849" s="92"/>
      <c r="M1849" s="93"/>
      <c r="N1849" s="87" t="s">
        <v>1808</v>
      </c>
      <c r="O1849" s="87" t="s">
        <v>377</v>
      </c>
      <c r="P1849" s="87" t="s">
        <v>372</v>
      </c>
    </row>
    <row r="1850" ht="15.75" customHeight="1">
      <c r="A1850" s="87" t="s">
        <v>5683</v>
      </c>
      <c r="B1850" s="88">
        <v>1.22E18</v>
      </c>
      <c r="C1850" s="87" t="s">
        <v>5684</v>
      </c>
      <c r="D1850" s="87" t="s">
        <v>262</v>
      </c>
      <c r="E1850" s="87" t="s">
        <v>270</v>
      </c>
      <c r="F1850" s="87" t="s">
        <v>5684</v>
      </c>
      <c r="I1850" s="87" t="s">
        <v>58</v>
      </c>
      <c r="J1850" s="87" t="s">
        <v>5685</v>
      </c>
      <c r="K1850" s="90">
        <v>0.0</v>
      </c>
      <c r="L1850" s="92"/>
      <c r="M1850" s="93"/>
      <c r="N1850" s="87" t="s">
        <v>1808</v>
      </c>
      <c r="O1850" s="87" t="s">
        <v>377</v>
      </c>
      <c r="P1850" s="87" t="s">
        <v>372</v>
      </c>
    </row>
    <row r="1851" ht="15.75" customHeight="1">
      <c r="A1851" s="87" t="s">
        <v>5686</v>
      </c>
      <c r="B1851" s="88">
        <v>1.22E18</v>
      </c>
      <c r="C1851" s="87" t="s">
        <v>5687</v>
      </c>
      <c r="D1851" s="87" t="s">
        <v>262</v>
      </c>
      <c r="E1851" s="87" t="s">
        <v>270</v>
      </c>
      <c r="F1851" s="87" t="s">
        <v>5687</v>
      </c>
      <c r="I1851" s="87" t="s">
        <v>58</v>
      </c>
      <c r="J1851" s="87" t="s">
        <v>5688</v>
      </c>
      <c r="K1851" s="90">
        <v>0.0</v>
      </c>
      <c r="L1851" s="92"/>
      <c r="M1851" s="93"/>
      <c r="N1851" s="93"/>
      <c r="O1851" s="87" t="s">
        <v>377</v>
      </c>
      <c r="P1851" s="87" t="s">
        <v>372</v>
      </c>
    </row>
    <row r="1852" ht="15.75" customHeight="1">
      <c r="A1852" s="87" t="s">
        <v>5689</v>
      </c>
      <c r="B1852" s="88">
        <v>1.22E18</v>
      </c>
      <c r="C1852" s="87" t="s">
        <v>5690</v>
      </c>
      <c r="D1852" s="87" t="s">
        <v>262</v>
      </c>
      <c r="E1852" s="87" t="s">
        <v>270</v>
      </c>
      <c r="F1852" s="87" t="s">
        <v>5690</v>
      </c>
      <c r="I1852" s="87" t="s">
        <v>58</v>
      </c>
      <c r="J1852" s="87" t="s">
        <v>5688</v>
      </c>
      <c r="K1852" s="90">
        <v>0.0</v>
      </c>
      <c r="L1852" s="92"/>
      <c r="M1852" s="93"/>
      <c r="N1852" s="87" t="s">
        <v>1808</v>
      </c>
      <c r="O1852" s="87" t="s">
        <v>377</v>
      </c>
      <c r="P1852" s="87" t="s">
        <v>372</v>
      </c>
    </row>
    <row r="1853" ht="15.75" customHeight="1">
      <c r="A1853" s="87" t="s">
        <v>5691</v>
      </c>
      <c r="B1853" s="88">
        <v>1.22E18</v>
      </c>
      <c r="C1853" s="87" t="s">
        <v>5692</v>
      </c>
      <c r="D1853" s="87" t="s">
        <v>262</v>
      </c>
      <c r="E1853" s="87" t="s">
        <v>270</v>
      </c>
      <c r="F1853" s="87" t="s">
        <v>5692</v>
      </c>
      <c r="I1853" s="87" t="s">
        <v>58</v>
      </c>
      <c r="J1853" s="87" t="s">
        <v>5693</v>
      </c>
      <c r="K1853" s="90">
        <v>0.0</v>
      </c>
      <c r="L1853" s="92"/>
      <c r="M1853" s="93"/>
      <c r="N1853" s="87" t="s">
        <v>1808</v>
      </c>
      <c r="O1853" s="87" t="s">
        <v>377</v>
      </c>
      <c r="P1853" s="87" t="s">
        <v>372</v>
      </c>
    </row>
    <row r="1854" ht="15.75" customHeight="1">
      <c r="A1854" s="87" t="s">
        <v>5694</v>
      </c>
      <c r="B1854" s="88">
        <v>1.22E18</v>
      </c>
      <c r="C1854" s="87" t="s">
        <v>5695</v>
      </c>
      <c r="D1854" s="87" t="s">
        <v>262</v>
      </c>
      <c r="E1854" s="87" t="s">
        <v>270</v>
      </c>
      <c r="F1854" s="87" t="s">
        <v>5695</v>
      </c>
      <c r="I1854" s="87" t="s">
        <v>58</v>
      </c>
      <c r="J1854" s="87" t="s">
        <v>5696</v>
      </c>
      <c r="K1854" s="90">
        <v>0.0</v>
      </c>
      <c r="L1854" s="92"/>
      <c r="M1854" s="93"/>
      <c r="N1854" s="87" t="s">
        <v>1808</v>
      </c>
      <c r="O1854" s="87" t="s">
        <v>377</v>
      </c>
      <c r="P1854" s="87" t="s">
        <v>372</v>
      </c>
    </row>
    <row r="1855" ht="15.75" customHeight="1">
      <c r="A1855" s="87" t="s">
        <v>5697</v>
      </c>
      <c r="B1855" s="88">
        <v>1.22E18</v>
      </c>
      <c r="C1855" s="87" t="s">
        <v>5698</v>
      </c>
      <c r="D1855" s="87" t="s">
        <v>262</v>
      </c>
      <c r="E1855" s="87" t="s">
        <v>270</v>
      </c>
      <c r="F1855" s="87" t="s">
        <v>5698</v>
      </c>
      <c r="I1855" s="87" t="s">
        <v>58</v>
      </c>
      <c r="J1855" s="87" t="s">
        <v>5699</v>
      </c>
      <c r="K1855" s="90">
        <v>0.0</v>
      </c>
      <c r="L1855" s="92"/>
      <c r="M1855" s="93"/>
      <c r="N1855" s="87" t="s">
        <v>1808</v>
      </c>
      <c r="O1855" s="87" t="s">
        <v>377</v>
      </c>
      <c r="P1855" s="87" t="s">
        <v>372</v>
      </c>
    </row>
    <row r="1856" ht="15.75" customHeight="1">
      <c r="A1856" s="87" t="s">
        <v>5700</v>
      </c>
      <c r="B1856" s="88">
        <v>1.22E18</v>
      </c>
      <c r="C1856" s="87" t="s">
        <v>5701</v>
      </c>
      <c r="D1856" s="87" t="s">
        <v>262</v>
      </c>
      <c r="E1856" s="87" t="s">
        <v>270</v>
      </c>
      <c r="F1856" s="87" t="s">
        <v>5701</v>
      </c>
      <c r="I1856" s="87" t="s">
        <v>58</v>
      </c>
      <c r="J1856" s="87" t="s">
        <v>5702</v>
      </c>
      <c r="K1856" s="90">
        <v>0.0</v>
      </c>
      <c r="L1856" s="92"/>
      <c r="M1856" s="93"/>
      <c r="N1856" s="87" t="s">
        <v>1808</v>
      </c>
      <c r="O1856" s="87" t="s">
        <v>377</v>
      </c>
      <c r="P1856" s="87" t="s">
        <v>372</v>
      </c>
    </row>
    <row r="1857" ht="15.75" customHeight="1">
      <c r="A1857" s="87" t="s">
        <v>5703</v>
      </c>
      <c r="B1857" s="88">
        <v>1.22E18</v>
      </c>
      <c r="C1857" s="87" t="s">
        <v>5704</v>
      </c>
      <c r="D1857" s="87" t="s">
        <v>262</v>
      </c>
      <c r="E1857" s="87" t="s">
        <v>270</v>
      </c>
      <c r="F1857" s="87" t="s">
        <v>5704</v>
      </c>
      <c r="I1857" s="87" t="s">
        <v>58</v>
      </c>
      <c r="J1857" s="87" t="s">
        <v>5685</v>
      </c>
      <c r="K1857" s="90">
        <v>0.0</v>
      </c>
      <c r="L1857" s="92"/>
      <c r="M1857" s="93"/>
      <c r="N1857" s="87" t="s">
        <v>1808</v>
      </c>
      <c r="O1857" s="87" t="s">
        <v>377</v>
      </c>
      <c r="P1857" s="87" t="s">
        <v>372</v>
      </c>
    </row>
    <row r="1858" ht="15.75" customHeight="1">
      <c r="A1858" s="87" t="s">
        <v>5705</v>
      </c>
      <c r="B1858" s="88">
        <v>1.22E18</v>
      </c>
      <c r="C1858" s="87" t="s">
        <v>5706</v>
      </c>
      <c r="D1858" s="87" t="s">
        <v>262</v>
      </c>
      <c r="E1858" s="87" t="s">
        <v>270</v>
      </c>
      <c r="F1858" s="87" t="s">
        <v>5706</v>
      </c>
      <c r="I1858" s="87" t="s">
        <v>58</v>
      </c>
      <c r="J1858" s="87" t="s">
        <v>5707</v>
      </c>
      <c r="K1858" s="90">
        <v>0.0</v>
      </c>
      <c r="L1858" s="92"/>
      <c r="M1858" s="93"/>
      <c r="N1858" s="87" t="s">
        <v>1808</v>
      </c>
      <c r="O1858" s="87" t="s">
        <v>377</v>
      </c>
      <c r="P1858" s="87" t="s">
        <v>372</v>
      </c>
    </row>
    <row r="1859" ht="15.75" customHeight="1">
      <c r="A1859" s="87" t="s">
        <v>5708</v>
      </c>
      <c r="B1859" s="88">
        <v>1.22E18</v>
      </c>
      <c r="C1859" s="87" t="s">
        <v>5709</v>
      </c>
      <c r="D1859" s="87" t="s">
        <v>262</v>
      </c>
      <c r="E1859" s="87" t="s">
        <v>270</v>
      </c>
      <c r="F1859" s="87" t="s">
        <v>5709</v>
      </c>
      <c r="I1859" s="87" t="s">
        <v>58</v>
      </c>
      <c r="J1859" s="87" t="s">
        <v>5710</v>
      </c>
      <c r="K1859" s="90">
        <v>0.0</v>
      </c>
      <c r="L1859" s="92"/>
      <c r="M1859" s="93"/>
      <c r="N1859" s="87" t="s">
        <v>1808</v>
      </c>
      <c r="O1859" s="87" t="s">
        <v>377</v>
      </c>
      <c r="P1859" s="87" t="s">
        <v>372</v>
      </c>
    </row>
    <row r="1860" ht="15.75" customHeight="1">
      <c r="A1860" s="87" t="s">
        <v>5711</v>
      </c>
      <c r="B1860" s="88">
        <v>1.22E18</v>
      </c>
      <c r="C1860" s="87" t="s">
        <v>5712</v>
      </c>
      <c r="D1860" s="87" t="s">
        <v>262</v>
      </c>
      <c r="E1860" s="87" t="s">
        <v>270</v>
      </c>
      <c r="F1860" s="87" t="s">
        <v>5712</v>
      </c>
      <c r="I1860" s="87" t="s">
        <v>58</v>
      </c>
      <c r="J1860" s="87" t="s">
        <v>5713</v>
      </c>
      <c r="K1860" s="90">
        <v>0.0</v>
      </c>
      <c r="L1860" s="92"/>
      <c r="M1860" s="93"/>
      <c r="N1860" s="87" t="s">
        <v>1808</v>
      </c>
      <c r="O1860" s="87" t="s">
        <v>377</v>
      </c>
      <c r="P1860" s="87" t="s">
        <v>372</v>
      </c>
    </row>
    <row r="1861" ht="15.75" customHeight="1">
      <c r="A1861" s="87" t="s">
        <v>5714</v>
      </c>
      <c r="B1861" s="88">
        <v>1.22E18</v>
      </c>
      <c r="C1861" s="87" t="s">
        <v>5715</v>
      </c>
      <c r="D1861" s="87" t="s">
        <v>262</v>
      </c>
      <c r="E1861" s="87" t="s">
        <v>270</v>
      </c>
      <c r="F1861" s="87" t="s">
        <v>5715</v>
      </c>
      <c r="I1861" s="87" t="s">
        <v>58</v>
      </c>
      <c r="J1861" s="87" t="s">
        <v>4382</v>
      </c>
      <c r="K1861" s="90">
        <v>0.0</v>
      </c>
      <c r="L1861" s="92"/>
      <c r="M1861" s="93"/>
      <c r="N1861" s="87" t="s">
        <v>1808</v>
      </c>
      <c r="O1861" s="87" t="s">
        <v>377</v>
      </c>
      <c r="P1861" s="87" t="s">
        <v>372</v>
      </c>
    </row>
    <row r="1862" ht="15.75" customHeight="1">
      <c r="A1862" s="87" t="s">
        <v>5716</v>
      </c>
      <c r="B1862" s="88">
        <v>1.22E18</v>
      </c>
      <c r="C1862" s="87" t="s">
        <v>5717</v>
      </c>
      <c r="D1862" s="87" t="s">
        <v>262</v>
      </c>
      <c r="E1862" s="87" t="s">
        <v>270</v>
      </c>
      <c r="F1862" s="87" t="s">
        <v>5717</v>
      </c>
      <c r="I1862" s="87" t="s">
        <v>58</v>
      </c>
      <c r="J1862" s="87" t="s">
        <v>5718</v>
      </c>
      <c r="K1862" s="90">
        <v>0.0</v>
      </c>
      <c r="L1862" s="92"/>
      <c r="M1862" s="93"/>
      <c r="N1862" s="87" t="s">
        <v>1808</v>
      </c>
      <c r="O1862" s="87" t="s">
        <v>377</v>
      </c>
      <c r="P1862" s="87" t="s">
        <v>372</v>
      </c>
    </row>
    <row r="1863" ht="15.75" customHeight="1">
      <c r="A1863" s="87" t="s">
        <v>5719</v>
      </c>
      <c r="B1863" s="88">
        <v>1.22E18</v>
      </c>
      <c r="C1863" s="87" t="s">
        <v>5720</v>
      </c>
      <c r="D1863" s="87" t="s">
        <v>262</v>
      </c>
      <c r="E1863" s="87" t="s">
        <v>270</v>
      </c>
      <c r="F1863" s="87" t="s">
        <v>5720</v>
      </c>
      <c r="I1863" s="87" t="s">
        <v>58</v>
      </c>
      <c r="J1863" s="87" t="s">
        <v>5721</v>
      </c>
      <c r="K1863" s="90">
        <v>0.0</v>
      </c>
      <c r="L1863" s="92"/>
      <c r="M1863" s="93"/>
      <c r="N1863" s="87" t="s">
        <v>1808</v>
      </c>
      <c r="O1863" s="87" t="s">
        <v>377</v>
      </c>
      <c r="P1863" s="87" t="s">
        <v>372</v>
      </c>
    </row>
    <row r="1864" ht="15.75" customHeight="1">
      <c r="A1864" s="87" t="s">
        <v>5722</v>
      </c>
      <c r="B1864" s="88">
        <v>1.22E18</v>
      </c>
      <c r="C1864" s="87" t="s">
        <v>5723</v>
      </c>
      <c r="D1864" s="87" t="s">
        <v>262</v>
      </c>
      <c r="E1864" s="87" t="s">
        <v>270</v>
      </c>
      <c r="F1864" s="87" t="s">
        <v>5723</v>
      </c>
      <c r="I1864" s="87" t="s">
        <v>58</v>
      </c>
      <c r="J1864" s="87" t="s">
        <v>5724</v>
      </c>
      <c r="K1864" s="90">
        <v>0.0</v>
      </c>
      <c r="L1864" s="92"/>
      <c r="M1864" s="93"/>
      <c r="N1864" s="87" t="s">
        <v>1808</v>
      </c>
      <c r="O1864" s="87" t="s">
        <v>377</v>
      </c>
      <c r="P1864" s="87" t="s">
        <v>372</v>
      </c>
    </row>
    <row r="1865" ht="15.75" customHeight="1">
      <c r="A1865" s="87" t="s">
        <v>5725</v>
      </c>
      <c r="B1865" s="88">
        <v>1.22E18</v>
      </c>
      <c r="C1865" s="87" t="s">
        <v>5726</v>
      </c>
      <c r="D1865" s="87" t="s">
        <v>262</v>
      </c>
      <c r="E1865" s="87" t="s">
        <v>263</v>
      </c>
      <c r="F1865" s="87" t="s">
        <v>415</v>
      </c>
      <c r="G1865" s="93"/>
      <c r="H1865" s="93"/>
      <c r="I1865" s="87" t="s">
        <v>58</v>
      </c>
      <c r="J1865" s="87" t="s">
        <v>5727</v>
      </c>
      <c r="K1865" s="90">
        <v>1.0</v>
      </c>
      <c r="L1865" s="92"/>
      <c r="M1865" s="93"/>
      <c r="N1865" s="87" t="s">
        <v>4427</v>
      </c>
      <c r="O1865" s="87" t="s">
        <v>377</v>
      </c>
      <c r="P1865" s="87" t="s">
        <v>372</v>
      </c>
    </row>
    <row r="1866" ht="15.75" customHeight="1">
      <c r="A1866" s="87" t="s">
        <v>5728</v>
      </c>
      <c r="B1866" s="88">
        <v>1.22E18</v>
      </c>
      <c r="C1866" s="87" t="s">
        <v>5729</v>
      </c>
      <c r="D1866" s="87" t="s">
        <v>87</v>
      </c>
      <c r="E1866" s="87" t="s">
        <v>88</v>
      </c>
      <c r="F1866" s="87" t="s">
        <v>5729</v>
      </c>
      <c r="H1866" s="93"/>
      <c r="I1866" s="87" t="s">
        <v>58</v>
      </c>
      <c r="J1866" s="87" t="s">
        <v>449</v>
      </c>
      <c r="K1866" s="90">
        <v>0.0</v>
      </c>
      <c r="L1866" s="92"/>
      <c r="M1866" s="93"/>
      <c r="N1866" s="87" t="s">
        <v>3846</v>
      </c>
      <c r="O1866" s="87" t="s">
        <v>377</v>
      </c>
      <c r="P1866" s="87" t="s">
        <v>372</v>
      </c>
    </row>
    <row r="1867" ht="15.75" customHeight="1">
      <c r="A1867" s="87" t="s">
        <v>5730</v>
      </c>
      <c r="B1867" s="88">
        <v>1.22E18</v>
      </c>
      <c r="C1867" s="87" t="s">
        <v>5731</v>
      </c>
      <c r="D1867" s="87" t="s">
        <v>87</v>
      </c>
      <c r="E1867" s="87" t="s">
        <v>88</v>
      </c>
      <c r="F1867" s="118" t="s">
        <v>5731</v>
      </c>
      <c r="G1867" s="130"/>
      <c r="H1867" s="119"/>
      <c r="I1867" s="87" t="s">
        <v>58</v>
      </c>
      <c r="J1867" s="87" t="s">
        <v>5732</v>
      </c>
      <c r="K1867" s="90">
        <v>0.0</v>
      </c>
      <c r="L1867" s="92"/>
      <c r="M1867" s="93"/>
      <c r="N1867" s="87" t="s">
        <v>5733</v>
      </c>
      <c r="O1867" s="87" t="s">
        <v>377</v>
      </c>
      <c r="P1867" s="87" t="s">
        <v>372</v>
      </c>
    </row>
    <row r="1868" ht="15.75" customHeight="1">
      <c r="A1868" s="87" t="s">
        <v>5734</v>
      </c>
      <c r="B1868" s="88">
        <v>1.22E18</v>
      </c>
      <c r="C1868" s="87" t="s">
        <v>5735</v>
      </c>
      <c r="D1868" s="87" t="s">
        <v>87</v>
      </c>
      <c r="E1868" s="87" t="s">
        <v>88</v>
      </c>
      <c r="F1868" s="87" t="s">
        <v>5735</v>
      </c>
      <c r="I1868" s="87" t="s">
        <v>58</v>
      </c>
      <c r="J1868" s="87" t="s">
        <v>5736</v>
      </c>
      <c r="K1868" s="90">
        <v>0.0</v>
      </c>
      <c r="L1868" s="92"/>
      <c r="M1868" s="93"/>
      <c r="N1868" s="87" t="s">
        <v>5737</v>
      </c>
      <c r="O1868" s="87" t="s">
        <v>377</v>
      </c>
      <c r="P1868" s="87" t="s">
        <v>372</v>
      </c>
    </row>
    <row r="1869" ht="15.75" customHeight="1">
      <c r="A1869" s="87" t="s">
        <v>5738</v>
      </c>
      <c r="B1869" s="88">
        <v>1.22E18</v>
      </c>
      <c r="C1869" s="87" t="s">
        <v>5739</v>
      </c>
      <c r="D1869" s="87" t="s">
        <v>87</v>
      </c>
      <c r="E1869" s="87" t="s">
        <v>102</v>
      </c>
      <c r="F1869" s="118" t="s">
        <v>5739</v>
      </c>
      <c r="G1869" s="130"/>
      <c r="H1869" s="119"/>
      <c r="I1869" s="87" t="s">
        <v>58</v>
      </c>
      <c r="J1869" s="87" t="s">
        <v>5740</v>
      </c>
      <c r="K1869" s="90">
        <v>0.0</v>
      </c>
      <c r="L1869" s="92"/>
      <c r="M1869" s="93"/>
      <c r="N1869" s="87" t="s">
        <v>1772</v>
      </c>
      <c r="O1869" s="87" t="s">
        <v>377</v>
      </c>
      <c r="P1869" s="87" t="s">
        <v>372</v>
      </c>
    </row>
    <row r="1870" ht="15.75" customHeight="1">
      <c r="A1870" s="87" t="s">
        <v>5741</v>
      </c>
      <c r="B1870" s="88">
        <v>1.22E18</v>
      </c>
      <c r="C1870" s="87" t="s">
        <v>5742</v>
      </c>
      <c r="D1870" s="87" t="s">
        <v>87</v>
      </c>
      <c r="E1870" s="87" t="s">
        <v>88</v>
      </c>
      <c r="F1870" s="87" t="s">
        <v>5742</v>
      </c>
      <c r="I1870" s="87" t="s">
        <v>58</v>
      </c>
      <c r="J1870" s="87" t="s">
        <v>5743</v>
      </c>
      <c r="K1870" s="90">
        <v>0.0</v>
      </c>
      <c r="L1870" s="92"/>
      <c r="M1870" s="93"/>
      <c r="N1870" s="87" t="s">
        <v>1772</v>
      </c>
      <c r="O1870" s="87" t="s">
        <v>377</v>
      </c>
      <c r="P1870" s="87" t="s">
        <v>372</v>
      </c>
    </row>
    <row r="1871" ht="15.75" customHeight="1">
      <c r="A1871" s="87" t="s">
        <v>5744</v>
      </c>
      <c r="B1871" s="88">
        <v>1.22E18</v>
      </c>
      <c r="C1871" s="87" t="s">
        <v>5745</v>
      </c>
      <c r="D1871" s="87" t="s">
        <v>57</v>
      </c>
      <c r="E1871" s="87" t="s">
        <v>281</v>
      </c>
      <c r="F1871" s="118" t="s">
        <v>5745</v>
      </c>
      <c r="G1871" s="130"/>
      <c r="H1871" s="119"/>
      <c r="I1871" s="87" t="s">
        <v>58</v>
      </c>
      <c r="J1871" s="87" t="s">
        <v>5746</v>
      </c>
      <c r="K1871" s="90">
        <v>0.0</v>
      </c>
      <c r="L1871" s="92"/>
      <c r="M1871" s="93"/>
      <c r="N1871" s="87" t="s">
        <v>1772</v>
      </c>
      <c r="O1871" s="87" t="s">
        <v>377</v>
      </c>
      <c r="P1871" s="87" t="s">
        <v>372</v>
      </c>
    </row>
    <row r="1872" ht="15.75" customHeight="1">
      <c r="A1872" s="87" t="s">
        <v>5747</v>
      </c>
      <c r="B1872" s="88">
        <v>1.22E18</v>
      </c>
      <c r="C1872" s="87" t="s">
        <v>5748</v>
      </c>
      <c r="D1872" s="87" t="s">
        <v>262</v>
      </c>
      <c r="E1872" s="87" t="s">
        <v>263</v>
      </c>
      <c r="F1872" s="87" t="s">
        <v>415</v>
      </c>
      <c r="G1872" s="93"/>
      <c r="H1872" s="93"/>
      <c r="I1872" s="87" t="s">
        <v>58</v>
      </c>
      <c r="J1872" s="87" t="s">
        <v>5749</v>
      </c>
      <c r="K1872" s="90">
        <v>1.0</v>
      </c>
      <c r="L1872" s="92"/>
      <c r="M1872" s="93"/>
      <c r="N1872" s="87" t="s">
        <v>5750</v>
      </c>
      <c r="O1872" s="87" t="s">
        <v>377</v>
      </c>
      <c r="P1872" s="87" t="s">
        <v>372</v>
      </c>
    </row>
    <row r="1873" ht="15.75" customHeight="1">
      <c r="A1873" s="87" t="s">
        <v>5751</v>
      </c>
      <c r="B1873" s="88">
        <v>1.22E18</v>
      </c>
      <c r="C1873" s="87" t="s">
        <v>5752</v>
      </c>
      <c r="D1873" s="87" t="s">
        <v>262</v>
      </c>
      <c r="E1873" s="87" t="s">
        <v>263</v>
      </c>
      <c r="F1873" s="87" t="s">
        <v>415</v>
      </c>
      <c r="G1873" s="93"/>
      <c r="H1873" s="93"/>
      <c r="I1873" s="87" t="s">
        <v>58</v>
      </c>
      <c r="J1873" s="87" t="s">
        <v>5753</v>
      </c>
      <c r="K1873" s="90">
        <v>2.0</v>
      </c>
      <c r="L1873" s="92"/>
      <c r="M1873" s="93"/>
      <c r="N1873" s="87" t="s">
        <v>1772</v>
      </c>
      <c r="O1873" s="87" t="s">
        <v>377</v>
      </c>
      <c r="P1873" s="87" t="s">
        <v>372</v>
      </c>
    </row>
    <row r="1874" ht="15.75" customHeight="1">
      <c r="A1874" s="87" t="s">
        <v>5754</v>
      </c>
      <c r="B1874" s="88">
        <v>1.22E18</v>
      </c>
      <c r="C1874" s="87" t="s">
        <v>5755</v>
      </c>
      <c r="D1874" s="87" t="s">
        <v>87</v>
      </c>
      <c r="E1874" s="87" t="s">
        <v>228</v>
      </c>
      <c r="F1874" s="87" t="s">
        <v>5755</v>
      </c>
      <c r="I1874" s="87" t="s">
        <v>340</v>
      </c>
      <c r="J1874" s="87" t="s">
        <v>5756</v>
      </c>
      <c r="K1874" s="90">
        <v>4000.0</v>
      </c>
      <c r="L1874" s="92"/>
      <c r="M1874" s="93"/>
      <c r="N1874" s="87" t="s">
        <v>617</v>
      </c>
      <c r="O1874" s="87" t="s">
        <v>377</v>
      </c>
      <c r="P1874" s="87" t="s">
        <v>372</v>
      </c>
    </row>
    <row r="1875" ht="15.75" customHeight="1">
      <c r="A1875" s="87" t="s">
        <v>5757</v>
      </c>
      <c r="B1875" s="88">
        <v>1.22E18</v>
      </c>
      <c r="C1875" s="87" t="s">
        <v>5758</v>
      </c>
      <c r="D1875" s="87" t="s">
        <v>87</v>
      </c>
      <c r="E1875" s="87" t="s">
        <v>233</v>
      </c>
      <c r="F1875" s="118" t="s">
        <v>5758</v>
      </c>
      <c r="G1875" s="130"/>
      <c r="H1875" s="119"/>
      <c r="I1875" s="87" t="s">
        <v>58</v>
      </c>
      <c r="J1875" s="87" t="s">
        <v>5759</v>
      </c>
      <c r="K1875" s="90">
        <v>0.0</v>
      </c>
      <c r="L1875" s="92"/>
      <c r="M1875" s="93"/>
      <c r="N1875" s="87" t="s">
        <v>1808</v>
      </c>
      <c r="O1875" s="87" t="s">
        <v>377</v>
      </c>
      <c r="P1875" s="87" t="s">
        <v>372</v>
      </c>
    </row>
    <row r="1876" ht="15.75" customHeight="1">
      <c r="A1876" s="87" t="s">
        <v>5760</v>
      </c>
      <c r="B1876" s="88">
        <v>1.22E18</v>
      </c>
      <c r="C1876" s="87" t="s">
        <v>5761</v>
      </c>
      <c r="D1876" s="87" t="s">
        <v>262</v>
      </c>
      <c r="E1876" s="87" t="s">
        <v>270</v>
      </c>
      <c r="F1876" s="118" t="s">
        <v>5761</v>
      </c>
      <c r="G1876" s="130"/>
      <c r="H1876" s="119"/>
      <c r="I1876" s="87" t="s">
        <v>58</v>
      </c>
      <c r="J1876" s="87" t="s">
        <v>2595</v>
      </c>
      <c r="K1876" s="90">
        <v>0.0</v>
      </c>
      <c r="L1876" s="92"/>
      <c r="M1876" s="93"/>
      <c r="N1876" s="87" t="s">
        <v>1808</v>
      </c>
      <c r="O1876" s="87" t="s">
        <v>377</v>
      </c>
      <c r="P1876" s="87" t="s">
        <v>372</v>
      </c>
    </row>
    <row r="1877" ht="15.75" customHeight="1">
      <c r="A1877" s="87" t="s">
        <v>5762</v>
      </c>
      <c r="B1877" s="88">
        <v>1.22E18</v>
      </c>
      <c r="C1877" s="87" t="s">
        <v>5763</v>
      </c>
      <c r="D1877" s="87" t="s">
        <v>262</v>
      </c>
      <c r="E1877" s="87" t="s">
        <v>270</v>
      </c>
      <c r="F1877" s="87" t="s">
        <v>1749</v>
      </c>
      <c r="H1877" s="93"/>
      <c r="I1877" s="87" t="s">
        <v>58</v>
      </c>
      <c r="J1877" s="87" t="s">
        <v>5764</v>
      </c>
      <c r="K1877" s="90">
        <v>0.0</v>
      </c>
      <c r="L1877" s="92"/>
      <c r="M1877" s="93"/>
      <c r="N1877" s="87" t="s">
        <v>1808</v>
      </c>
      <c r="O1877" s="87" t="s">
        <v>377</v>
      </c>
      <c r="P1877" s="87" t="s">
        <v>372</v>
      </c>
    </row>
    <row r="1878" ht="15.75" customHeight="1">
      <c r="A1878" s="87" t="s">
        <v>5765</v>
      </c>
      <c r="B1878" s="88">
        <v>1.22E18</v>
      </c>
      <c r="C1878" s="87" t="s">
        <v>5766</v>
      </c>
      <c r="D1878" s="87" t="s">
        <v>262</v>
      </c>
      <c r="E1878" s="87" t="s">
        <v>270</v>
      </c>
      <c r="F1878" s="87" t="s">
        <v>5766</v>
      </c>
      <c r="I1878" s="87" t="s">
        <v>58</v>
      </c>
      <c r="J1878" s="87" t="s">
        <v>3377</v>
      </c>
      <c r="K1878" s="90">
        <v>0.0</v>
      </c>
      <c r="L1878" s="92"/>
      <c r="M1878" s="93"/>
      <c r="N1878" s="87" t="s">
        <v>1808</v>
      </c>
      <c r="O1878" s="87" t="s">
        <v>377</v>
      </c>
      <c r="P1878" s="87" t="s">
        <v>372</v>
      </c>
    </row>
    <row r="1879" ht="15.75" customHeight="1">
      <c r="A1879" s="87" t="s">
        <v>5767</v>
      </c>
      <c r="B1879" s="88">
        <v>1.22E18</v>
      </c>
      <c r="C1879" s="87" t="s">
        <v>5768</v>
      </c>
      <c r="D1879" s="87" t="s">
        <v>87</v>
      </c>
      <c r="E1879" s="87" t="s">
        <v>88</v>
      </c>
      <c r="F1879" s="87" t="s">
        <v>5768</v>
      </c>
      <c r="H1879" s="93"/>
      <c r="I1879" s="87" t="s">
        <v>495</v>
      </c>
      <c r="J1879" s="87" t="s">
        <v>3386</v>
      </c>
      <c r="K1879" s="90">
        <v>0.0</v>
      </c>
      <c r="L1879" s="92"/>
      <c r="M1879" s="93"/>
      <c r="N1879" s="87" t="s">
        <v>4405</v>
      </c>
      <c r="O1879" s="87" t="s">
        <v>377</v>
      </c>
      <c r="P1879" s="87" t="s">
        <v>372</v>
      </c>
    </row>
    <row r="1880" ht="15.75" customHeight="1">
      <c r="A1880" s="87" t="s">
        <v>5769</v>
      </c>
      <c r="B1880" s="88">
        <v>1.22E18</v>
      </c>
      <c r="C1880" s="87" t="s">
        <v>5770</v>
      </c>
      <c r="D1880" s="87" t="s">
        <v>87</v>
      </c>
      <c r="E1880" s="87" t="s">
        <v>88</v>
      </c>
      <c r="F1880" s="87" t="s">
        <v>5770</v>
      </c>
      <c r="H1880" s="93"/>
      <c r="I1880" s="87" t="s">
        <v>495</v>
      </c>
      <c r="J1880" s="87" t="s">
        <v>3386</v>
      </c>
      <c r="K1880" s="90">
        <v>0.0</v>
      </c>
      <c r="L1880" s="92"/>
      <c r="M1880" s="93"/>
      <c r="N1880" s="87" t="s">
        <v>4405</v>
      </c>
      <c r="O1880" s="87" t="s">
        <v>377</v>
      </c>
      <c r="P1880" s="87" t="s">
        <v>372</v>
      </c>
    </row>
    <row r="1881" ht="15.75" customHeight="1">
      <c r="A1881" s="87" t="s">
        <v>5771</v>
      </c>
      <c r="B1881" s="88">
        <v>1.22E18</v>
      </c>
      <c r="C1881" s="87" t="s">
        <v>5772</v>
      </c>
      <c r="D1881" s="87" t="s">
        <v>87</v>
      </c>
      <c r="E1881" s="87" t="s">
        <v>88</v>
      </c>
      <c r="F1881" s="87" t="s">
        <v>5772</v>
      </c>
      <c r="H1881" s="93"/>
      <c r="I1881" s="87" t="s">
        <v>495</v>
      </c>
      <c r="J1881" s="87" t="s">
        <v>3386</v>
      </c>
      <c r="K1881" s="90">
        <v>0.0</v>
      </c>
      <c r="L1881" s="92"/>
      <c r="M1881" s="93"/>
      <c r="N1881" s="87" t="s">
        <v>4405</v>
      </c>
      <c r="O1881" s="87" t="s">
        <v>377</v>
      </c>
      <c r="P1881" s="87" t="s">
        <v>372</v>
      </c>
    </row>
    <row r="1882" ht="15.75" customHeight="1">
      <c r="A1882" s="87" t="s">
        <v>5773</v>
      </c>
      <c r="B1882" s="88">
        <v>1.22E18</v>
      </c>
      <c r="C1882" s="87" t="s">
        <v>5774</v>
      </c>
      <c r="D1882" s="87" t="s">
        <v>87</v>
      </c>
      <c r="E1882" s="87" t="s">
        <v>228</v>
      </c>
      <c r="F1882" s="87" t="s">
        <v>5774</v>
      </c>
      <c r="I1882" s="87" t="s">
        <v>58</v>
      </c>
      <c r="J1882" s="87" t="s">
        <v>5775</v>
      </c>
      <c r="K1882" s="90">
        <v>0.0</v>
      </c>
      <c r="L1882" s="92"/>
      <c r="M1882" s="93"/>
      <c r="N1882" s="87" t="s">
        <v>2483</v>
      </c>
      <c r="O1882" s="87" t="s">
        <v>377</v>
      </c>
      <c r="P1882" s="87" t="s">
        <v>372</v>
      </c>
    </row>
    <row r="1883" ht="15.75" customHeight="1">
      <c r="A1883" s="87" t="s">
        <v>5776</v>
      </c>
      <c r="B1883" s="88">
        <v>1.22E18</v>
      </c>
      <c r="C1883" s="87" t="s">
        <v>5777</v>
      </c>
      <c r="D1883" s="87" t="s">
        <v>262</v>
      </c>
      <c r="E1883" s="87" t="s">
        <v>278</v>
      </c>
      <c r="F1883" s="87" t="s">
        <v>5777</v>
      </c>
      <c r="H1883" s="93"/>
      <c r="I1883" s="87" t="s">
        <v>58</v>
      </c>
      <c r="J1883" s="87" t="s">
        <v>5778</v>
      </c>
      <c r="L1883" s="92"/>
      <c r="M1883" s="93"/>
      <c r="N1883" s="87" t="s">
        <v>5779</v>
      </c>
      <c r="O1883" s="87" t="s">
        <v>377</v>
      </c>
      <c r="P1883" s="87" t="s">
        <v>2565</v>
      </c>
    </row>
    <row r="1884" ht="15.75" customHeight="1">
      <c r="A1884" s="87" t="s">
        <v>5780</v>
      </c>
      <c r="B1884" s="88">
        <v>1.22E18</v>
      </c>
      <c r="C1884" s="87" t="s">
        <v>5781</v>
      </c>
      <c r="D1884" s="87" t="s">
        <v>262</v>
      </c>
      <c r="E1884" s="87" t="s">
        <v>270</v>
      </c>
      <c r="F1884" s="118" t="s">
        <v>5781</v>
      </c>
      <c r="G1884" s="130"/>
      <c r="H1884" s="119"/>
      <c r="I1884" s="87" t="s">
        <v>5012</v>
      </c>
      <c r="J1884" s="87" t="s">
        <v>5782</v>
      </c>
      <c r="K1884" s="90">
        <v>0.0</v>
      </c>
      <c r="L1884" s="92"/>
      <c r="M1884" s="93"/>
      <c r="N1884" s="87" t="s">
        <v>1772</v>
      </c>
      <c r="O1884" s="87" t="s">
        <v>377</v>
      </c>
      <c r="P1884" s="87" t="s">
        <v>372</v>
      </c>
    </row>
    <row r="1885" ht="15.75" customHeight="1">
      <c r="A1885" s="87" t="s">
        <v>5783</v>
      </c>
      <c r="B1885" s="88">
        <v>1.22E18</v>
      </c>
      <c r="C1885" s="87" t="s">
        <v>5784</v>
      </c>
      <c r="D1885" s="87" t="s">
        <v>262</v>
      </c>
      <c r="E1885" s="87" t="s">
        <v>263</v>
      </c>
      <c r="F1885" s="87" t="s">
        <v>5784</v>
      </c>
      <c r="I1885" s="87" t="s">
        <v>58</v>
      </c>
      <c r="J1885" s="87" t="s">
        <v>5785</v>
      </c>
      <c r="K1885" s="90">
        <v>0.0</v>
      </c>
      <c r="L1885" s="92"/>
      <c r="M1885" s="93"/>
      <c r="N1885" s="87" t="s">
        <v>4427</v>
      </c>
      <c r="O1885" s="87" t="s">
        <v>377</v>
      </c>
      <c r="P1885" s="87" t="s">
        <v>372</v>
      </c>
    </row>
    <row r="1886" ht="15.75" customHeight="1">
      <c r="A1886" s="87" t="s">
        <v>5786</v>
      </c>
      <c r="B1886" s="88">
        <v>1.22E18</v>
      </c>
      <c r="C1886" s="87" t="s">
        <v>5787</v>
      </c>
      <c r="D1886" s="87" t="s">
        <v>56</v>
      </c>
      <c r="E1886" s="87" t="s">
        <v>259</v>
      </c>
      <c r="F1886" s="87" t="s">
        <v>5787</v>
      </c>
      <c r="I1886" s="87" t="s">
        <v>58</v>
      </c>
      <c r="J1886" s="87" t="s">
        <v>5788</v>
      </c>
      <c r="K1886" s="90">
        <v>0.0</v>
      </c>
      <c r="L1886" s="92"/>
      <c r="M1886" s="93"/>
      <c r="N1886" s="87" t="s">
        <v>2849</v>
      </c>
      <c r="O1886" s="87" t="s">
        <v>377</v>
      </c>
      <c r="P1886" s="87" t="s">
        <v>372</v>
      </c>
    </row>
    <row r="1887" ht="15.75" customHeight="1">
      <c r="A1887" s="87" t="s">
        <v>5789</v>
      </c>
      <c r="B1887" s="88">
        <v>1.22E18</v>
      </c>
      <c r="C1887" s="87" t="s">
        <v>5790</v>
      </c>
      <c r="D1887" s="87" t="s">
        <v>56</v>
      </c>
      <c r="E1887" s="87" t="s">
        <v>259</v>
      </c>
      <c r="F1887" s="87" t="s">
        <v>5790</v>
      </c>
      <c r="I1887" s="87" t="s">
        <v>58</v>
      </c>
      <c r="J1887" s="87" t="s">
        <v>5791</v>
      </c>
      <c r="K1887" s="90">
        <v>0.0</v>
      </c>
      <c r="L1887" s="92"/>
      <c r="M1887" s="93"/>
      <c r="N1887" s="87" t="s">
        <v>2849</v>
      </c>
      <c r="O1887" s="87" t="s">
        <v>377</v>
      </c>
      <c r="P1887" s="87" t="s">
        <v>372</v>
      </c>
    </row>
    <row r="1888" ht="15.75" customHeight="1">
      <c r="A1888" s="87" t="s">
        <v>5792</v>
      </c>
      <c r="B1888" s="88">
        <v>1.22E18</v>
      </c>
      <c r="C1888" s="87" t="s">
        <v>5793</v>
      </c>
      <c r="D1888" s="87" t="s">
        <v>57</v>
      </c>
      <c r="E1888" s="87" t="s">
        <v>287</v>
      </c>
      <c r="F1888" s="87" t="s">
        <v>415</v>
      </c>
      <c r="G1888" s="93"/>
      <c r="H1888" s="93"/>
      <c r="I1888" s="87" t="s">
        <v>58</v>
      </c>
      <c r="J1888" s="87" t="s">
        <v>5794</v>
      </c>
      <c r="K1888" s="90">
        <v>1.0</v>
      </c>
      <c r="L1888" s="92"/>
      <c r="M1888" s="93"/>
      <c r="N1888" s="87" t="s">
        <v>5795</v>
      </c>
      <c r="O1888" s="87" t="s">
        <v>377</v>
      </c>
      <c r="P1888" s="87" t="s">
        <v>372</v>
      </c>
    </row>
    <row r="1889" ht="15.75" customHeight="1">
      <c r="A1889" s="87" t="s">
        <v>5796</v>
      </c>
      <c r="B1889" s="88">
        <v>1.22E18</v>
      </c>
      <c r="C1889" s="87" t="s">
        <v>5797</v>
      </c>
      <c r="D1889" s="87" t="s">
        <v>87</v>
      </c>
      <c r="E1889" s="87" t="s">
        <v>88</v>
      </c>
      <c r="F1889" s="87" t="s">
        <v>5797</v>
      </c>
      <c r="I1889" s="87" t="s">
        <v>327</v>
      </c>
      <c r="J1889" s="87" t="s">
        <v>5798</v>
      </c>
      <c r="K1889" s="90">
        <v>0.0</v>
      </c>
      <c r="L1889" s="92"/>
      <c r="M1889" s="93"/>
      <c r="N1889" s="87" t="s">
        <v>5799</v>
      </c>
      <c r="O1889" s="87" t="s">
        <v>377</v>
      </c>
      <c r="P1889" s="87" t="s">
        <v>372</v>
      </c>
    </row>
    <row r="1890" ht="15.75" customHeight="1">
      <c r="A1890" s="87" t="s">
        <v>5800</v>
      </c>
      <c r="B1890" s="88">
        <v>1.22E18</v>
      </c>
      <c r="C1890" s="87" t="s">
        <v>5801</v>
      </c>
      <c r="D1890" s="87" t="s">
        <v>56</v>
      </c>
      <c r="E1890" s="87" t="s">
        <v>142</v>
      </c>
      <c r="F1890" s="87" t="s">
        <v>5801</v>
      </c>
      <c r="I1890" s="87" t="s">
        <v>58</v>
      </c>
      <c r="J1890" s="87" t="s">
        <v>386</v>
      </c>
      <c r="K1890" s="90">
        <v>0.0</v>
      </c>
      <c r="L1890" s="92"/>
      <c r="M1890" s="93"/>
      <c r="N1890" s="87" t="s">
        <v>4690</v>
      </c>
      <c r="O1890" s="87" t="s">
        <v>377</v>
      </c>
      <c r="P1890" s="87" t="s">
        <v>372</v>
      </c>
    </row>
    <row r="1891" ht="15.75" customHeight="1">
      <c r="A1891" s="87" t="s">
        <v>5802</v>
      </c>
      <c r="B1891" s="88">
        <v>1.22E18</v>
      </c>
      <c r="C1891" s="87" t="s">
        <v>5803</v>
      </c>
      <c r="D1891" s="87" t="s">
        <v>262</v>
      </c>
      <c r="E1891" s="87" t="s">
        <v>263</v>
      </c>
      <c r="F1891" s="87" t="s">
        <v>415</v>
      </c>
      <c r="G1891" s="93"/>
      <c r="H1891" s="93"/>
      <c r="I1891" s="87" t="s">
        <v>58</v>
      </c>
      <c r="J1891" s="87" t="s">
        <v>5804</v>
      </c>
      <c r="K1891" s="90">
        <v>7.0</v>
      </c>
      <c r="L1891" s="92"/>
      <c r="M1891" s="93"/>
      <c r="N1891" s="87" t="s">
        <v>5805</v>
      </c>
      <c r="O1891" s="87" t="s">
        <v>377</v>
      </c>
      <c r="P1891" s="87" t="s">
        <v>372</v>
      </c>
    </row>
    <row r="1892" ht="15.75" customHeight="1">
      <c r="A1892" s="87" t="s">
        <v>5806</v>
      </c>
      <c r="B1892" s="88">
        <v>1.22E18</v>
      </c>
      <c r="C1892" s="87" t="s">
        <v>5807</v>
      </c>
      <c r="D1892" s="87" t="s">
        <v>262</v>
      </c>
      <c r="E1892" s="87" t="s">
        <v>263</v>
      </c>
      <c r="F1892" s="87" t="s">
        <v>415</v>
      </c>
      <c r="G1892" s="93"/>
      <c r="H1892" s="93"/>
      <c r="I1892" s="87" t="s">
        <v>58</v>
      </c>
      <c r="J1892" s="87" t="s">
        <v>5808</v>
      </c>
      <c r="K1892" s="90">
        <v>28.0</v>
      </c>
      <c r="L1892" s="92"/>
      <c r="M1892" s="93"/>
      <c r="N1892" s="87" t="s">
        <v>5805</v>
      </c>
      <c r="O1892" s="87" t="s">
        <v>377</v>
      </c>
      <c r="P1892" s="87" t="s">
        <v>372</v>
      </c>
    </row>
    <row r="1893" ht="15.75" customHeight="1">
      <c r="A1893" s="87" t="s">
        <v>5809</v>
      </c>
      <c r="B1893" s="88">
        <v>1.22E18</v>
      </c>
      <c r="C1893" s="87" t="s">
        <v>5810</v>
      </c>
      <c r="D1893" s="87" t="s">
        <v>56</v>
      </c>
      <c r="E1893" s="87" t="s">
        <v>59</v>
      </c>
      <c r="F1893" s="87" t="s">
        <v>5810</v>
      </c>
      <c r="I1893" s="87" t="s">
        <v>58</v>
      </c>
      <c r="J1893" s="87" t="s">
        <v>682</v>
      </c>
      <c r="K1893" s="90">
        <v>60000.0</v>
      </c>
      <c r="L1893" s="92"/>
      <c r="M1893" s="93"/>
      <c r="N1893" s="87" t="s">
        <v>5811</v>
      </c>
      <c r="O1893" s="87" t="s">
        <v>377</v>
      </c>
      <c r="P1893" s="87" t="s">
        <v>372</v>
      </c>
    </row>
    <row r="1894" ht="15.75" customHeight="1">
      <c r="A1894" s="87" t="s">
        <v>5812</v>
      </c>
      <c r="B1894" s="88">
        <v>1.22E18</v>
      </c>
      <c r="C1894" s="87" t="s">
        <v>5813</v>
      </c>
      <c r="D1894" s="87" t="s">
        <v>262</v>
      </c>
      <c r="E1894" s="87" t="s">
        <v>263</v>
      </c>
      <c r="F1894" s="87" t="s">
        <v>415</v>
      </c>
      <c r="G1894" s="93"/>
      <c r="H1894" s="93"/>
      <c r="I1894" s="87" t="s">
        <v>58</v>
      </c>
      <c r="J1894" s="87" t="s">
        <v>5814</v>
      </c>
      <c r="K1894" s="90">
        <v>1.0</v>
      </c>
      <c r="L1894" s="92"/>
      <c r="M1894" s="93"/>
      <c r="N1894" s="87" t="s">
        <v>5815</v>
      </c>
      <c r="O1894" s="87" t="s">
        <v>377</v>
      </c>
      <c r="P1894" s="87" t="s">
        <v>372</v>
      </c>
    </row>
    <row r="1895" ht="15.75" customHeight="1">
      <c r="A1895" s="87" t="s">
        <v>5816</v>
      </c>
      <c r="B1895" s="88">
        <v>1.22E18</v>
      </c>
      <c r="C1895" s="87" t="s">
        <v>5817</v>
      </c>
      <c r="D1895" s="87" t="s">
        <v>262</v>
      </c>
      <c r="E1895" s="87" t="s">
        <v>263</v>
      </c>
      <c r="F1895" s="87" t="s">
        <v>415</v>
      </c>
      <c r="G1895" s="93"/>
      <c r="H1895" s="93"/>
      <c r="I1895" s="87" t="s">
        <v>58</v>
      </c>
      <c r="J1895" s="87" t="s">
        <v>2844</v>
      </c>
      <c r="K1895" s="90">
        <v>1.0</v>
      </c>
      <c r="L1895" s="92"/>
      <c r="M1895" s="93"/>
      <c r="N1895" s="87" t="s">
        <v>5815</v>
      </c>
      <c r="O1895" s="87" t="s">
        <v>377</v>
      </c>
      <c r="P1895" s="87" t="s">
        <v>372</v>
      </c>
    </row>
    <row r="1896" ht="15.75" customHeight="1">
      <c r="A1896" s="87" t="s">
        <v>5818</v>
      </c>
      <c r="B1896" s="88">
        <v>1.22E18</v>
      </c>
      <c r="C1896" s="87" t="s">
        <v>5819</v>
      </c>
      <c r="D1896" s="87" t="s">
        <v>262</v>
      </c>
      <c r="E1896" s="87" t="s">
        <v>267</v>
      </c>
      <c r="F1896" s="118" t="s">
        <v>5819</v>
      </c>
      <c r="G1896" s="130"/>
      <c r="H1896" s="119"/>
      <c r="I1896" s="87" t="s">
        <v>58</v>
      </c>
      <c r="J1896" s="87" t="s">
        <v>5820</v>
      </c>
      <c r="K1896" s="90">
        <v>0.0</v>
      </c>
      <c r="L1896" s="92"/>
      <c r="M1896" s="93"/>
      <c r="N1896" s="87" t="s">
        <v>1772</v>
      </c>
      <c r="O1896" s="87" t="s">
        <v>377</v>
      </c>
      <c r="P1896" s="87" t="s">
        <v>372</v>
      </c>
    </row>
    <row r="1897" ht="15.75" customHeight="1">
      <c r="A1897" s="87" t="s">
        <v>5821</v>
      </c>
      <c r="B1897" s="88">
        <v>1.22E18</v>
      </c>
      <c r="C1897" s="87" t="s">
        <v>5822</v>
      </c>
      <c r="D1897" s="87" t="s">
        <v>262</v>
      </c>
      <c r="E1897" s="87" t="s">
        <v>263</v>
      </c>
      <c r="F1897" s="87" t="s">
        <v>415</v>
      </c>
      <c r="G1897" s="93"/>
      <c r="H1897" s="93"/>
      <c r="I1897" s="87" t="s">
        <v>58</v>
      </c>
      <c r="J1897" s="87" t="s">
        <v>5823</v>
      </c>
      <c r="K1897" s="90">
        <v>0.0</v>
      </c>
      <c r="L1897" s="92"/>
      <c r="M1897" s="93"/>
      <c r="N1897" s="87" t="s">
        <v>1772</v>
      </c>
      <c r="O1897" s="87" t="s">
        <v>377</v>
      </c>
      <c r="P1897" s="87" t="s">
        <v>372</v>
      </c>
    </row>
    <row r="1898" ht="15.75" customHeight="1">
      <c r="A1898" s="87" t="s">
        <v>5824</v>
      </c>
      <c r="B1898" s="88">
        <v>1.22E18</v>
      </c>
      <c r="C1898" s="87" t="s">
        <v>5825</v>
      </c>
      <c r="D1898" s="87" t="s">
        <v>87</v>
      </c>
      <c r="E1898" s="87" t="s">
        <v>88</v>
      </c>
      <c r="F1898" s="87" t="s">
        <v>5825</v>
      </c>
      <c r="I1898" s="87" t="s">
        <v>58</v>
      </c>
      <c r="J1898" s="87" t="s">
        <v>5826</v>
      </c>
      <c r="K1898" s="90">
        <v>0.0</v>
      </c>
      <c r="L1898" s="92"/>
      <c r="M1898" s="93"/>
      <c r="N1898" s="87" t="s">
        <v>1772</v>
      </c>
      <c r="O1898" s="87" t="s">
        <v>377</v>
      </c>
      <c r="P1898" s="87" t="s">
        <v>372</v>
      </c>
    </row>
    <row r="1899" ht="15.75" customHeight="1">
      <c r="A1899" s="87" t="s">
        <v>5827</v>
      </c>
      <c r="B1899" s="88">
        <v>1.22E18</v>
      </c>
      <c r="C1899" s="87" t="s">
        <v>5828</v>
      </c>
      <c r="D1899" s="87" t="s">
        <v>87</v>
      </c>
      <c r="E1899" s="87" t="s">
        <v>88</v>
      </c>
      <c r="F1899" s="87" t="s">
        <v>5828</v>
      </c>
      <c r="I1899" s="87" t="s">
        <v>58</v>
      </c>
      <c r="J1899" s="87" t="s">
        <v>5829</v>
      </c>
      <c r="K1899" s="90">
        <v>0.0</v>
      </c>
      <c r="L1899" s="92"/>
      <c r="M1899" s="93"/>
      <c r="N1899" s="87" t="s">
        <v>1772</v>
      </c>
      <c r="O1899" s="87" t="s">
        <v>377</v>
      </c>
      <c r="P1899" s="87" t="s">
        <v>372</v>
      </c>
    </row>
    <row r="1900" ht="15.75" customHeight="1">
      <c r="A1900" s="87" t="s">
        <v>5830</v>
      </c>
      <c r="B1900" s="88">
        <v>1.22E18</v>
      </c>
      <c r="C1900" s="87" t="s">
        <v>5831</v>
      </c>
      <c r="D1900" s="87" t="s">
        <v>57</v>
      </c>
      <c r="E1900" s="87" t="s">
        <v>281</v>
      </c>
      <c r="F1900" s="87" t="s">
        <v>5831</v>
      </c>
      <c r="I1900" s="87" t="s">
        <v>5012</v>
      </c>
      <c r="J1900" s="87" t="s">
        <v>5832</v>
      </c>
      <c r="K1900" s="90">
        <v>0.0</v>
      </c>
      <c r="L1900" s="92"/>
      <c r="M1900" s="93"/>
      <c r="N1900" s="87" t="s">
        <v>1772</v>
      </c>
      <c r="O1900" s="87" t="s">
        <v>377</v>
      </c>
      <c r="P1900" s="87" t="s">
        <v>372</v>
      </c>
    </row>
    <row r="1901" ht="15.75" customHeight="1">
      <c r="A1901" s="87" t="s">
        <v>5833</v>
      </c>
      <c r="B1901" s="88">
        <v>1.22E18</v>
      </c>
      <c r="C1901" s="87" t="s">
        <v>5834</v>
      </c>
      <c r="D1901" s="87" t="s">
        <v>87</v>
      </c>
      <c r="E1901" s="87" t="s">
        <v>88</v>
      </c>
      <c r="F1901" s="87" t="s">
        <v>5834</v>
      </c>
      <c r="I1901" s="87" t="s">
        <v>58</v>
      </c>
      <c r="J1901" s="87" t="s">
        <v>5835</v>
      </c>
      <c r="K1901" s="90">
        <v>0.0</v>
      </c>
      <c r="L1901" s="92"/>
      <c r="M1901" s="93"/>
      <c r="N1901" s="87" t="s">
        <v>1772</v>
      </c>
      <c r="O1901" s="87" t="s">
        <v>377</v>
      </c>
      <c r="P1901" s="87" t="s">
        <v>372</v>
      </c>
    </row>
    <row r="1902" ht="15.75" customHeight="1">
      <c r="A1902" s="87" t="s">
        <v>5836</v>
      </c>
      <c r="B1902" s="88">
        <v>1.22E18</v>
      </c>
      <c r="C1902" s="87" t="s">
        <v>5837</v>
      </c>
      <c r="D1902" s="87" t="s">
        <v>262</v>
      </c>
      <c r="E1902" s="87" t="s">
        <v>263</v>
      </c>
      <c r="F1902" s="87" t="s">
        <v>415</v>
      </c>
      <c r="G1902" s="93"/>
      <c r="H1902" s="93"/>
      <c r="I1902" s="87" t="s">
        <v>58</v>
      </c>
      <c r="J1902" s="87" t="s">
        <v>5838</v>
      </c>
      <c r="K1902" s="90">
        <v>1.0</v>
      </c>
      <c r="L1902" s="92"/>
      <c r="M1902" s="93"/>
      <c r="N1902" s="87" t="s">
        <v>5839</v>
      </c>
      <c r="O1902" s="87" t="s">
        <v>377</v>
      </c>
      <c r="P1902" s="87" t="s">
        <v>372</v>
      </c>
    </row>
    <row r="1903" ht="15.75" customHeight="1">
      <c r="A1903" s="87" t="s">
        <v>5840</v>
      </c>
      <c r="B1903" s="88">
        <v>1.22E18</v>
      </c>
      <c r="C1903" s="87" t="s">
        <v>5841</v>
      </c>
      <c r="D1903" s="87" t="s">
        <v>87</v>
      </c>
      <c r="E1903" s="87" t="s">
        <v>88</v>
      </c>
      <c r="F1903" s="87" t="s">
        <v>5841</v>
      </c>
      <c r="I1903" s="87" t="s">
        <v>58</v>
      </c>
      <c r="J1903" s="87" t="s">
        <v>5842</v>
      </c>
      <c r="K1903" s="90">
        <v>0.0</v>
      </c>
      <c r="L1903" s="92"/>
      <c r="M1903" s="93"/>
      <c r="N1903" s="93"/>
      <c r="O1903" s="87" t="s">
        <v>377</v>
      </c>
      <c r="P1903" s="87" t="s">
        <v>372</v>
      </c>
    </row>
    <row r="1904" ht="15.75" customHeight="1">
      <c r="A1904" s="87" t="s">
        <v>5843</v>
      </c>
      <c r="B1904" s="88">
        <v>1.22E18</v>
      </c>
      <c r="C1904" s="87" t="s">
        <v>5844</v>
      </c>
      <c r="D1904" s="87" t="s">
        <v>87</v>
      </c>
      <c r="E1904" s="87" t="s">
        <v>88</v>
      </c>
      <c r="F1904" s="87" t="s">
        <v>5844</v>
      </c>
      <c r="I1904" s="87" t="s">
        <v>457</v>
      </c>
      <c r="J1904" s="87" t="s">
        <v>1738</v>
      </c>
      <c r="K1904" s="90">
        <v>0.0</v>
      </c>
      <c r="L1904" s="92"/>
      <c r="M1904" s="93"/>
      <c r="N1904" s="87" t="s">
        <v>5845</v>
      </c>
      <c r="O1904" s="87" t="s">
        <v>377</v>
      </c>
      <c r="P1904" s="87" t="s">
        <v>372</v>
      </c>
    </row>
    <row r="1905" ht="15.75" customHeight="1">
      <c r="A1905" s="87" t="s">
        <v>5846</v>
      </c>
      <c r="B1905" s="88">
        <v>1.22E18</v>
      </c>
      <c r="C1905" s="87" t="s">
        <v>5847</v>
      </c>
      <c r="D1905" s="87" t="s">
        <v>262</v>
      </c>
      <c r="E1905" s="87" t="s">
        <v>263</v>
      </c>
      <c r="F1905" s="87" t="s">
        <v>415</v>
      </c>
      <c r="G1905" s="93"/>
      <c r="H1905" s="93"/>
      <c r="I1905" s="87" t="s">
        <v>58</v>
      </c>
      <c r="J1905" s="87" t="s">
        <v>5848</v>
      </c>
      <c r="K1905" s="90">
        <v>1.0</v>
      </c>
      <c r="L1905" s="92"/>
      <c r="M1905" s="93"/>
      <c r="N1905" s="87" t="s">
        <v>5849</v>
      </c>
      <c r="O1905" s="87" t="s">
        <v>377</v>
      </c>
      <c r="P1905" s="87" t="s">
        <v>372</v>
      </c>
    </row>
    <row r="1906" ht="15.75" customHeight="1">
      <c r="A1906" s="87" t="s">
        <v>5850</v>
      </c>
      <c r="B1906" s="88">
        <v>1.22E18</v>
      </c>
      <c r="C1906" s="87" t="s">
        <v>5851</v>
      </c>
      <c r="D1906" s="87" t="s">
        <v>87</v>
      </c>
      <c r="E1906" s="87" t="s">
        <v>88</v>
      </c>
      <c r="F1906" s="87" t="s">
        <v>379</v>
      </c>
      <c r="G1906" s="93"/>
      <c r="H1906" s="93"/>
      <c r="I1906" s="93"/>
      <c r="J1906" s="87" t="s">
        <v>5852</v>
      </c>
      <c r="K1906" s="90">
        <v>200.0</v>
      </c>
      <c r="L1906" s="92"/>
      <c r="M1906" s="93"/>
      <c r="N1906" s="87" t="s">
        <v>5849</v>
      </c>
      <c r="O1906" s="87" t="s">
        <v>377</v>
      </c>
      <c r="P1906" s="87" t="s">
        <v>372</v>
      </c>
    </row>
    <row r="1907" ht="15.75" customHeight="1">
      <c r="A1907" s="87" t="s">
        <v>5853</v>
      </c>
      <c r="B1907" s="88">
        <v>1.22E18</v>
      </c>
      <c r="C1907" s="87" t="s">
        <v>5854</v>
      </c>
      <c r="D1907" s="87" t="s">
        <v>262</v>
      </c>
      <c r="E1907" s="87" t="s">
        <v>267</v>
      </c>
      <c r="F1907" s="87" t="s">
        <v>5854</v>
      </c>
      <c r="I1907" s="87" t="s">
        <v>58</v>
      </c>
      <c r="J1907" s="87" t="s">
        <v>5855</v>
      </c>
      <c r="K1907" s="90">
        <v>0.0</v>
      </c>
      <c r="L1907" s="92"/>
      <c r="M1907" s="93"/>
      <c r="N1907" s="87" t="s">
        <v>3202</v>
      </c>
      <c r="O1907" s="87" t="s">
        <v>377</v>
      </c>
      <c r="P1907" s="87" t="s">
        <v>372</v>
      </c>
    </row>
    <row r="1908" ht="15.75" customHeight="1">
      <c r="A1908" s="87" t="s">
        <v>5856</v>
      </c>
      <c r="B1908" s="88">
        <v>1.22E18</v>
      </c>
      <c r="C1908" s="87" t="s">
        <v>5857</v>
      </c>
      <c r="D1908" s="87" t="s">
        <v>262</v>
      </c>
      <c r="E1908" s="87" t="s">
        <v>267</v>
      </c>
      <c r="F1908" s="87" t="s">
        <v>5857</v>
      </c>
      <c r="I1908" s="87" t="s">
        <v>58</v>
      </c>
      <c r="J1908" s="87" t="s">
        <v>5858</v>
      </c>
      <c r="K1908" s="90">
        <v>0.0</v>
      </c>
      <c r="L1908" s="92"/>
      <c r="M1908" s="93"/>
      <c r="N1908" s="87" t="s">
        <v>3202</v>
      </c>
      <c r="O1908" s="87" t="s">
        <v>377</v>
      </c>
      <c r="P1908" s="87" t="s">
        <v>372</v>
      </c>
    </row>
    <row r="1909" ht="15.75" customHeight="1">
      <c r="A1909" s="87" t="s">
        <v>5859</v>
      </c>
      <c r="B1909" s="88">
        <v>1.22E18</v>
      </c>
      <c r="C1909" s="87" t="s">
        <v>5860</v>
      </c>
      <c r="D1909" s="87" t="s">
        <v>262</v>
      </c>
      <c r="E1909" s="87" t="s">
        <v>278</v>
      </c>
      <c r="F1909" s="87" t="s">
        <v>5860</v>
      </c>
      <c r="I1909" s="87" t="s">
        <v>58</v>
      </c>
      <c r="J1909" s="87" t="s">
        <v>5861</v>
      </c>
      <c r="L1909" s="92"/>
      <c r="M1909" s="93"/>
      <c r="N1909" s="87" t="s">
        <v>5862</v>
      </c>
      <c r="O1909" s="87" t="s">
        <v>377</v>
      </c>
      <c r="P1909" s="87" t="s">
        <v>2565</v>
      </c>
    </row>
    <row r="1910" ht="15.75" customHeight="1">
      <c r="A1910" s="87" t="s">
        <v>5863</v>
      </c>
      <c r="B1910" s="88">
        <v>1.22E18</v>
      </c>
      <c r="C1910" s="87" t="s">
        <v>5864</v>
      </c>
      <c r="D1910" s="87" t="s">
        <v>87</v>
      </c>
      <c r="E1910" s="87" t="s">
        <v>88</v>
      </c>
      <c r="F1910" s="87" t="s">
        <v>5864</v>
      </c>
      <c r="I1910" s="87" t="s">
        <v>315</v>
      </c>
      <c r="J1910" s="87" t="s">
        <v>5865</v>
      </c>
      <c r="K1910" s="90">
        <v>0.0</v>
      </c>
      <c r="L1910" s="92"/>
      <c r="M1910" s="93"/>
      <c r="N1910" s="87" t="s">
        <v>5866</v>
      </c>
      <c r="O1910" s="87" t="s">
        <v>377</v>
      </c>
      <c r="P1910" s="87" t="s">
        <v>372</v>
      </c>
    </row>
    <row r="1911" ht="15.75" customHeight="1">
      <c r="A1911" s="87" t="s">
        <v>5867</v>
      </c>
      <c r="B1911" s="88">
        <v>1.22E18</v>
      </c>
      <c r="C1911" s="87" t="s">
        <v>5868</v>
      </c>
      <c r="D1911" s="87" t="s">
        <v>87</v>
      </c>
      <c r="E1911" s="87" t="s">
        <v>88</v>
      </c>
      <c r="F1911" s="87" t="s">
        <v>373</v>
      </c>
      <c r="H1911" s="93"/>
      <c r="I1911" s="87" t="s">
        <v>340</v>
      </c>
      <c r="J1911" s="87" t="s">
        <v>702</v>
      </c>
      <c r="K1911" s="90">
        <v>5000.0</v>
      </c>
      <c r="L1911" s="92"/>
      <c r="M1911" s="93"/>
      <c r="N1911" s="87" t="s">
        <v>5869</v>
      </c>
      <c r="O1911" s="87" t="s">
        <v>377</v>
      </c>
      <c r="P1911" s="87" t="s">
        <v>372</v>
      </c>
    </row>
    <row r="1912" ht="15.75" customHeight="1">
      <c r="A1912" s="87" t="s">
        <v>5870</v>
      </c>
      <c r="B1912" s="88">
        <v>1.22E18</v>
      </c>
      <c r="C1912" s="87" t="s">
        <v>5871</v>
      </c>
      <c r="D1912" s="87" t="s">
        <v>262</v>
      </c>
      <c r="E1912" s="87" t="s">
        <v>263</v>
      </c>
      <c r="F1912" s="87" t="s">
        <v>415</v>
      </c>
      <c r="G1912" s="93"/>
      <c r="H1912" s="93"/>
      <c r="I1912" s="87" t="s">
        <v>58</v>
      </c>
      <c r="J1912" s="87" t="s">
        <v>5872</v>
      </c>
      <c r="K1912" s="90">
        <v>4.0</v>
      </c>
      <c r="L1912" s="92"/>
      <c r="M1912" s="93"/>
      <c r="N1912" s="87" t="s">
        <v>1772</v>
      </c>
      <c r="O1912" s="87" t="s">
        <v>377</v>
      </c>
      <c r="P1912" s="87" t="s">
        <v>372</v>
      </c>
    </row>
    <row r="1913" ht="15.75" customHeight="1">
      <c r="A1913" s="87" t="s">
        <v>5873</v>
      </c>
      <c r="B1913" s="88">
        <v>1.22E18</v>
      </c>
      <c r="C1913" s="87" t="s">
        <v>5874</v>
      </c>
      <c r="D1913" s="87" t="s">
        <v>262</v>
      </c>
      <c r="E1913" s="87" t="s">
        <v>278</v>
      </c>
      <c r="F1913" s="87" t="s">
        <v>5874</v>
      </c>
      <c r="I1913" s="87" t="s">
        <v>58</v>
      </c>
      <c r="J1913" s="87" t="s">
        <v>4166</v>
      </c>
      <c r="L1913" s="92"/>
      <c r="M1913" s="93"/>
      <c r="N1913" s="87" t="s">
        <v>5875</v>
      </c>
      <c r="O1913" s="87" t="s">
        <v>377</v>
      </c>
      <c r="P1913" s="87" t="s">
        <v>2565</v>
      </c>
    </row>
    <row r="1914" ht="15.75" customHeight="1">
      <c r="A1914" s="87" t="s">
        <v>5876</v>
      </c>
      <c r="B1914" s="88">
        <v>1.22E18</v>
      </c>
      <c r="C1914" s="87" t="s">
        <v>5877</v>
      </c>
      <c r="D1914" s="87" t="s">
        <v>87</v>
      </c>
      <c r="E1914" s="87" t="s">
        <v>88</v>
      </c>
      <c r="F1914" s="87" t="s">
        <v>5877</v>
      </c>
      <c r="G1914" s="93"/>
      <c r="H1914" s="93"/>
      <c r="I1914" s="87" t="s">
        <v>58</v>
      </c>
      <c r="J1914" s="87" t="s">
        <v>5878</v>
      </c>
      <c r="K1914" s="90">
        <v>0.0</v>
      </c>
      <c r="L1914" s="92"/>
      <c r="M1914" s="93"/>
      <c r="N1914" s="87" t="s">
        <v>4427</v>
      </c>
      <c r="O1914" s="87" t="s">
        <v>377</v>
      </c>
      <c r="P1914" s="87" t="s">
        <v>372</v>
      </c>
    </row>
    <row r="1915" ht="15.75" customHeight="1">
      <c r="A1915" s="87" t="s">
        <v>5879</v>
      </c>
      <c r="B1915" s="88">
        <v>1.22E18</v>
      </c>
      <c r="C1915" s="87" t="s">
        <v>5880</v>
      </c>
      <c r="D1915" s="87" t="s">
        <v>56</v>
      </c>
      <c r="E1915" s="87" t="s">
        <v>102</v>
      </c>
      <c r="F1915" s="87" t="s">
        <v>1763</v>
      </c>
      <c r="I1915" s="93"/>
      <c r="J1915" s="87" t="s">
        <v>616</v>
      </c>
      <c r="K1915" s="90">
        <v>0.0</v>
      </c>
      <c r="L1915" s="92"/>
      <c r="M1915" s="93"/>
      <c r="N1915" s="87" t="s">
        <v>4427</v>
      </c>
      <c r="O1915" s="87" t="s">
        <v>377</v>
      </c>
      <c r="P1915" s="87" t="s">
        <v>372</v>
      </c>
    </row>
    <row r="1916" ht="15.75" customHeight="1">
      <c r="A1916" s="87" t="s">
        <v>5881</v>
      </c>
      <c r="B1916" s="88">
        <v>1.22E18</v>
      </c>
      <c r="C1916" s="87" t="s">
        <v>5882</v>
      </c>
      <c r="D1916" s="87" t="s">
        <v>262</v>
      </c>
      <c r="E1916" s="87" t="s">
        <v>267</v>
      </c>
      <c r="F1916" s="87" t="s">
        <v>5882</v>
      </c>
      <c r="I1916" s="87" t="s">
        <v>58</v>
      </c>
      <c r="J1916" s="87" t="s">
        <v>4494</v>
      </c>
      <c r="K1916" s="90">
        <v>0.0</v>
      </c>
      <c r="L1916" s="92"/>
      <c r="M1916" s="93"/>
      <c r="N1916" s="87" t="s">
        <v>1823</v>
      </c>
      <c r="O1916" s="87" t="s">
        <v>377</v>
      </c>
      <c r="P1916" s="87" t="s">
        <v>372</v>
      </c>
    </row>
    <row r="1917" ht="15.75" customHeight="1">
      <c r="A1917" s="87" t="s">
        <v>5883</v>
      </c>
      <c r="B1917" s="88">
        <v>1.22E18</v>
      </c>
      <c r="C1917" s="87" t="s">
        <v>5884</v>
      </c>
      <c r="D1917" s="87" t="s">
        <v>87</v>
      </c>
      <c r="E1917" s="87" t="s">
        <v>88</v>
      </c>
      <c r="F1917" s="87" t="s">
        <v>5884</v>
      </c>
      <c r="I1917" s="87" t="s">
        <v>5012</v>
      </c>
      <c r="J1917" s="87" t="s">
        <v>4674</v>
      </c>
      <c r="K1917" s="90">
        <v>0.0</v>
      </c>
      <c r="L1917" s="92"/>
      <c r="M1917" s="93"/>
      <c r="N1917" s="87" t="s">
        <v>1772</v>
      </c>
      <c r="O1917" s="87" t="s">
        <v>377</v>
      </c>
      <c r="P1917" s="87" t="s">
        <v>372</v>
      </c>
    </row>
    <row r="1918" ht="15.75" customHeight="1">
      <c r="A1918" s="87" t="s">
        <v>5885</v>
      </c>
      <c r="B1918" s="88">
        <v>1.22E18</v>
      </c>
      <c r="C1918" s="87" t="s">
        <v>5886</v>
      </c>
      <c r="D1918" s="87" t="s">
        <v>57</v>
      </c>
      <c r="E1918" s="87" t="s">
        <v>287</v>
      </c>
      <c r="F1918" s="118" t="s">
        <v>5886</v>
      </c>
      <c r="G1918" s="130"/>
      <c r="H1918" s="119"/>
      <c r="I1918" s="87" t="s">
        <v>58</v>
      </c>
      <c r="J1918" s="87" t="s">
        <v>2494</v>
      </c>
      <c r="K1918" s="90">
        <v>0.0</v>
      </c>
      <c r="L1918" s="92"/>
      <c r="M1918" s="93"/>
      <c r="N1918" s="87" t="s">
        <v>1772</v>
      </c>
      <c r="O1918" s="87" t="s">
        <v>377</v>
      </c>
      <c r="P1918" s="87" t="s">
        <v>372</v>
      </c>
    </row>
    <row r="1919" ht="15.75" customHeight="1">
      <c r="A1919" s="87" t="s">
        <v>5887</v>
      </c>
      <c r="B1919" s="88">
        <v>1.22E18</v>
      </c>
      <c r="C1919" s="87" t="s">
        <v>5888</v>
      </c>
      <c r="D1919" s="87" t="s">
        <v>262</v>
      </c>
      <c r="E1919" s="87" t="s">
        <v>270</v>
      </c>
      <c r="F1919" s="118" t="s">
        <v>5888</v>
      </c>
      <c r="G1919" s="130"/>
      <c r="H1919" s="119"/>
      <c r="I1919" s="87" t="s">
        <v>58</v>
      </c>
      <c r="J1919" s="87" t="s">
        <v>5889</v>
      </c>
      <c r="K1919" s="90">
        <v>0.0</v>
      </c>
      <c r="L1919" s="92"/>
      <c r="M1919" s="93"/>
      <c r="N1919" s="87" t="s">
        <v>1772</v>
      </c>
      <c r="O1919" s="87" t="s">
        <v>377</v>
      </c>
      <c r="P1919" s="87" t="s">
        <v>372</v>
      </c>
    </row>
    <row r="1920" ht="15.75" customHeight="1">
      <c r="A1920" s="87" t="s">
        <v>5890</v>
      </c>
      <c r="B1920" s="88">
        <v>1.22E18</v>
      </c>
      <c r="C1920" s="87" t="s">
        <v>5891</v>
      </c>
      <c r="D1920" s="87" t="s">
        <v>87</v>
      </c>
      <c r="E1920" s="87" t="s">
        <v>88</v>
      </c>
      <c r="F1920" s="118" t="s">
        <v>5891</v>
      </c>
      <c r="G1920" s="130"/>
      <c r="H1920" s="119"/>
      <c r="I1920" s="87" t="s">
        <v>5012</v>
      </c>
      <c r="J1920" s="87" t="s">
        <v>5892</v>
      </c>
      <c r="K1920" s="90">
        <v>0.0</v>
      </c>
      <c r="L1920" s="92"/>
      <c r="M1920" s="93"/>
      <c r="N1920" s="87" t="s">
        <v>1772</v>
      </c>
      <c r="O1920" s="87" t="s">
        <v>377</v>
      </c>
      <c r="P1920" s="87" t="s">
        <v>372</v>
      </c>
    </row>
    <row r="1921" ht="15.75" customHeight="1">
      <c r="A1921" s="87" t="s">
        <v>5893</v>
      </c>
      <c r="B1921" s="88">
        <v>1.22E18</v>
      </c>
      <c r="C1921" s="87" t="s">
        <v>5894</v>
      </c>
      <c r="D1921" s="87" t="s">
        <v>262</v>
      </c>
      <c r="E1921" s="87" t="s">
        <v>270</v>
      </c>
      <c r="F1921" s="118" t="s">
        <v>5894</v>
      </c>
      <c r="G1921" s="130"/>
      <c r="H1921" s="119"/>
      <c r="I1921" s="87" t="s">
        <v>58</v>
      </c>
      <c r="J1921" s="87" t="s">
        <v>5895</v>
      </c>
      <c r="K1921" s="90">
        <v>0.0</v>
      </c>
      <c r="L1921" s="92"/>
      <c r="M1921" s="93"/>
      <c r="N1921" s="87" t="s">
        <v>1772</v>
      </c>
      <c r="O1921" s="87" t="s">
        <v>377</v>
      </c>
      <c r="P1921" s="87" t="s">
        <v>372</v>
      </c>
    </row>
    <row r="1922" ht="15.75" customHeight="1">
      <c r="A1922" s="87" t="s">
        <v>5896</v>
      </c>
      <c r="B1922" s="88">
        <v>1.22E18</v>
      </c>
      <c r="C1922" s="87" t="s">
        <v>5897</v>
      </c>
      <c r="D1922" s="87" t="s">
        <v>262</v>
      </c>
      <c r="E1922" s="87" t="s">
        <v>270</v>
      </c>
      <c r="F1922" s="118" t="s">
        <v>5897</v>
      </c>
      <c r="G1922" s="130"/>
      <c r="H1922" s="119"/>
      <c r="I1922" s="87" t="s">
        <v>58</v>
      </c>
      <c r="J1922" s="87" t="s">
        <v>5898</v>
      </c>
      <c r="K1922" s="90">
        <v>0.0</v>
      </c>
      <c r="L1922" s="92"/>
      <c r="M1922" s="93"/>
      <c r="N1922" s="87" t="s">
        <v>1772</v>
      </c>
      <c r="O1922" s="87" t="s">
        <v>377</v>
      </c>
      <c r="P1922" s="87" t="s">
        <v>372</v>
      </c>
    </row>
    <row r="1923" ht="15.75" customHeight="1">
      <c r="A1923" s="87" t="s">
        <v>5899</v>
      </c>
      <c r="B1923" s="88">
        <v>1.22E18</v>
      </c>
      <c r="C1923" s="87" t="s">
        <v>5900</v>
      </c>
      <c r="D1923" s="87" t="s">
        <v>87</v>
      </c>
      <c r="E1923" s="87" t="s">
        <v>102</v>
      </c>
      <c r="F1923" s="118" t="s">
        <v>5900</v>
      </c>
      <c r="G1923" s="130"/>
      <c r="H1923" s="119"/>
      <c r="I1923" s="87" t="s">
        <v>58</v>
      </c>
      <c r="J1923" s="87" t="s">
        <v>5653</v>
      </c>
      <c r="K1923" s="90">
        <v>0.0</v>
      </c>
      <c r="L1923" s="92"/>
      <c r="M1923" s="93"/>
      <c r="N1923" s="87" t="s">
        <v>1772</v>
      </c>
      <c r="O1923" s="87" t="s">
        <v>377</v>
      </c>
      <c r="P1923" s="87" t="s">
        <v>372</v>
      </c>
    </row>
    <row r="1924" ht="15.75" customHeight="1">
      <c r="A1924" s="87" t="s">
        <v>5901</v>
      </c>
      <c r="B1924" s="88">
        <v>1.22E18</v>
      </c>
      <c r="C1924" s="87" t="s">
        <v>5902</v>
      </c>
      <c r="D1924" s="87" t="s">
        <v>57</v>
      </c>
      <c r="E1924" s="87" t="s">
        <v>287</v>
      </c>
      <c r="F1924" s="87" t="s">
        <v>415</v>
      </c>
      <c r="G1924" s="93"/>
      <c r="H1924" s="93"/>
      <c r="I1924" s="87" t="s">
        <v>58</v>
      </c>
      <c r="J1924" s="87" t="s">
        <v>5903</v>
      </c>
      <c r="K1924" s="90">
        <v>1.0</v>
      </c>
      <c r="L1924" s="92"/>
      <c r="M1924" s="93"/>
      <c r="N1924" s="87" t="s">
        <v>1772</v>
      </c>
      <c r="O1924" s="87" t="s">
        <v>377</v>
      </c>
      <c r="P1924" s="87" t="s">
        <v>372</v>
      </c>
    </row>
    <row r="1925" ht="15.75" customHeight="1">
      <c r="A1925" s="87" t="s">
        <v>5904</v>
      </c>
      <c r="B1925" s="88">
        <v>1.22E18</v>
      </c>
      <c r="C1925" s="87" t="s">
        <v>5905</v>
      </c>
      <c r="D1925" s="87" t="s">
        <v>87</v>
      </c>
      <c r="E1925" s="87" t="s">
        <v>88</v>
      </c>
      <c r="F1925" s="118" t="s">
        <v>5905</v>
      </c>
      <c r="G1925" s="130"/>
      <c r="H1925" s="119"/>
      <c r="I1925" s="87" t="s">
        <v>58</v>
      </c>
      <c r="J1925" s="87" t="s">
        <v>5906</v>
      </c>
      <c r="K1925" s="90">
        <v>0.0</v>
      </c>
      <c r="L1925" s="92"/>
      <c r="M1925" s="93"/>
      <c r="N1925" s="87" t="s">
        <v>5907</v>
      </c>
      <c r="O1925" s="87" t="s">
        <v>377</v>
      </c>
      <c r="P1925" s="87" t="s">
        <v>372</v>
      </c>
    </row>
    <row r="1926" ht="15.75" customHeight="1">
      <c r="A1926" s="87" t="s">
        <v>5908</v>
      </c>
      <c r="B1926" s="88">
        <v>1.22E18</v>
      </c>
      <c r="C1926" s="87" t="s">
        <v>5909</v>
      </c>
      <c r="D1926" s="87" t="s">
        <v>262</v>
      </c>
      <c r="E1926" s="87" t="s">
        <v>263</v>
      </c>
      <c r="F1926" s="87" t="s">
        <v>415</v>
      </c>
      <c r="G1926" s="93"/>
      <c r="H1926" s="93"/>
      <c r="I1926" s="87" t="s">
        <v>58</v>
      </c>
      <c r="J1926" s="87" t="s">
        <v>5910</v>
      </c>
      <c r="K1926" s="90">
        <v>1.0</v>
      </c>
      <c r="L1926" s="92"/>
      <c r="M1926" s="93"/>
      <c r="N1926" s="87" t="s">
        <v>5911</v>
      </c>
      <c r="O1926" s="87" t="s">
        <v>377</v>
      </c>
      <c r="P1926" s="87" t="s">
        <v>372</v>
      </c>
    </row>
    <row r="1927" ht="15.75" customHeight="1">
      <c r="A1927" s="87" t="s">
        <v>5912</v>
      </c>
      <c r="B1927" s="88">
        <v>1.22E18</v>
      </c>
      <c r="C1927" s="87" t="s">
        <v>5913</v>
      </c>
      <c r="D1927" s="87" t="s">
        <v>87</v>
      </c>
      <c r="E1927" s="87" t="s">
        <v>102</v>
      </c>
      <c r="F1927" s="87" t="s">
        <v>5913</v>
      </c>
      <c r="I1927" s="87" t="s">
        <v>58</v>
      </c>
      <c r="J1927" s="87" t="s">
        <v>5914</v>
      </c>
      <c r="K1927" s="90">
        <v>0.0</v>
      </c>
      <c r="L1927" s="92"/>
      <c r="M1927" s="93"/>
      <c r="N1927" s="87" t="s">
        <v>4427</v>
      </c>
      <c r="O1927" s="87" t="s">
        <v>377</v>
      </c>
      <c r="P1927" s="87" t="s">
        <v>372</v>
      </c>
    </row>
    <row r="1928" ht="15.75" customHeight="1">
      <c r="A1928" s="87" t="s">
        <v>5915</v>
      </c>
      <c r="B1928" s="88">
        <v>1.22E18</v>
      </c>
      <c r="C1928" s="87" t="s">
        <v>5916</v>
      </c>
      <c r="D1928" s="87" t="s">
        <v>87</v>
      </c>
      <c r="E1928" s="87" t="s">
        <v>102</v>
      </c>
      <c r="F1928" s="87" t="s">
        <v>5916</v>
      </c>
      <c r="H1928" s="93"/>
      <c r="I1928" s="87" t="s">
        <v>58</v>
      </c>
      <c r="J1928" s="87" t="s">
        <v>1534</v>
      </c>
      <c r="K1928" s="90">
        <v>0.0</v>
      </c>
      <c r="L1928" s="92"/>
      <c r="M1928" s="93"/>
      <c r="N1928" s="87" t="s">
        <v>4427</v>
      </c>
      <c r="O1928" s="87" t="s">
        <v>377</v>
      </c>
      <c r="P1928" s="87" t="s">
        <v>372</v>
      </c>
    </row>
    <row r="1929" ht="15.75" customHeight="1">
      <c r="A1929" s="87" t="s">
        <v>5917</v>
      </c>
      <c r="B1929" s="88">
        <v>1.22E18</v>
      </c>
      <c r="C1929" s="87" t="s">
        <v>5918</v>
      </c>
      <c r="D1929" s="87" t="s">
        <v>262</v>
      </c>
      <c r="E1929" s="87" t="s">
        <v>270</v>
      </c>
      <c r="F1929" s="87" t="s">
        <v>5918</v>
      </c>
      <c r="H1929" s="93"/>
      <c r="I1929" s="87" t="s">
        <v>58</v>
      </c>
      <c r="J1929" s="87" t="s">
        <v>4166</v>
      </c>
      <c r="K1929" s="90">
        <v>0.0</v>
      </c>
      <c r="L1929" s="92"/>
      <c r="M1929" s="93"/>
      <c r="N1929" s="93"/>
      <c r="O1929" s="87" t="s">
        <v>377</v>
      </c>
      <c r="P1929" s="87" t="s">
        <v>372</v>
      </c>
    </row>
    <row r="1930" ht="15.75" customHeight="1">
      <c r="A1930" s="87" t="s">
        <v>5919</v>
      </c>
      <c r="B1930" s="88">
        <v>1.22E18</v>
      </c>
      <c r="C1930" s="87" t="s">
        <v>5920</v>
      </c>
      <c r="D1930" s="87" t="s">
        <v>56</v>
      </c>
      <c r="E1930" s="87" t="s">
        <v>248</v>
      </c>
      <c r="F1930" s="87" t="s">
        <v>2769</v>
      </c>
      <c r="G1930" s="93"/>
      <c r="H1930" s="93"/>
      <c r="I1930" s="87" t="s">
        <v>58</v>
      </c>
      <c r="J1930" s="87" t="s">
        <v>3816</v>
      </c>
      <c r="K1930" s="90">
        <v>0.0</v>
      </c>
      <c r="L1930" s="92"/>
      <c r="M1930" s="93"/>
      <c r="N1930" s="87" t="s">
        <v>5428</v>
      </c>
      <c r="O1930" s="87" t="s">
        <v>377</v>
      </c>
      <c r="P1930" s="87" t="s">
        <v>372</v>
      </c>
    </row>
    <row r="1931" ht="15.75" customHeight="1">
      <c r="A1931" s="87" t="s">
        <v>5921</v>
      </c>
      <c r="B1931" s="88">
        <v>1.22E18</v>
      </c>
      <c r="C1931" s="87" t="s">
        <v>5922</v>
      </c>
      <c r="D1931" s="87" t="s">
        <v>56</v>
      </c>
      <c r="E1931" s="87" t="s">
        <v>248</v>
      </c>
      <c r="F1931" s="87" t="s">
        <v>5922</v>
      </c>
      <c r="I1931" s="87" t="s">
        <v>58</v>
      </c>
      <c r="J1931" s="87" t="s">
        <v>806</v>
      </c>
      <c r="K1931" s="90">
        <v>0.0</v>
      </c>
      <c r="L1931" s="92"/>
      <c r="M1931" s="93"/>
      <c r="N1931" s="93"/>
      <c r="O1931" s="87" t="s">
        <v>377</v>
      </c>
      <c r="P1931" s="87" t="s">
        <v>372</v>
      </c>
    </row>
    <row r="1932" ht="15.75" customHeight="1">
      <c r="A1932" s="87" t="s">
        <v>5923</v>
      </c>
      <c r="B1932" s="88">
        <v>1.22E18</v>
      </c>
      <c r="C1932" s="87" t="s">
        <v>5924</v>
      </c>
      <c r="D1932" s="87" t="s">
        <v>56</v>
      </c>
      <c r="E1932" s="87" t="s">
        <v>248</v>
      </c>
      <c r="F1932" s="87" t="s">
        <v>5924</v>
      </c>
      <c r="I1932" s="87" t="s">
        <v>58</v>
      </c>
      <c r="J1932" s="87" t="s">
        <v>5925</v>
      </c>
      <c r="K1932" s="90">
        <v>0.0</v>
      </c>
      <c r="L1932" s="92"/>
      <c r="M1932" s="93"/>
      <c r="N1932" s="93"/>
      <c r="O1932" s="87" t="s">
        <v>377</v>
      </c>
      <c r="P1932" s="87" t="s">
        <v>372</v>
      </c>
    </row>
    <row r="1933" ht="15.75" customHeight="1">
      <c r="A1933" s="87" t="s">
        <v>5926</v>
      </c>
      <c r="B1933" s="88">
        <v>1.22E18</v>
      </c>
      <c r="C1933" s="87" t="s">
        <v>5927</v>
      </c>
      <c r="D1933" s="87" t="s">
        <v>262</v>
      </c>
      <c r="E1933" s="87" t="s">
        <v>263</v>
      </c>
      <c r="F1933" s="87" t="s">
        <v>415</v>
      </c>
      <c r="G1933" s="93"/>
      <c r="H1933" s="93"/>
      <c r="I1933" s="87" t="s">
        <v>58</v>
      </c>
      <c r="J1933" s="87" t="s">
        <v>5928</v>
      </c>
      <c r="K1933" s="90">
        <v>4.0</v>
      </c>
      <c r="L1933" s="92"/>
      <c r="M1933" s="93"/>
      <c r="N1933" s="87" t="s">
        <v>1772</v>
      </c>
      <c r="O1933" s="87" t="s">
        <v>377</v>
      </c>
      <c r="P1933" s="87" t="s">
        <v>372</v>
      </c>
    </row>
    <row r="1934" ht="15.75" customHeight="1">
      <c r="A1934" s="87" t="s">
        <v>5929</v>
      </c>
      <c r="B1934" s="88">
        <v>1.22E18</v>
      </c>
      <c r="C1934" s="87" t="s">
        <v>5930</v>
      </c>
      <c r="D1934" s="87" t="s">
        <v>87</v>
      </c>
      <c r="E1934" s="87" t="s">
        <v>88</v>
      </c>
      <c r="F1934" s="118" t="s">
        <v>5930</v>
      </c>
      <c r="G1934" s="130"/>
      <c r="H1934" s="119"/>
      <c r="I1934" s="87" t="s">
        <v>58</v>
      </c>
      <c r="J1934" s="87" t="s">
        <v>5931</v>
      </c>
      <c r="K1934" s="90">
        <v>0.0</v>
      </c>
      <c r="L1934" s="92"/>
      <c r="M1934" s="93"/>
      <c r="N1934" s="87" t="s">
        <v>1772</v>
      </c>
      <c r="O1934" s="87" t="s">
        <v>377</v>
      </c>
      <c r="P1934" s="87" t="s">
        <v>372</v>
      </c>
    </row>
    <row r="1935" ht="15.75" customHeight="1">
      <c r="A1935" s="87" t="s">
        <v>5932</v>
      </c>
      <c r="B1935" s="88">
        <v>1.22E18</v>
      </c>
      <c r="C1935" s="87" t="s">
        <v>5933</v>
      </c>
      <c r="D1935" s="87" t="s">
        <v>57</v>
      </c>
      <c r="E1935" s="87" t="s">
        <v>287</v>
      </c>
      <c r="F1935" s="87" t="s">
        <v>415</v>
      </c>
      <c r="G1935" s="93"/>
      <c r="H1935" s="93"/>
      <c r="I1935" s="87" t="s">
        <v>58</v>
      </c>
      <c r="J1935" s="87" t="s">
        <v>5934</v>
      </c>
      <c r="K1935" s="90">
        <v>1.0</v>
      </c>
      <c r="L1935" s="92"/>
      <c r="M1935" s="93"/>
      <c r="N1935" s="87" t="s">
        <v>1772</v>
      </c>
      <c r="O1935" s="87" t="s">
        <v>377</v>
      </c>
      <c r="P1935" s="87" t="s">
        <v>372</v>
      </c>
    </row>
    <row r="1936" ht="15.75" customHeight="1">
      <c r="A1936" s="87" t="s">
        <v>5935</v>
      </c>
      <c r="B1936" s="88">
        <v>1.22E18</v>
      </c>
      <c r="C1936" s="87" t="s">
        <v>5936</v>
      </c>
      <c r="D1936" s="87" t="s">
        <v>262</v>
      </c>
      <c r="E1936" s="87" t="s">
        <v>263</v>
      </c>
      <c r="F1936" s="87" t="s">
        <v>415</v>
      </c>
      <c r="G1936" s="93"/>
      <c r="H1936" s="93"/>
      <c r="I1936" s="87" t="s">
        <v>58</v>
      </c>
      <c r="J1936" s="87" t="s">
        <v>5937</v>
      </c>
      <c r="K1936" s="90">
        <v>1.0</v>
      </c>
      <c r="L1936" s="92"/>
      <c r="M1936" s="93"/>
      <c r="N1936" s="87" t="s">
        <v>1772</v>
      </c>
      <c r="O1936" s="87" t="s">
        <v>377</v>
      </c>
      <c r="P1936" s="87" t="s">
        <v>372</v>
      </c>
    </row>
    <row r="1937" ht="15.75" customHeight="1">
      <c r="A1937" s="87" t="s">
        <v>5938</v>
      </c>
      <c r="B1937" s="88">
        <v>1.22E18</v>
      </c>
      <c r="C1937" s="87" t="s">
        <v>5939</v>
      </c>
      <c r="D1937" s="87" t="s">
        <v>57</v>
      </c>
      <c r="E1937" s="87" t="s">
        <v>290</v>
      </c>
      <c r="F1937" s="87" t="s">
        <v>5939</v>
      </c>
      <c r="I1937" s="87" t="s">
        <v>58</v>
      </c>
      <c r="J1937" s="87" t="s">
        <v>5940</v>
      </c>
      <c r="K1937" s="90">
        <v>0.0</v>
      </c>
      <c r="L1937" s="92"/>
      <c r="M1937" s="93"/>
      <c r="N1937" s="87" t="s">
        <v>5603</v>
      </c>
      <c r="O1937" s="87" t="s">
        <v>377</v>
      </c>
      <c r="P1937" s="87" t="s">
        <v>372</v>
      </c>
    </row>
    <row r="1938" ht="15.75" customHeight="1">
      <c r="A1938" s="87" t="s">
        <v>5941</v>
      </c>
      <c r="B1938" s="88">
        <v>1.22E18</v>
      </c>
      <c r="C1938" s="87" t="s">
        <v>5942</v>
      </c>
      <c r="D1938" s="87" t="s">
        <v>57</v>
      </c>
      <c r="E1938" s="87" t="s">
        <v>290</v>
      </c>
      <c r="F1938" s="87" t="s">
        <v>5942</v>
      </c>
      <c r="I1938" s="87" t="s">
        <v>58</v>
      </c>
      <c r="J1938" s="87" t="s">
        <v>5943</v>
      </c>
      <c r="K1938" s="90">
        <v>0.0</v>
      </c>
      <c r="L1938" s="92"/>
      <c r="M1938" s="93"/>
      <c r="N1938" s="93"/>
      <c r="O1938" s="87" t="s">
        <v>377</v>
      </c>
      <c r="P1938" s="87" t="s">
        <v>372</v>
      </c>
    </row>
    <row r="1939" ht="15.75" customHeight="1">
      <c r="A1939" s="87" t="s">
        <v>5944</v>
      </c>
      <c r="B1939" s="88">
        <v>1.22E18</v>
      </c>
      <c r="C1939" s="87" t="s">
        <v>5945</v>
      </c>
      <c r="D1939" s="87" t="s">
        <v>57</v>
      </c>
      <c r="E1939" s="87" t="s">
        <v>290</v>
      </c>
      <c r="F1939" s="87" t="s">
        <v>5945</v>
      </c>
      <c r="I1939" s="87" t="s">
        <v>58</v>
      </c>
      <c r="J1939" s="87" t="s">
        <v>5946</v>
      </c>
      <c r="K1939" s="90">
        <v>0.0</v>
      </c>
      <c r="L1939" s="92"/>
      <c r="M1939" s="93"/>
      <c r="N1939" s="87" t="s">
        <v>5603</v>
      </c>
      <c r="O1939" s="87" t="s">
        <v>377</v>
      </c>
      <c r="P1939" s="87" t="s">
        <v>372</v>
      </c>
    </row>
    <row r="1940" ht="15.75" customHeight="1">
      <c r="A1940" s="87" t="s">
        <v>5947</v>
      </c>
      <c r="B1940" s="88">
        <v>1.22E18</v>
      </c>
      <c r="C1940" s="87" t="s">
        <v>5948</v>
      </c>
      <c r="D1940" s="87" t="s">
        <v>56</v>
      </c>
      <c r="E1940" s="87" t="s">
        <v>59</v>
      </c>
      <c r="F1940" s="87" t="s">
        <v>5948</v>
      </c>
      <c r="H1940" s="93"/>
      <c r="I1940" s="87" t="s">
        <v>58</v>
      </c>
      <c r="J1940" s="87" t="s">
        <v>2101</v>
      </c>
      <c r="K1940" s="90">
        <v>0.0</v>
      </c>
      <c r="L1940" s="92"/>
      <c r="M1940" s="93"/>
      <c r="N1940" s="93"/>
      <c r="O1940" s="87" t="s">
        <v>377</v>
      </c>
      <c r="P1940" s="87" t="s">
        <v>372</v>
      </c>
    </row>
    <row r="1941" ht="15.75" customHeight="1">
      <c r="A1941" s="87" t="s">
        <v>5949</v>
      </c>
      <c r="B1941" s="88">
        <v>1.22E18</v>
      </c>
      <c r="C1941" s="87" t="s">
        <v>5950</v>
      </c>
      <c r="D1941" s="87" t="s">
        <v>56</v>
      </c>
      <c r="E1941" s="87" t="s">
        <v>248</v>
      </c>
      <c r="F1941" s="87" t="s">
        <v>5950</v>
      </c>
      <c r="H1941" s="93"/>
      <c r="I1941" s="87" t="s">
        <v>58</v>
      </c>
      <c r="J1941" s="87" t="s">
        <v>5951</v>
      </c>
      <c r="K1941" s="90">
        <v>0.0</v>
      </c>
      <c r="L1941" s="92"/>
      <c r="M1941" s="93"/>
      <c r="N1941" s="87" t="s">
        <v>5952</v>
      </c>
      <c r="O1941" s="87" t="s">
        <v>377</v>
      </c>
      <c r="P1941" s="87" t="s">
        <v>372</v>
      </c>
    </row>
    <row r="1942" ht="15.75" customHeight="1">
      <c r="A1942" s="87" t="s">
        <v>5953</v>
      </c>
      <c r="B1942" s="88">
        <v>1.22E18</v>
      </c>
      <c r="C1942" s="87" t="s">
        <v>5954</v>
      </c>
      <c r="D1942" s="87" t="s">
        <v>87</v>
      </c>
      <c r="E1942" s="87" t="s">
        <v>88</v>
      </c>
      <c r="F1942" s="118" t="s">
        <v>5954</v>
      </c>
      <c r="G1942" s="130"/>
      <c r="H1942" s="119"/>
      <c r="I1942" s="87" t="s">
        <v>58</v>
      </c>
      <c r="J1942" s="87" t="s">
        <v>5955</v>
      </c>
      <c r="K1942" s="90">
        <v>0.0</v>
      </c>
      <c r="L1942" s="92"/>
      <c r="M1942" s="93"/>
      <c r="N1942" s="87" t="s">
        <v>1772</v>
      </c>
      <c r="O1942" s="87" t="s">
        <v>377</v>
      </c>
      <c r="P1942" s="87" t="s">
        <v>372</v>
      </c>
    </row>
    <row r="1943" ht="15.75" customHeight="1">
      <c r="A1943" s="87" t="s">
        <v>5956</v>
      </c>
      <c r="B1943" s="88">
        <v>1.22E18</v>
      </c>
      <c r="C1943" s="87" t="s">
        <v>5957</v>
      </c>
      <c r="D1943" s="87" t="s">
        <v>87</v>
      </c>
      <c r="E1943" s="87" t="s">
        <v>88</v>
      </c>
      <c r="F1943" s="118" t="s">
        <v>5957</v>
      </c>
      <c r="G1943" s="130"/>
      <c r="H1943" s="119"/>
      <c r="I1943" s="87" t="s">
        <v>58</v>
      </c>
      <c r="J1943" s="87" t="s">
        <v>5958</v>
      </c>
      <c r="K1943" s="90">
        <v>0.0</v>
      </c>
      <c r="L1943" s="92"/>
      <c r="M1943" s="93"/>
      <c r="N1943" s="87" t="s">
        <v>1772</v>
      </c>
      <c r="O1943" s="87" t="s">
        <v>377</v>
      </c>
      <c r="P1943" s="87" t="s">
        <v>372</v>
      </c>
    </row>
    <row r="1944" ht="15.75" customHeight="1">
      <c r="A1944" s="87" t="s">
        <v>5959</v>
      </c>
      <c r="B1944" s="88">
        <v>1.22E18</v>
      </c>
      <c r="C1944" s="87" t="s">
        <v>5960</v>
      </c>
      <c r="D1944" s="87" t="s">
        <v>87</v>
      </c>
      <c r="E1944" s="87" t="s">
        <v>88</v>
      </c>
      <c r="F1944" s="87" t="s">
        <v>5960</v>
      </c>
      <c r="I1944" s="87" t="s">
        <v>58</v>
      </c>
      <c r="J1944" s="87" t="s">
        <v>5961</v>
      </c>
      <c r="K1944" s="90">
        <v>0.0</v>
      </c>
      <c r="L1944" s="92"/>
      <c r="M1944" s="93"/>
      <c r="N1944" s="87" t="s">
        <v>1772</v>
      </c>
      <c r="O1944" s="87" t="s">
        <v>377</v>
      </c>
      <c r="P1944" s="87" t="s">
        <v>372</v>
      </c>
    </row>
    <row r="1945" ht="15.75" customHeight="1">
      <c r="A1945" s="87" t="s">
        <v>5962</v>
      </c>
      <c r="B1945" s="88">
        <v>1.22E18</v>
      </c>
      <c r="C1945" s="87" t="s">
        <v>5963</v>
      </c>
      <c r="D1945" s="87" t="s">
        <v>87</v>
      </c>
      <c r="E1945" s="87" t="s">
        <v>88</v>
      </c>
      <c r="F1945" s="87" t="s">
        <v>373</v>
      </c>
      <c r="H1945" s="93"/>
      <c r="I1945" s="87" t="s">
        <v>327</v>
      </c>
      <c r="J1945" s="87" t="s">
        <v>5964</v>
      </c>
      <c r="K1945" s="90">
        <v>970.0</v>
      </c>
      <c r="L1945" s="92"/>
      <c r="M1945" s="93"/>
      <c r="N1945" s="87" t="s">
        <v>390</v>
      </c>
      <c r="O1945" s="87" t="s">
        <v>377</v>
      </c>
      <c r="P1945" s="87" t="s">
        <v>372</v>
      </c>
    </row>
    <row r="1946" ht="15.75" customHeight="1">
      <c r="A1946" s="87" t="s">
        <v>5965</v>
      </c>
      <c r="B1946" s="88">
        <v>1.22E18</v>
      </c>
      <c r="C1946" s="87" t="s">
        <v>5966</v>
      </c>
      <c r="D1946" s="87" t="s">
        <v>87</v>
      </c>
      <c r="E1946" s="87" t="s">
        <v>88</v>
      </c>
      <c r="F1946" s="87" t="s">
        <v>373</v>
      </c>
      <c r="H1946" s="93"/>
      <c r="I1946" s="87" t="s">
        <v>327</v>
      </c>
      <c r="J1946" s="87" t="s">
        <v>5967</v>
      </c>
      <c r="K1946" s="90">
        <v>1000.0</v>
      </c>
      <c r="L1946" s="92"/>
      <c r="M1946" s="93"/>
      <c r="N1946" s="87" t="s">
        <v>390</v>
      </c>
      <c r="O1946" s="87" t="s">
        <v>377</v>
      </c>
      <c r="P1946" s="87" t="s">
        <v>372</v>
      </c>
    </row>
    <row r="1947" ht="15.75" customHeight="1">
      <c r="A1947" s="87" t="s">
        <v>5968</v>
      </c>
      <c r="B1947" s="88">
        <v>1.22E18</v>
      </c>
      <c r="C1947" s="87" t="s">
        <v>5969</v>
      </c>
      <c r="D1947" s="87" t="s">
        <v>87</v>
      </c>
      <c r="E1947" s="87" t="s">
        <v>88</v>
      </c>
      <c r="F1947" s="87" t="s">
        <v>373</v>
      </c>
      <c r="H1947" s="93"/>
      <c r="I1947" s="87" t="s">
        <v>340</v>
      </c>
      <c r="J1947" s="87" t="s">
        <v>5970</v>
      </c>
      <c r="K1947" s="90">
        <v>5000.0</v>
      </c>
      <c r="L1947" s="92"/>
      <c r="M1947" s="93"/>
      <c r="N1947" s="87" t="s">
        <v>390</v>
      </c>
      <c r="O1947" s="87" t="s">
        <v>377</v>
      </c>
      <c r="P1947" s="87" t="s">
        <v>372</v>
      </c>
    </row>
    <row r="1948" ht="15.75" customHeight="1">
      <c r="A1948" s="87" t="s">
        <v>5971</v>
      </c>
      <c r="B1948" s="88">
        <v>1.22E18</v>
      </c>
      <c r="C1948" s="87" t="s">
        <v>5972</v>
      </c>
      <c r="D1948" s="87" t="s">
        <v>87</v>
      </c>
      <c r="E1948" s="87" t="s">
        <v>102</v>
      </c>
      <c r="F1948" s="87" t="s">
        <v>415</v>
      </c>
      <c r="G1948" s="93"/>
      <c r="H1948" s="93"/>
      <c r="I1948" s="87" t="s">
        <v>58</v>
      </c>
      <c r="J1948" s="87" t="s">
        <v>2568</v>
      </c>
      <c r="K1948" s="90">
        <v>1.0</v>
      </c>
      <c r="L1948" s="92"/>
      <c r="M1948" s="93"/>
      <c r="N1948" s="87" t="s">
        <v>2577</v>
      </c>
      <c r="O1948" s="87" t="s">
        <v>377</v>
      </c>
      <c r="P1948" s="87" t="s">
        <v>372</v>
      </c>
    </row>
    <row r="1949" ht="15.75" customHeight="1">
      <c r="A1949" s="87" t="s">
        <v>5973</v>
      </c>
      <c r="B1949" s="88">
        <v>1.22E18</v>
      </c>
      <c r="C1949" s="87" t="s">
        <v>5974</v>
      </c>
      <c r="D1949" s="87" t="s">
        <v>87</v>
      </c>
      <c r="E1949" s="87" t="s">
        <v>88</v>
      </c>
      <c r="F1949" s="87" t="s">
        <v>5974</v>
      </c>
      <c r="I1949" s="87" t="s">
        <v>315</v>
      </c>
      <c r="J1949" s="87" t="s">
        <v>5975</v>
      </c>
      <c r="K1949" s="90">
        <v>0.0</v>
      </c>
      <c r="L1949" s="92"/>
      <c r="M1949" s="93"/>
      <c r="N1949" s="87" t="s">
        <v>5976</v>
      </c>
      <c r="O1949" s="87" t="s">
        <v>377</v>
      </c>
      <c r="P1949" s="87" t="s">
        <v>372</v>
      </c>
    </row>
    <row r="1950" ht="15.75" customHeight="1">
      <c r="A1950" s="87" t="s">
        <v>5977</v>
      </c>
      <c r="B1950" s="88">
        <v>1.22E18</v>
      </c>
      <c r="C1950" s="87" t="s">
        <v>5978</v>
      </c>
      <c r="D1950" s="87" t="s">
        <v>87</v>
      </c>
      <c r="E1950" s="87" t="s">
        <v>88</v>
      </c>
      <c r="F1950" s="118" t="s">
        <v>5978</v>
      </c>
      <c r="G1950" s="130"/>
      <c r="H1950" s="119"/>
      <c r="I1950" s="87" t="s">
        <v>1123</v>
      </c>
      <c r="J1950" s="87" t="s">
        <v>5979</v>
      </c>
      <c r="K1950" s="90">
        <v>10.0</v>
      </c>
      <c r="L1950" s="92"/>
      <c r="M1950" s="93"/>
      <c r="N1950" s="93"/>
      <c r="O1950" s="87" t="s">
        <v>377</v>
      </c>
      <c r="P1950" s="87" t="s">
        <v>372</v>
      </c>
    </row>
    <row r="1951" ht="15.75" customHeight="1">
      <c r="A1951" s="87" t="s">
        <v>5980</v>
      </c>
      <c r="B1951" s="88">
        <v>1.22E18</v>
      </c>
      <c r="C1951" s="87" t="s">
        <v>5981</v>
      </c>
      <c r="D1951" s="87" t="s">
        <v>87</v>
      </c>
      <c r="E1951" s="87" t="s">
        <v>102</v>
      </c>
      <c r="F1951" s="87" t="s">
        <v>5981</v>
      </c>
      <c r="I1951" s="87" t="s">
        <v>58</v>
      </c>
      <c r="J1951" s="87" t="s">
        <v>2062</v>
      </c>
      <c r="K1951" s="90">
        <v>0.0</v>
      </c>
      <c r="L1951" s="92"/>
      <c r="M1951" s="93"/>
      <c r="N1951" s="87" t="s">
        <v>4427</v>
      </c>
      <c r="O1951" s="87" t="s">
        <v>377</v>
      </c>
      <c r="P1951" s="87" t="s">
        <v>372</v>
      </c>
    </row>
    <row r="1952" ht="15.75" customHeight="1">
      <c r="A1952" s="87" t="s">
        <v>5982</v>
      </c>
      <c r="B1952" s="88">
        <v>1.22E18</v>
      </c>
      <c r="C1952" s="87" t="s">
        <v>5983</v>
      </c>
      <c r="D1952" s="87" t="s">
        <v>87</v>
      </c>
      <c r="E1952" s="87" t="s">
        <v>88</v>
      </c>
      <c r="F1952" s="87" t="s">
        <v>5983</v>
      </c>
      <c r="H1952" s="93"/>
      <c r="I1952" s="87" t="s">
        <v>1742</v>
      </c>
      <c r="J1952" s="87" t="s">
        <v>2456</v>
      </c>
      <c r="K1952" s="90">
        <v>0.0</v>
      </c>
      <c r="L1952" s="92"/>
      <c r="M1952" s="93"/>
      <c r="N1952" s="87" t="s">
        <v>4427</v>
      </c>
      <c r="O1952" s="87" t="s">
        <v>377</v>
      </c>
      <c r="P1952" s="87" t="s">
        <v>372</v>
      </c>
    </row>
    <row r="1953" ht="15.75" customHeight="1">
      <c r="A1953" s="87" t="s">
        <v>5984</v>
      </c>
      <c r="B1953" s="88">
        <v>1.22E18</v>
      </c>
      <c r="C1953" s="87" t="s">
        <v>5985</v>
      </c>
      <c r="D1953" s="87" t="s">
        <v>87</v>
      </c>
      <c r="E1953" s="87" t="s">
        <v>102</v>
      </c>
      <c r="F1953" s="87" t="s">
        <v>5985</v>
      </c>
      <c r="I1953" s="87" t="s">
        <v>58</v>
      </c>
      <c r="J1953" s="87" t="s">
        <v>1534</v>
      </c>
      <c r="K1953" s="90">
        <v>0.0</v>
      </c>
      <c r="L1953" s="92"/>
      <c r="M1953" s="93"/>
      <c r="N1953" s="87" t="s">
        <v>4427</v>
      </c>
      <c r="O1953" s="87" t="s">
        <v>377</v>
      </c>
      <c r="P1953" s="87" t="s">
        <v>372</v>
      </c>
    </row>
    <row r="1954" ht="15.75" customHeight="1">
      <c r="A1954" s="87" t="s">
        <v>5986</v>
      </c>
      <c r="B1954" s="88">
        <v>1.22E18</v>
      </c>
      <c r="C1954" s="87" t="s">
        <v>5987</v>
      </c>
      <c r="D1954" s="87" t="s">
        <v>87</v>
      </c>
      <c r="E1954" s="87" t="s">
        <v>102</v>
      </c>
      <c r="F1954" s="87" t="s">
        <v>1763</v>
      </c>
      <c r="I1954" s="93"/>
      <c r="J1954" s="87" t="s">
        <v>5988</v>
      </c>
      <c r="K1954" s="90">
        <v>0.0</v>
      </c>
      <c r="L1954" s="92"/>
      <c r="M1954" s="93"/>
      <c r="N1954" s="87" t="s">
        <v>4427</v>
      </c>
      <c r="O1954" s="87" t="s">
        <v>377</v>
      </c>
      <c r="P1954" s="87" t="s">
        <v>372</v>
      </c>
    </row>
    <row r="1955" ht="15.75" customHeight="1">
      <c r="A1955" s="87" t="s">
        <v>5989</v>
      </c>
      <c r="B1955" s="88">
        <v>1.22E18</v>
      </c>
      <c r="C1955" s="87" t="s">
        <v>5990</v>
      </c>
      <c r="D1955" s="87" t="s">
        <v>87</v>
      </c>
      <c r="E1955" s="87" t="s">
        <v>102</v>
      </c>
      <c r="F1955" s="87" t="s">
        <v>1763</v>
      </c>
      <c r="I1955" s="93"/>
      <c r="J1955" s="87" t="s">
        <v>5991</v>
      </c>
      <c r="K1955" s="90">
        <v>0.0</v>
      </c>
      <c r="L1955" s="92"/>
      <c r="M1955" s="93"/>
      <c r="N1955" s="87" t="s">
        <v>4427</v>
      </c>
      <c r="O1955" s="87" t="s">
        <v>377</v>
      </c>
      <c r="P1955" s="87" t="s">
        <v>372</v>
      </c>
    </row>
    <row r="1956" ht="15.75" customHeight="1">
      <c r="A1956" s="87" t="s">
        <v>5992</v>
      </c>
      <c r="B1956" s="88">
        <v>1.22E18</v>
      </c>
      <c r="C1956" s="87" t="s">
        <v>5993</v>
      </c>
      <c r="D1956" s="87" t="s">
        <v>56</v>
      </c>
      <c r="E1956" s="87" t="s">
        <v>59</v>
      </c>
      <c r="F1956" s="87" t="s">
        <v>5993</v>
      </c>
      <c r="H1956" s="93"/>
      <c r="I1956" s="87" t="s">
        <v>58</v>
      </c>
      <c r="J1956" s="87" t="s">
        <v>2101</v>
      </c>
      <c r="K1956" s="90">
        <v>0.0</v>
      </c>
      <c r="L1956" s="92"/>
      <c r="M1956" s="93"/>
      <c r="N1956" s="87" t="s">
        <v>5994</v>
      </c>
      <c r="O1956" s="87" t="s">
        <v>377</v>
      </c>
      <c r="P1956" s="87" t="s">
        <v>372</v>
      </c>
    </row>
    <row r="1957" ht="15.75" customHeight="1">
      <c r="A1957" s="87" t="s">
        <v>5995</v>
      </c>
      <c r="B1957" s="88">
        <v>1.22E18</v>
      </c>
      <c r="C1957" s="87" t="s">
        <v>5996</v>
      </c>
      <c r="D1957" s="87" t="s">
        <v>56</v>
      </c>
      <c r="E1957" s="87" t="s">
        <v>248</v>
      </c>
      <c r="F1957" s="87" t="s">
        <v>5996</v>
      </c>
      <c r="I1957" s="87" t="s">
        <v>58</v>
      </c>
      <c r="J1957" s="87" t="s">
        <v>5997</v>
      </c>
      <c r="K1957" s="90">
        <v>0.0</v>
      </c>
      <c r="L1957" s="92"/>
      <c r="M1957" s="93"/>
      <c r="N1957" s="87" t="s">
        <v>1772</v>
      </c>
      <c r="O1957" s="87" t="s">
        <v>377</v>
      </c>
      <c r="P1957" s="87" t="s">
        <v>372</v>
      </c>
    </row>
    <row r="1958" ht="15.75" customHeight="1">
      <c r="A1958" s="87" t="s">
        <v>5998</v>
      </c>
      <c r="B1958" s="88">
        <v>1.22E18</v>
      </c>
      <c r="C1958" s="87" t="s">
        <v>5999</v>
      </c>
      <c r="D1958" s="87" t="s">
        <v>87</v>
      </c>
      <c r="E1958" s="87" t="s">
        <v>88</v>
      </c>
      <c r="F1958" s="87" t="s">
        <v>5999</v>
      </c>
      <c r="H1958" s="93"/>
      <c r="I1958" s="87" t="s">
        <v>58</v>
      </c>
      <c r="J1958" s="87" t="s">
        <v>550</v>
      </c>
      <c r="K1958" s="90">
        <v>0.0</v>
      </c>
      <c r="L1958" s="92"/>
      <c r="M1958" s="93"/>
      <c r="N1958" s="87" t="s">
        <v>1772</v>
      </c>
      <c r="O1958" s="87" t="s">
        <v>377</v>
      </c>
      <c r="P1958" s="87" t="s">
        <v>372</v>
      </c>
    </row>
    <row r="1959" ht="15.75" customHeight="1">
      <c r="A1959" s="87" t="s">
        <v>6000</v>
      </c>
      <c r="B1959" s="88">
        <v>1.22E18</v>
      </c>
      <c r="C1959" s="87" t="s">
        <v>6001</v>
      </c>
      <c r="D1959" s="87" t="s">
        <v>57</v>
      </c>
      <c r="E1959" s="87" t="s">
        <v>287</v>
      </c>
      <c r="F1959" s="87" t="s">
        <v>415</v>
      </c>
      <c r="G1959" s="93"/>
      <c r="H1959" s="93"/>
      <c r="I1959" s="87" t="s">
        <v>58</v>
      </c>
      <c r="J1959" s="87" t="s">
        <v>6002</v>
      </c>
      <c r="K1959" s="90">
        <v>1.0</v>
      </c>
      <c r="L1959" s="92"/>
      <c r="M1959" s="93"/>
      <c r="N1959" s="87" t="s">
        <v>1772</v>
      </c>
      <c r="O1959" s="87" t="s">
        <v>377</v>
      </c>
      <c r="P1959" s="87" t="s">
        <v>372</v>
      </c>
    </row>
    <row r="1960" ht="15.75" customHeight="1">
      <c r="A1960" s="87" t="s">
        <v>6003</v>
      </c>
      <c r="B1960" s="88">
        <v>1.22E18</v>
      </c>
      <c r="C1960" s="87" t="s">
        <v>6004</v>
      </c>
      <c r="D1960" s="87" t="s">
        <v>87</v>
      </c>
      <c r="E1960" s="87" t="s">
        <v>88</v>
      </c>
      <c r="F1960" s="87" t="s">
        <v>6004</v>
      </c>
      <c r="I1960" s="87" t="s">
        <v>58</v>
      </c>
      <c r="J1960" s="87" t="s">
        <v>6005</v>
      </c>
      <c r="K1960" s="90">
        <v>0.0</v>
      </c>
      <c r="L1960" s="92"/>
      <c r="M1960" s="93"/>
      <c r="N1960" s="87" t="s">
        <v>1772</v>
      </c>
      <c r="O1960" s="87" t="s">
        <v>377</v>
      </c>
      <c r="P1960" s="87" t="s">
        <v>372</v>
      </c>
    </row>
    <row r="1961" ht="15.75" customHeight="1">
      <c r="A1961" s="87" t="s">
        <v>6006</v>
      </c>
      <c r="B1961" s="88">
        <v>1.22E18</v>
      </c>
      <c r="C1961" s="87" t="s">
        <v>6007</v>
      </c>
      <c r="D1961" s="87" t="s">
        <v>57</v>
      </c>
      <c r="E1961" s="87" t="s">
        <v>287</v>
      </c>
      <c r="F1961" s="118" t="s">
        <v>6007</v>
      </c>
      <c r="G1961" s="130"/>
      <c r="H1961" s="119"/>
      <c r="I1961" s="87" t="s">
        <v>58</v>
      </c>
      <c r="J1961" s="87" t="s">
        <v>6008</v>
      </c>
      <c r="K1961" s="90">
        <v>0.0</v>
      </c>
      <c r="L1961" s="92"/>
      <c r="M1961" s="93"/>
      <c r="N1961" s="87" t="s">
        <v>1772</v>
      </c>
      <c r="O1961" s="87" t="s">
        <v>377</v>
      </c>
      <c r="P1961" s="87" t="s">
        <v>372</v>
      </c>
    </row>
    <row r="1962" ht="15.75" customHeight="1">
      <c r="A1962" s="87" t="s">
        <v>6009</v>
      </c>
      <c r="B1962" s="88">
        <v>1.22E18</v>
      </c>
      <c r="C1962" s="87" t="s">
        <v>6010</v>
      </c>
      <c r="D1962" s="87" t="s">
        <v>87</v>
      </c>
      <c r="E1962" s="87" t="s">
        <v>88</v>
      </c>
      <c r="F1962" s="118" t="s">
        <v>6010</v>
      </c>
      <c r="G1962" s="130"/>
      <c r="H1962" s="119"/>
      <c r="I1962" s="87" t="s">
        <v>58</v>
      </c>
      <c r="J1962" s="87" t="s">
        <v>6011</v>
      </c>
      <c r="K1962" s="90">
        <v>0.0</v>
      </c>
      <c r="L1962" s="92"/>
      <c r="M1962" s="93"/>
      <c r="N1962" s="87" t="s">
        <v>1772</v>
      </c>
      <c r="O1962" s="87" t="s">
        <v>377</v>
      </c>
      <c r="P1962" s="87" t="s">
        <v>372</v>
      </c>
    </row>
    <row r="1963" ht="15.75" customHeight="1">
      <c r="A1963" s="87" t="s">
        <v>6012</v>
      </c>
      <c r="B1963" s="88">
        <v>1.22E18</v>
      </c>
      <c r="C1963" s="87" t="s">
        <v>6013</v>
      </c>
      <c r="D1963" s="87" t="s">
        <v>262</v>
      </c>
      <c r="E1963" s="87" t="s">
        <v>270</v>
      </c>
      <c r="F1963" s="118" t="s">
        <v>6013</v>
      </c>
      <c r="G1963" s="130"/>
      <c r="H1963" s="119"/>
      <c r="I1963" s="87" t="s">
        <v>58</v>
      </c>
      <c r="J1963" s="87" t="s">
        <v>6014</v>
      </c>
      <c r="K1963" s="90">
        <v>0.0</v>
      </c>
      <c r="L1963" s="92"/>
      <c r="M1963" s="93"/>
      <c r="N1963" s="87" t="s">
        <v>1729</v>
      </c>
      <c r="O1963" s="87" t="s">
        <v>377</v>
      </c>
      <c r="P1963" s="87" t="s">
        <v>372</v>
      </c>
    </row>
    <row r="1964" ht="15.75" customHeight="1">
      <c r="A1964" s="87" t="s">
        <v>6015</v>
      </c>
      <c r="B1964" s="88">
        <v>1.22E18</v>
      </c>
      <c r="C1964" s="87" t="s">
        <v>6016</v>
      </c>
      <c r="D1964" s="87" t="s">
        <v>262</v>
      </c>
      <c r="E1964" s="87" t="s">
        <v>270</v>
      </c>
      <c r="F1964" s="87" t="s">
        <v>6016</v>
      </c>
      <c r="I1964" s="87" t="s">
        <v>2333</v>
      </c>
      <c r="J1964" s="87" t="s">
        <v>5004</v>
      </c>
      <c r="K1964" s="90">
        <v>0.0</v>
      </c>
      <c r="L1964" s="92"/>
      <c r="M1964" s="93"/>
      <c r="N1964" s="87" t="s">
        <v>1729</v>
      </c>
      <c r="O1964" s="87" t="s">
        <v>377</v>
      </c>
      <c r="P1964" s="87" t="s">
        <v>372</v>
      </c>
    </row>
    <row r="1965" ht="15.75" customHeight="1">
      <c r="A1965" s="87" t="s">
        <v>6017</v>
      </c>
      <c r="B1965" s="88">
        <v>1.22E18</v>
      </c>
      <c r="C1965" s="87" t="s">
        <v>6018</v>
      </c>
      <c r="D1965" s="87" t="s">
        <v>262</v>
      </c>
      <c r="E1965" s="87" t="s">
        <v>270</v>
      </c>
      <c r="F1965" s="87" t="s">
        <v>6018</v>
      </c>
      <c r="I1965" s="87" t="s">
        <v>58</v>
      </c>
      <c r="J1965" s="87" t="s">
        <v>6019</v>
      </c>
      <c r="K1965" s="90">
        <v>0.0</v>
      </c>
      <c r="L1965" s="92"/>
      <c r="M1965" s="93"/>
      <c r="N1965" s="87" t="s">
        <v>3622</v>
      </c>
      <c r="O1965" s="87" t="s">
        <v>377</v>
      </c>
      <c r="P1965" s="87" t="s">
        <v>372</v>
      </c>
    </row>
    <row r="1966" ht="15.75" customHeight="1">
      <c r="A1966" s="87" t="s">
        <v>6020</v>
      </c>
      <c r="B1966" s="88">
        <v>1.22E18</v>
      </c>
      <c r="C1966" s="87" t="s">
        <v>6021</v>
      </c>
      <c r="D1966" s="87" t="s">
        <v>87</v>
      </c>
      <c r="E1966" s="87" t="s">
        <v>228</v>
      </c>
      <c r="F1966" s="87" t="s">
        <v>373</v>
      </c>
      <c r="H1966" s="93"/>
      <c r="I1966" s="87" t="s">
        <v>340</v>
      </c>
      <c r="J1966" s="87" t="s">
        <v>6022</v>
      </c>
      <c r="K1966" s="90">
        <v>1000.0</v>
      </c>
      <c r="L1966" s="92"/>
      <c r="M1966" s="93"/>
      <c r="N1966" s="87" t="s">
        <v>6023</v>
      </c>
      <c r="O1966" s="87" t="s">
        <v>377</v>
      </c>
      <c r="P1966" s="87" t="s">
        <v>372</v>
      </c>
    </row>
    <row r="1967" ht="15.75" customHeight="1">
      <c r="A1967" s="87" t="s">
        <v>6024</v>
      </c>
      <c r="B1967" s="88">
        <v>1.22E18</v>
      </c>
      <c r="C1967" s="87" t="s">
        <v>6025</v>
      </c>
      <c r="D1967" s="87" t="s">
        <v>87</v>
      </c>
      <c r="E1967" s="87" t="s">
        <v>228</v>
      </c>
      <c r="F1967" s="87" t="s">
        <v>373</v>
      </c>
      <c r="H1967" s="93"/>
      <c r="I1967" s="87" t="s">
        <v>340</v>
      </c>
      <c r="J1967" s="87" t="s">
        <v>6026</v>
      </c>
      <c r="K1967" s="90">
        <v>500.0</v>
      </c>
      <c r="L1967" s="92"/>
      <c r="M1967" s="93"/>
      <c r="N1967" s="87" t="s">
        <v>6023</v>
      </c>
      <c r="O1967" s="87" t="s">
        <v>377</v>
      </c>
      <c r="P1967" s="87" t="s">
        <v>372</v>
      </c>
    </row>
    <row r="1968" ht="15.75" customHeight="1">
      <c r="A1968" s="87" t="s">
        <v>6027</v>
      </c>
      <c r="B1968" s="88">
        <v>1.22E18</v>
      </c>
      <c r="C1968" s="87" t="s">
        <v>6028</v>
      </c>
      <c r="D1968" s="87" t="s">
        <v>87</v>
      </c>
      <c r="E1968" s="87" t="s">
        <v>228</v>
      </c>
      <c r="F1968" s="87" t="s">
        <v>373</v>
      </c>
      <c r="H1968" s="93"/>
      <c r="I1968" s="87" t="s">
        <v>340</v>
      </c>
      <c r="J1968" s="87" t="s">
        <v>6026</v>
      </c>
      <c r="K1968" s="90">
        <v>500.0</v>
      </c>
      <c r="L1968" s="92"/>
      <c r="M1968" s="93"/>
      <c r="N1968" s="87" t="s">
        <v>6023</v>
      </c>
      <c r="O1968" s="87" t="s">
        <v>377</v>
      </c>
      <c r="P1968" s="87" t="s">
        <v>372</v>
      </c>
    </row>
    <row r="1969" ht="15.75" customHeight="1">
      <c r="A1969" s="87" t="s">
        <v>6029</v>
      </c>
      <c r="B1969" s="88">
        <v>1.22E18</v>
      </c>
      <c r="C1969" s="87" t="s">
        <v>6030</v>
      </c>
      <c r="D1969" s="87" t="s">
        <v>87</v>
      </c>
      <c r="E1969" s="87" t="s">
        <v>228</v>
      </c>
      <c r="F1969" s="87" t="s">
        <v>373</v>
      </c>
      <c r="H1969" s="93"/>
      <c r="I1969" s="87" t="s">
        <v>340</v>
      </c>
      <c r="J1969" s="87" t="s">
        <v>6026</v>
      </c>
      <c r="K1969" s="90">
        <v>1500.0</v>
      </c>
      <c r="L1969" s="92"/>
      <c r="M1969" s="93"/>
      <c r="N1969" s="87" t="s">
        <v>6023</v>
      </c>
      <c r="O1969" s="87" t="s">
        <v>377</v>
      </c>
      <c r="P1969" s="87" t="s">
        <v>372</v>
      </c>
    </row>
    <row r="1970" ht="15.75" customHeight="1">
      <c r="A1970" s="87" t="s">
        <v>6031</v>
      </c>
      <c r="B1970" s="88">
        <v>1.22E18</v>
      </c>
      <c r="C1970" s="87" t="s">
        <v>6032</v>
      </c>
      <c r="D1970" s="87" t="s">
        <v>87</v>
      </c>
      <c r="E1970" s="87" t="s">
        <v>228</v>
      </c>
      <c r="F1970" s="87" t="s">
        <v>373</v>
      </c>
      <c r="H1970" s="93"/>
      <c r="I1970" s="87" t="s">
        <v>340</v>
      </c>
      <c r="J1970" s="87" t="s">
        <v>449</v>
      </c>
      <c r="K1970" s="90">
        <v>1000.0</v>
      </c>
      <c r="L1970" s="92"/>
      <c r="M1970" s="93"/>
      <c r="N1970" s="87" t="s">
        <v>6023</v>
      </c>
      <c r="O1970" s="87" t="s">
        <v>377</v>
      </c>
      <c r="P1970" s="87" t="s">
        <v>372</v>
      </c>
    </row>
    <row r="1971" ht="15.75" customHeight="1">
      <c r="A1971" s="87" t="s">
        <v>6033</v>
      </c>
      <c r="B1971" s="88">
        <v>1.22E18</v>
      </c>
      <c r="C1971" s="87" t="s">
        <v>6034</v>
      </c>
      <c r="D1971" s="87" t="s">
        <v>87</v>
      </c>
      <c r="E1971" s="87" t="s">
        <v>228</v>
      </c>
      <c r="F1971" s="87" t="s">
        <v>373</v>
      </c>
      <c r="H1971" s="93"/>
      <c r="I1971" s="87" t="s">
        <v>340</v>
      </c>
      <c r="J1971" s="87" t="s">
        <v>449</v>
      </c>
      <c r="K1971" s="90">
        <v>1000.0</v>
      </c>
      <c r="L1971" s="92"/>
      <c r="M1971" s="93"/>
      <c r="N1971" s="87" t="s">
        <v>6023</v>
      </c>
      <c r="O1971" s="87" t="s">
        <v>377</v>
      </c>
      <c r="P1971" s="87" t="s">
        <v>372</v>
      </c>
    </row>
    <row r="1972" ht="15.75" customHeight="1">
      <c r="A1972" s="87" t="s">
        <v>6035</v>
      </c>
      <c r="B1972" s="88">
        <v>1.22E18</v>
      </c>
      <c r="C1972" s="87" t="s">
        <v>6036</v>
      </c>
      <c r="D1972" s="87" t="s">
        <v>87</v>
      </c>
      <c r="E1972" s="87" t="s">
        <v>88</v>
      </c>
      <c r="F1972" s="87" t="s">
        <v>6036</v>
      </c>
      <c r="I1972" s="87" t="s">
        <v>340</v>
      </c>
      <c r="J1972" s="87" t="s">
        <v>449</v>
      </c>
      <c r="K1972" s="90">
        <v>0.0</v>
      </c>
      <c r="L1972" s="92"/>
      <c r="M1972" s="93"/>
      <c r="N1972" s="87" t="s">
        <v>6023</v>
      </c>
      <c r="O1972" s="87" t="s">
        <v>377</v>
      </c>
      <c r="P1972" s="87" t="s">
        <v>372</v>
      </c>
    </row>
    <row r="1973" ht="15.75" customHeight="1">
      <c r="A1973" s="87" t="s">
        <v>6037</v>
      </c>
      <c r="B1973" s="88">
        <v>1.22E18</v>
      </c>
      <c r="C1973" s="87" t="s">
        <v>6038</v>
      </c>
      <c r="D1973" s="87" t="s">
        <v>87</v>
      </c>
      <c r="E1973" s="87" t="s">
        <v>228</v>
      </c>
      <c r="F1973" s="87" t="s">
        <v>6038</v>
      </c>
      <c r="I1973" s="87" t="s">
        <v>340</v>
      </c>
      <c r="J1973" s="87" t="s">
        <v>449</v>
      </c>
      <c r="K1973" s="90">
        <v>0.0</v>
      </c>
      <c r="L1973" s="92"/>
      <c r="M1973" s="93"/>
      <c r="N1973" s="87" t="s">
        <v>6023</v>
      </c>
      <c r="O1973" s="87" t="s">
        <v>377</v>
      </c>
      <c r="P1973" s="87" t="s">
        <v>372</v>
      </c>
    </row>
    <row r="1974" ht="15.75" customHeight="1">
      <c r="A1974" s="87" t="s">
        <v>6039</v>
      </c>
      <c r="B1974" s="88">
        <v>1.22E18</v>
      </c>
      <c r="C1974" s="87" t="s">
        <v>6040</v>
      </c>
      <c r="D1974" s="87" t="s">
        <v>87</v>
      </c>
      <c r="E1974" s="87" t="s">
        <v>88</v>
      </c>
      <c r="F1974" s="87" t="s">
        <v>6040</v>
      </c>
      <c r="I1974" s="87" t="s">
        <v>340</v>
      </c>
      <c r="J1974" s="87" t="s">
        <v>449</v>
      </c>
      <c r="K1974" s="90">
        <v>2000.0</v>
      </c>
      <c r="L1974" s="92"/>
      <c r="M1974" s="93"/>
      <c r="N1974" s="87" t="s">
        <v>6023</v>
      </c>
      <c r="O1974" s="87" t="s">
        <v>377</v>
      </c>
      <c r="P1974" s="87" t="s">
        <v>372</v>
      </c>
    </row>
    <row r="1975" ht="15.75" customHeight="1">
      <c r="A1975" s="87" t="s">
        <v>6041</v>
      </c>
      <c r="B1975" s="88">
        <v>1.22E18</v>
      </c>
      <c r="C1975" s="87" t="s">
        <v>6042</v>
      </c>
      <c r="D1975" s="87" t="s">
        <v>87</v>
      </c>
      <c r="E1975" s="87" t="s">
        <v>228</v>
      </c>
      <c r="F1975" s="87" t="s">
        <v>6042</v>
      </c>
      <c r="I1975" s="87" t="s">
        <v>340</v>
      </c>
      <c r="J1975" s="87" t="s">
        <v>449</v>
      </c>
      <c r="K1975" s="90">
        <v>0.0</v>
      </c>
      <c r="L1975" s="92"/>
      <c r="M1975" s="93"/>
      <c r="N1975" s="87" t="s">
        <v>6023</v>
      </c>
      <c r="O1975" s="87" t="s">
        <v>377</v>
      </c>
      <c r="P1975" s="87" t="s">
        <v>372</v>
      </c>
    </row>
    <row r="1976" ht="15.75" customHeight="1">
      <c r="A1976" s="87" t="s">
        <v>6043</v>
      </c>
      <c r="B1976" s="88">
        <v>1.22E18</v>
      </c>
      <c r="C1976" s="87" t="s">
        <v>6044</v>
      </c>
      <c r="D1976" s="87" t="s">
        <v>87</v>
      </c>
      <c r="E1976" s="87" t="s">
        <v>88</v>
      </c>
      <c r="F1976" s="87" t="s">
        <v>379</v>
      </c>
      <c r="G1976" s="93"/>
      <c r="H1976" s="93"/>
      <c r="I1976" s="93"/>
      <c r="J1976" s="87" t="s">
        <v>4332</v>
      </c>
      <c r="K1976" s="90">
        <v>0.0</v>
      </c>
      <c r="L1976" s="92"/>
      <c r="M1976" s="93"/>
      <c r="N1976" s="87" t="s">
        <v>6045</v>
      </c>
      <c r="O1976" s="87" t="s">
        <v>377</v>
      </c>
      <c r="P1976" s="87" t="s">
        <v>372</v>
      </c>
    </row>
    <row r="1977" ht="15.75" customHeight="1">
      <c r="A1977" s="87" t="s">
        <v>6046</v>
      </c>
      <c r="B1977" s="88">
        <v>1.22E18</v>
      </c>
      <c r="C1977" s="87" t="s">
        <v>6047</v>
      </c>
      <c r="D1977" s="87" t="s">
        <v>87</v>
      </c>
      <c r="E1977" s="87" t="s">
        <v>88</v>
      </c>
      <c r="F1977" s="87" t="s">
        <v>379</v>
      </c>
      <c r="G1977" s="93"/>
      <c r="H1977" s="93"/>
      <c r="I1977" s="93"/>
      <c r="J1977" s="87" t="s">
        <v>4099</v>
      </c>
      <c r="K1977" s="90">
        <v>0.0</v>
      </c>
      <c r="L1977" s="92"/>
      <c r="M1977" s="93"/>
      <c r="N1977" s="87" t="s">
        <v>5811</v>
      </c>
      <c r="O1977" s="87" t="s">
        <v>377</v>
      </c>
      <c r="P1977" s="87" t="s">
        <v>372</v>
      </c>
    </row>
    <row r="1978" ht="15.75" customHeight="1">
      <c r="A1978" s="87" t="s">
        <v>6048</v>
      </c>
      <c r="B1978" s="88">
        <v>1.22E18</v>
      </c>
      <c r="C1978" s="87" t="s">
        <v>6049</v>
      </c>
      <c r="D1978" s="87" t="s">
        <v>87</v>
      </c>
      <c r="E1978" s="87" t="s">
        <v>88</v>
      </c>
      <c r="F1978" s="87" t="s">
        <v>379</v>
      </c>
      <c r="G1978" s="93"/>
      <c r="H1978" s="93"/>
      <c r="I1978" s="93"/>
      <c r="J1978" s="87" t="s">
        <v>2030</v>
      </c>
      <c r="K1978" s="90">
        <v>0.0</v>
      </c>
      <c r="L1978" s="92"/>
      <c r="M1978" s="93"/>
      <c r="N1978" s="87" t="s">
        <v>6045</v>
      </c>
      <c r="O1978" s="87" t="s">
        <v>377</v>
      </c>
      <c r="P1978" s="87" t="s">
        <v>372</v>
      </c>
    </row>
    <row r="1979" ht="15.75" customHeight="1">
      <c r="A1979" s="87" t="s">
        <v>6050</v>
      </c>
      <c r="B1979" s="88">
        <v>1.22E18</v>
      </c>
      <c r="C1979" s="87" t="s">
        <v>6051</v>
      </c>
      <c r="D1979" s="87" t="s">
        <v>87</v>
      </c>
      <c r="E1979" s="87" t="s">
        <v>228</v>
      </c>
      <c r="F1979" s="87" t="s">
        <v>373</v>
      </c>
      <c r="H1979" s="93"/>
      <c r="I1979" s="87" t="s">
        <v>340</v>
      </c>
      <c r="J1979" s="87" t="s">
        <v>1886</v>
      </c>
      <c r="K1979" s="90">
        <v>0.0</v>
      </c>
      <c r="L1979" s="92"/>
      <c r="M1979" s="93"/>
      <c r="N1979" s="87" t="s">
        <v>4517</v>
      </c>
      <c r="O1979" s="87" t="s">
        <v>377</v>
      </c>
      <c r="P1979" s="87" t="s">
        <v>372</v>
      </c>
    </row>
    <row r="1980" ht="15.75" customHeight="1">
      <c r="A1980" s="87" t="s">
        <v>6052</v>
      </c>
      <c r="B1980" s="88">
        <v>1.22E18</v>
      </c>
      <c r="C1980" s="87" t="s">
        <v>6053</v>
      </c>
      <c r="D1980" s="87" t="s">
        <v>87</v>
      </c>
      <c r="E1980" s="87" t="s">
        <v>228</v>
      </c>
      <c r="F1980" s="87" t="s">
        <v>373</v>
      </c>
      <c r="H1980" s="93"/>
      <c r="I1980" s="87" t="s">
        <v>340</v>
      </c>
      <c r="J1980" s="87" t="s">
        <v>1886</v>
      </c>
      <c r="K1980" s="90">
        <v>0.0</v>
      </c>
      <c r="L1980" s="92"/>
      <c r="M1980" s="93"/>
      <c r="N1980" s="87" t="s">
        <v>4517</v>
      </c>
      <c r="O1980" s="87" t="s">
        <v>377</v>
      </c>
      <c r="P1980" s="87" t="s">
        <v>372</v>
      </c>
    </row>
    <row r="1981" ht="15.75" customHeight="1">
      <c r="A1981" s="87" t="s">
        <v>6054</v>
      </c>
      <c r="B1981" s="88">
        <v>1.22E18</v>
      </c>
      <c r="C1981" s="87" t="s">
        <v>6055</v>
      </c>
      <c r="D1981" s="87" t="s">
        <v>87</v>
      </c>
      <c r="E1981" s="87" t="s">
        <v>88</v>
      </c>
      <c r="F1981" s="87" t="s">
        <v>373</v>
      </c>
      <c r="H1981" s="93"/>
      <c r="I1981" s="87" t="s">
        <v>340</v>
      </c>
      <c r="J1981" s="87" t="s">
        <v>6056</v>
      </c>
      <c r="K1981" s="90">
        <v>1000.0</v>
      </c>
      <c r="L1981" s="92"/>
      <c r="M1981" s="93"/>
      <c r="N1981" s="87" t="s">
        <v>390</v>
      </c>
      <c r="O1981" s="87" t="s">
        <v>377</v>
      </c>
      <c r="P1981" s="87" t="s">
        <v>372</v>
      </c>
    </row>
    <row r="1982" ht="15.75" customHeight="1">
      <c r="A1982" s="87" t="s">
        <v>6057</v>
      </c>
      <c r="B1982" s="88">
        <v>1.22E18</v>
      </c>
      <c r="C1982" s="87" t="s">
        <v>6058</v>
      </c>
      <c r="D1982" s="87" t="s">
        <v>87</v>
      </c>
      <c r="E1982" s="87" t="s">
        <v>88</v>
      </c>
      <c r="F1982" s="87" t="s">
        <v>379</v>
      </c>
      <c r="G1982" s="93"/>
      <c r="H1982" s="93"/>
      <c r="I1982" s="93"/>
      <c r="J1982" s="87" t="s">
        <v>6059</v>
      </c>
      <c r="K1982" s="90">
        <v>25000.0</v>
      </c>
      <c r="L1982" s="92"/>
      <c r="M1982" s="93"/>
      <c r="N1982" s="87" t="s">
        <v>390</v>
      </c>
      <c r="O1982" s="87" t="s">
        <v>377</v>
      </c>
      <c r="P1982" s="87" t="s">
        <v>372</v>
      </c>
    </row>
    <row r="1983" ht="15.75" customHeight="1">
      <c r="A1983" s="87" t="s">
        <v>6060</v>
      </c>
      <c r="B1983" s="88">
        <v>1.22E18</v>
      </c>
      <c r="C1983" s="87" t="s">
        <v>6061</v>
      </c>
      <c r="D1983" s="87" t="s">
        <v>87</v>
      </c>
      <c r="E1983" s="87" t="s">
        <v>88</v>
      </c>
      <c r="F1983" s="87" t="s">
        <v>6061</v>
      </c>
      <c r="I1983" s="87" t="s">
        <v>2770</v>
      </c>
      <c r="J1983" s="87" t="s">
        <v>3787</v>
      </c>
      <c r="K1983" s="90">
        <v>0.0</v>
      </c>
      <c r="L1983" s="92"/>
      <c r="M1983" s="93"/>
      <c r="N1983" s="87" t="s">
        <v>5364</v>
      </c>
      <c r="O1983" s="87" t="s">
        <v>377</v>
      </c>
      <c r="P1983" s="87" t="s">
        <v>372</v>
      </c>
    </row>
    <row r="1984" ht="15.75" customHeight="1">
      <c r="A1984" s="87" t="s">
        <v>6062</v>
      </c>
      <c r="B1984" s="88">
        <v>1.22E18</v>
      </c>
      <c r="C1984" s="87" t="s">
        <v>6063</v>
      </c>
      <c r="D1984" s="87" t="s">
        <v>87</v>
      </c>
      <c r="E1984" s="87" t="s">
        <v>88</v>
      </c>
      <c r="F1984" s="87" t="s">
        <v>6063</v>
      </c>
      <c r="I1984" s="87" t="s">
        <v>2770</v>
      </c>
      <c r="J1984" s="87" t="s">
        <v>5174</v>
      </c>
      <c r="K1984" s="90">
        <v>0.0</v>
      </c>
      <c r="L1984" s="92"/>
      <c r="M1984" s="93"/>
      <c r="N1984" s="87" t="s">
        <v>5364</v>
      </c>
      <c r="O1984" s="87" t="s">
        <v>377</v>
      </c>
      <c r="P1984" s="87" t="s">
        <v>372</v>
      </c>
    </row>
    <row r="1985" ht="15.75" customHeight="1">
      <c r="A1985" s="87" t="s">
        <v>6064</v>
      </c>
      <c r="B1985" s="88">
        <v>1.22E18</v>
      </c>
      <c r="C1985" s="87" t="s">
        <v>6065</v>
      </c>
      <c r="D1985" s="87" t="s">
        <v>87</v>
      </c>
      <c r="E1985" s="87" t="s">
        <v>88</v>
      </c>
      <c r="F1985" s="87" t="s">
        <v>6065</v>
      </c>
      <c r="I1985" s="87" t="s">
        <v>2770</v>
      </c>
      <c r="J1985" s="87" t="s">
        <v>3787</v>
      </c>
      <c r="K1985" s="90">
        <v>0.0</v>
      </c>
      <c r="L1985" s="92"/>
      <c r="M1985" s="93"/>
      <c r="N1985" s="87" t="s">
        <v>5364</v>
      </c>
      <c r="O1985" s="87" t="s">
        <v>377</v>
      </c>
      <c r="P1985" s="87" t="s">
        <v>372</v>
      </c>
    </row>
    <row r="1986" ht="15.75" customHeight="1">
      <c r="A1986" s="87" t="s">
        <v>6066</v>
      </c>
      <c r="B1986" s="88">
        <v>1.22E18</v>
      </c>
      <c r="C1986" s="87" t="s">
        <v>6067</v>
      </c>
      <c r="D1986" s="87" t="s">
        <v>87</v>
      </c>
      <c r="E1986" s="87" t="s">
        <v>88</v>
      </c>
      <c r="F1986" s="87" t="s">
        <v>6067</v>
      </c>
      <c r="I1986" s="87" t="s">
        <v>58</v>
      </c>
      <c r="J1986" s="87" t="s">
        <v>6068</v>
      </c>
      <c r="K1986" s="90">
        <v>0.0</v>
      </c>
      <c r="L1986" s="92"/>
      <c r="M1986" s="93"/>
      <c r="N1986" s="87" t="s">
        <v>1772</v>
      </c>
      <c r="O1986" s="87" t="s">
        <v>377</v>
      </c>
      <c r="P1986" s="87" t="s">
        <v>372</v>
      </c>
    </row>
    <row r="1987" ht="15.75" customHeight="1">
      <c r="A1987" s="87" t="s">
        <v>6069</v>
      </c>
      <c r="B1987" s="88">
        <v>1.22E18</v>
      </c>
      <c r="C1987" s="87" t="s">
        <v>6070</v>
      </c>
      <c r="D1987" s="87" t="s">
        <v>262</v>
      </c>
      <c r="E1987" s="87" t="s">
        <v>270</v>
      </c>
      <c r="F1987" s="118" t="s">
        <v>6070</v>
      </c>
      <c r="G1987" s="130"/>
      <c r="H1987" s="119"/>
      <c r="I1987" s="87" t="s">
        <v>3984</v>
      </c>
      <c r="J1987" s="87" t="s">
        <v>3285</v>
      </c>
      <c r="K1987" s="90">
        <v>0.0</v>
      </c>
      <c r="L1987" s="92"/>
      <c r="M1987" s="93"/>
      <c r="N1987" s="87" t="s">
        <v>1772</v>
      </c>
      <c r="O1987" s="87" t="s">
        <v>377</v>
      </c>
      <c r="P1987" s="87" t="s">
        <v>372</v>
      </c>
    </row>
    <row r="1988" ht="15.75" customHeight="1">
      <c r="A1988" s="87" t="s">
        <v>6071</v>
      </c>
      <c r="B1988" s="88">
        <v>1.22E18</v>
      </c>
      <c r="C1988" s="87" t="s">
        <v>6072</v>
      </c>
      <c r="D1988" s="87" t="s">
        <v>57</v>
      </c>
      <c r="E1988" s="87" t="s">
        <v>290</v>
      </c>
      <c r="F1988" s="118" t="s">
        <v>6072</v>
      </c>
      <c r="G1988" s="130"/>
      <c r="H1988" s="119"/>
      <c r="I1988" s="87" t="s">
        <v>58</v>
      </c>
      <c r="J1988" s="87" t="s">
        <v>4844</v>
      </c>
      <c r="K1988" s="90">
        <v>0.0</v>
      </c>
      <c r="L1988" s="92"/>
      <c r="M1988" s="93"/>
      <c r="N1988" s="87" t="s">
        <v>1772</v>
      </c>
      <c r="O1988" s="87" t="s">
        <v>377</v>
      </c>
      <c r="P1988" s="87" t="s">
        <v>372</v>
      </c>
    </row>
    <row r="1989" ht="15.75" customHeight="1">
      <c r="A1989" s="87" t="s">
        <v>6073</v>
      </c>
      <c r="B1989" s="88">
        <v>1.22E18</v>
      </c>
      <c r="C1989" s="87" t="s">
        <v>6074</v>
      </c>
      <c r="D1989" s="87" t="s">
        <v>262</v>
      </c>
      <c r="E1989" s="87" t="s">
        <v>270</v>
      </c>
      <c r="F1989" s="87" t="s">
        <v>6074</v>
      </c>
      <c r="I1989" s="87" t="s">
        <v>5012</v>
      </c>
      <c r="J1989" s="87" t="s">
        <v>6075</v>
      </c>
      <c r="K1989" s="90">
        <v>0.0</v>
      </c>
      <c r="L1989" s="92"/>
      <c r="M1989" s="93"/>
      <c r="N1989" s="87" t="s">
        <v>1772</v>
      </c>
      <c r="O1989" s="87" t="s">
        <v>377</v>
      </c>
      <c r="P1989" s="87" t="s">
        <v>372</v>
      </c>
    </row>
    <row r="1990" ht="15.75" customHeight="1">
      <c r="A1990" s="87" t="s">
        <v>6076</v>
      </c>
      <c r="B1990" s="88">
        <v>1.22E18</v>
      </c>
      <c r="C1990" s="87" t="s">
        <v>6077</v>
      </c>
      <c r="D1990" s="87" t="s">
        <v>57</v>
      </c>
      <c r="E1990" s="87" t="s">
        <v>293</v>
      </c>
      <c r="F1990" s="118" t="s">
        <v>6077</v>
      </c>
      <c r="G1990" s="130"/>
      <c r="H1990" s="119"/>
      <c r="I1990" s="87" t="s">
        <v>58</v>
      </c>
      <c r="J1990" s="87" t="s">
        <v>2519</v>
      </c>
      <c r="K1990" s="90">
        <v>0.0</v>
      </c>
      <c r="L1990" s="92"/>
      <c r="M1990" s="93"/>
      <c r="N1990" s="87" t="s">
        <v>1772</v>
      </c>
      <c r="O1990" s="87" t="s">
        <v>377</v>
      </c>
      <c r="P1990" s="87" t="s">
        <v>372</v>
      </c>
    </row>
    <row r="1991" ht="15.75" customHeight="1">
      <c r="A1991" s="87" t="s">
        <v>6078</v>
      </c>
      <c r="B1991" s="88">
        <v>1.22E18</v>
      </c>
      <c r="C1991" s="87" t="s">
        <v>6079</v>
      </c>
      <c r="D1991" s="87" t="s">
        <v>87</v>
      </c>
      <c r="E1991" s="87" t="s">
        <v>88</v>
      </c>
      <c r="F1991" s="118" t="s">
        <v>6079</v>
      </c>
      <c r="G1991" s="130"/>
      <c r="H1991" s="119"/>
      <c r="I1991" s="87" t="s">
        <v>5012</v>
      </c>
      <c r="J1991" s="87" t="s">
        <v>6080</v>
      </c>
      <c r="K1991" s="90">
        <v>0.0</v>
      </c>
      <c r="L1991" s="92"/>
      <c r="M1991" s="93"/>
      <c r="N1991" s="87" t="s">
        <v>1772</v>
      </c>
      <c r="O1991" s="87" t="s">
        <v>377</v>
      </c>
      <c r="P1991" s="87" t="s">
        <v>372</v>
      </c>
    </row>
    <row r="1992" ht="15.75" customHeight="1">
      <c r="A1992" s="87" t="s">
        <v>6081</v>
      </c>
      <c r="B1992" s="88">
        <v>1.22E18</v>
      </c>
      <c r="C1992" s="87" t="s">
        <v>6082</v>
      </c>
      <c r="D1992" s="87" t="s">
        <v>262</v>
      </c>
      <c r="E1992" s="87" t="s">
        <v>267</v>
      </c>
      <c r="F1992" s="118" t="s">
        <v>6082</v>
      </c>
      <c r="G1992" s="130"/>
      <c r="H1992" s="119"/>
      <c r="I1992" s="87" t="s">
        <v>340</v>
      </c>
      <c r="J1992" s="87" t="s">
        <v>6083</v>
      </c>
      <c r="K1992" s="90">
        <v>0.0</v>
      </c>
      <c r="L1992" s="92"/>
      <c r="M1992" s="93"/>
      <c r="N1992" s="87" t="s">
        <v>1844</v>
      </c>
      <c r="O1992" s="87" t="s">
        <v>377</v>
      </c>
      <c r="P1992" s="87" t="s">
        <v>372</v>
      </c>
    </row>
    <row r="1993" ht="15.75" customHeight="1">
      <c r="A1993" s="87" t="s">
        <v>6084</v>
      </c>
      <c r="B1993" s="88">
        <v>1.22E18</v>
      </c>
      <c r="C1993" s="87" t="s">
        <v>6085</v>
      </c>
      <c r="D1993" s="87" t="s">
        <v>262</v>
      </c>
      <c r="E1993" s="87" t="s">
        <v>267</v>
      </c>
      <c r="F1993" s="87" t="s">
        <v>6085</v>
      </c>
      <c r="I1993" s="87" t="s">
        <v>340</v>
      </c>
      <c r="J1993" s="87" t="s">
        <v>6086</v>
      </c>
      <c r="K1993" s="90">
        <v>0.0</v>
      </c>
      <c r="L1993" s="92"/>
      <c r="M1993" s="93"/>
      <c r="N1993" s="87" t="s">
        <v>1844</v>
      </c>
      <c r="O1993" s="87" t="s">
        <v>377</v>
      </c>
      <c r="P1993" s="87" t="s">
        <v>372</v>
      </c>
    </row>
    <row r="1994" ht="15.75" customHeight="1">
      <c r="A1994" s="87" t="s">
        <v>6087</v>
      </c>
      <c r="B1994" s="88">
        <v>1.22E18</v>
      </c>
      <c r="C1994" s="87" t="s">
        <v>6088</v>
      </c>
      <c r="D1994" s="87" t="s">
        <v>87</v>
      </c>
      <c r="E1994" s="87" t="s">
        <v>236</v>
      </c>
      <c r="F1994" s="87" t="s">
        <v>6088</v>
      </c>
      <c r="H1994" s="93"/>
      <c r="I1994" s="87" t="s">
        <v>58</v>
      </c>
      <c r="J1994" s="87" t="s">
        <v>2841</v>
      </c>
      <c r="K1994" s="90">
        <v>0.0</v>
      </c>
      <c r="L1994" s="92"/>
      <c r="M1994" s="93"/>
      <c r="N1994" s="93"/>
      <c r="O1994" s="87" t="s">
        <v>377</v>
      </c>
      <c r="P1994" s="87" t="s">
        <v>372</v>
      </c>
    </row>
    <row r="1995" ht="15.75" customHeight="1">
      <c r="A1995" s="87" t="s">
        <v>6089</v>
      </c>
      <c r="B1995" s="88">
        <v>1.22E18</v>
      </c>
      <c r="C1995" s="87" t="s">
        <v>6090</v>
      </c>
      <c r="D1995" s="87" t="s">
        <v>87</v>
      </c>
      <c r="E1995" s="87" t="s">
        <v>236</v>
      </c>
      <c r="F1995" s="87" t="s">
        <v>6090</v>
      </c>
      <c r="H1995" s="93"/>
      <c r="I1995" s="87" t="s">
        <v>58</v>
      </c>
      <c r="J1995" s="87" t="s">
        <v>4257</v>
      </c>
      <c r="K1995" s="90">
        <v>0.0</v>
      </c>
      <c r="L1995" s="92"/>
      <c r="M1995" s="93"/>
      <c r="N1995" s="87" t="s">
        <v>5175</v>
      </c>
      <c r="O1995" s="87" t="s">
        <v>377</v>
      </c>
      <c r="P1995" s="87" t="s">
        <v>372</v>
      </c>
    </row>
    <row r="1996" ht="15.75" customHeight="1">
      <c r="A1996" s="87" t="s">
        <v>6091</v>
      </c>
      <c r="B1996" s="88">
        <v>1.22E18</v>
      </c>
      <c r="C1996" s="87" t="s">
        <v>6092</v>
      </c>
      <c r="D1996" s="87" t="s">
        <v>87</v>
      </c>
      <c r="E1996" s="87" t="s">
        <v>88</v>
      </c>
      <c r="F1996" s="87" t="s">
        <v>6092</v>
      </c>
      <c r="I1996" s="87" t="s">
        <v>315</v>
      </c>
      <c r="J1996" s="87" t="s">
        <v>6093</v>
      </c>
      <c r="K1996" s="90">
        <v>80000.0</v>
      </c>
      <c r="L1996" s="92"/>
      <c r="M1996" s="93"/>
      <c r="N1996" s="87" t="s">
        <v>390</v>
      </c>
      <c r="O1996" s="87" t="s">
        <v>377</v>
      </c>
      <c r="P1996" s="87" t="s">
        <v>372</v>
      </c>
    </row>
    <row r="1997" ht="15.75" customHeight="1">
      <c r="A1997" s="87" t="s">
        <v>6094</v>
      </c>
      <c r="B1997" s="88">
        <v>1.22E18</v>
      </c>
      <c r="C1997" s="87" t="s">
        <v>6095</v>
      </c>
      <c r="D1997" s="87" t="s">
        <v>87</v>
      </c>
      <c r="E1997" s="87" t="s">
        <v>88</v>
      </c>
      <c r="F1997" s="87" t="s">
        <v>379</v>
      </c>
      <c r="G1997" s="93"/>
      <c r="H1997" s="93"/>
      <c r="I1997" s="93"/>
      <c r="J1997" s="87" t="s">
        <v>4867</v>
      </c>
      <c r="K1997" s="90">
        <v>1200.0</v>
      </c>
      <c r="L1997" s="92"/>
      <c r="M1997" s="93"/>
      <c r="N1997" s="87" t="s">
        <v>5619</v>
      </c>
      <c r="O1997" s="87" t="s">
        <v>377</v>
      </c>
      <c r="P1997" s="87" t="s">
        <v>372</v>
      </c>
    </row>
    <row r="1998" ht="15.75" customHeight="1">
      <c r="A1998" s="87" t="s">
        <v>6096</v>
      </c>
      <c r="B1998" s="88">
        <v>1.22E18</v>
      </c>
      <c r="C1998" s="87" t="s">
        <v>6097</v>
      </c>
      <c r="D1998" s="87" t="s">
        <v>262</v>
      </c>
      <c r="E1998" s="87" t="s">
        <v>267</v>
      </c>
      <c r="F1998" s="87" t="s">
        <v>1749</v>
      </c>
      <c r="H1998" s="93"/>
      <c r="I1998" s="87" t="s">
        <v>58</v>
      </c>
      <c r="J1998" s="87" t="s">
        <v>6098</v>
      </c>
      <c r="K1998" s="90">
        <v>0.0</v>
      </c>
      <c r="L1998" s="92"/>
      <c r="M1998" s="93"/>
      <c r="N1998" s="87" t="s">
        <v>1729</v>
      </c>
      <c r="O1998" s="87" t="s">
        <v>377</v>
      </c>
      <c r="P1998" s="87" t="s">
        <v>372</v>
      </c>
    </row>
    <row r="1999" ht="15.75" customHeight="1">
      <c r="A1999" s="87" t="s">
        <v>6099</v>
      </c>
      <c r="B1999" s="88">
        <v>1.22E18</v>
      </c>
      <c r="C1999" s="87" t="s">
        <v>6100</v>
      </c>
      <c r="D1999" s="87" t="s">
        <v>56</v>
      </c>
      <c r="E1999" s="87" t="s">
        <v>102</v>
      </c>
      <c r="F1999" s="87" t="s">
        <v>1763</v>
      </c>
      <c r="I1999" s="93"/>
      <c r="J1999" s="87" t="s">
        <v>6101</v>
      </c>
      <c r="K1999" s="90">
        <v>0.0</v>
      </c>
      <c r="L1999" s="92"/>
      <c r="M1999" s="93"/>
      <c r="N1999" s="87" t="s">
        <v>6102</v>
      </c>
      <c r="O1999" s="87" t="s">
        <v>377</v>
      </c>
      <c r="P1999" s="87" t="s">
        <v>372</v>
      </c>
    </row>
    <row r="2000" ht="15.75" customHeight="1">
      <c r="A2000" s="87" t="s">
        <v>6103</v>
      </c>
      <c r="B2000" s="88">
        <v>1.22E18</v>
      </c>
      <c r="C2000" s="87" t="s">
        <v>6104</v>
      </c>
      <c r="D2000" s="87" t="s">
        <v>57</v>
      </c>
      <c r="E2000" s="87" t="s">
        <v>281</v>
      </c>
      <c r="F2000" s="118" t="s">
        <v>6104</v>
      </c>
      <c r="G2000" s="130"/>
      <c r="H2000" s="119"/>
      <c r="I2000" s="87" t="s">
        <v>58</v>
      </c>
      <c r="J2000" s="87" t="s">
        <v>4995</v>
      </c>
      <c r="K2000" s="90">
        <v>0.0</v>
      </c>
      <c r="L2000" s="92"/>
      <c r="M2000" s="93"/>
      <c r="N2000" s="87" t="s">
        <v>1772</v>
      </c>
      <c r="O2000" s="87" t="s">
        <v>377</v>
      </c>
      <c r="P2000" s="87" t="s">
        <v>372</v>
      </c>
    </row>
    <row r="2001" ht="15.75" customHeight="1">
      <c r="A2001" s="87" t="s">
        <v>6105</v>
      </c>
      <c r="B2001" s="88">
        <v>1.22E18</v>
      </c>
      <c r="C2001" s="87" t="s">
        <v>6106</v>
      </c>
      <c r="D2001" s="87" t="s">
        <v>87</v>
      </c>
      <c r="E2001" s="87" t="s">
        <v>88</v>
      </c>
      <c r="F2001" s="87" t="s">
        <v>6106</v>
      </c>
      <c r="I2001" s="87" t="s">
        <v>58</v>
      </c>
      <c r="J2001" s="87" t="s">
        <v>6107</v>
      </c>
      <c r="K2001" s="90">
        <v>0.0</v>
      </c>
      <c r="L2001" s="92"/>
      <c r="M2001" s="93"/>
      <c r="N2001" s="87" t="s">
        <v>1772</v>
      </c>
      <c r="O2001" s="87" t="s">
        <v>377</v>
      </c>
      <c r="P2001" s="87" t="s">
        <v>372</v>
      </c>
    </row>
    <row r="2002" ht="15.75" customHeight="1">
      <c r="A2002" s="87" t="s">
        <v>6108</v>
      </c>
      <c r="B2002" s="88">
        <v>1.22E18</v>
      </c>
      <c r="C2002" s="87" t="s">
        <v>6109</v>
      </c>
      <c r="D2002" s="87" t="s">
        <v>56</v>
      </c>
      <c r="E2002" s="87" t="s">
        <v>248</v>
      </c>
      <c r="F2002" s="87" t="s">
        <v>2769</v>
      </c>
      <c r="G2002" s="93"/>
      <c r="H2002" s="93"/>
      <c r="I2002" s="87" t="s">
        <v>1742</v>
      </c>
      <c r="J2002" s="87" t="s">
        <v>6110</v>
      </c>
      <c r="K2002" s="90">
        <v>0.0</v>
      </c>
      <c r="L2002" s="92"/>
      <c r="M2002" s="93"/>
      <c r="N2002" s="87" t="s">
        <v>1772</v>
      </c>
      <c r="O2002" s="87" t="s">
        <v>377</v>
      </c>
      <c r="P2002" s="87" t="s">
        <v>372</v>
      </c>
    </row>
    <row r="2003" ht="15.75" customHeight="1">
      <c r="A2003" s="87" t="s">
        <v>6111</v>
      </c>
      <c r="B2003" s="88">
        <v>1.22E18</v>
      </c>
      <c r="C2003" s="87" t="s">
        <v>6112</v>
      </c>
      <c r="D2003" s="87" t="s">
        <v>56</v>
      </c>
      <c r="E2003" s="87" t="s">
        <v>248</v>
      </c>
      <c r="F2003" s="87" t="s">
        <v>2769</v>
      </c>
      <c r="G2003" s="93"/>
      <c r="H2003" s="93"/>
      <c r="I2003" s="87" t="s">
        <v>1742</v>
      </c>
      <c r="J2003" s="87" t="s">
        <v>6113</v>
      </c>
      <c r="K2003" s="90">
        <v>0.0</v>
      </c>
      <c r="L2003" s="92"/>
      <c r="M2003" s="93"/>
      <c r="N2003" s="87" t="s">
        <v>1772</v>
      </c>
      <c r="O2003" s="87" t="s">
        <v>377</v>
      </c>
      <c r="P2003" s="87" t="s">
        <v>372</v>
      </c>
    </row>
    <row r="2004" ht="15.75" customHeight="1">
      <c r="A2004" s="87" t="s">
        <v>6114</v>
      </c>
      <c r="B2004" s="88">
        <v>1.22E18</v>
      </c>
      <c r="C2004" s="87" t="s">
        <v>6115</v>
      </c>
      <c r="D2004" s="87" t="s">
        <v>87</v>
      </c>
      <c r="E2004" s="87" t="s">
        <v>88</v>
      </c>
      <c r="F2004" s="118" t="s">
        <v>6115</v>
      </c>
      <c r="G2004" s="130"/>
      <c r="H2004" s="119"/>
      <c r="I2004" s="87" t="s">
        <v>58</v>
      </c>
      <c r="J2004" s="87" t="s">
        <v>6116</v>
      </c>
      <c r="K2004" s="90">
        <v>0.0</v>
      </c>
      <c r="L2004" s="92"/>
      <c r="M2004" s="93"/>
      <c r="N2004" s="87" t="s">
        <v>1772</v>
      </c>
      <c r="O2004" s="87" t="s">
        <v>377</v>
      </c>
      <c r="P2004" s="87" t="s">
        <v>372</v>
      </c>
    </row>
    <row r="2005" ht="15.75" customHeight="1">
      <c r="A2005" s="87" t="s">
        <v>6117</v>
      </c>
      <c r="B2005" s="88">
        <v>1.22E18</v>
      </c>
      <c r="C2005" s="87" t="s">
        <v>6118</v>
      </c>
      <c r="D2005" s="87" t="s">
        <v>87</v>
      </c>
      <c r="E2005" s="87" t="s">
        <v>88</v>
      </c>
      <c r="F2005" s="118" t="s">
        <v>6118</v>
      </c>
      <c r="G2005" s="130"/>
      <c r="H2005" s="119"/>
      <c r="I2005" s="87" t="s">
        <v>58</v>
      </c>
      <c r="J2005" s="87" t="s">
        <v>6119</v>
      </c>
      <c r="K2005" s="90">
        <v>0.0</v>
      </c>
      <c r="L2005" s="92"/>
      <c r="M2005" s="93"/>
      <c r="N2005" s="87" t="s">
        <v>1772</v>
      </c>
      <c r="O2005" s="87" t="s">
        <v>377</v>
      </c>
      <c r="P2005" s="87" t="s">
        <v>372</v>
      </c>
    </row>
    <row r="2006" ht="15.75" customHeight="1">
      <c r="A2006" s="87" t="s">
        <v>6120</v>
      </c>
      <c r="B2006" s="88">
        <v>1.22E18</v>
      </c>
      <c r="C2006" s="87" t="s">
        <v>6121</v>
      </c>
      <c r="D2006" s="87" t="s">
        <v>87</v>
      </c>
      <c r="E2006" s="87" t="s">
        <v>88</v>
      </c>
      <c r="F2006" s="87" t="s">
        <v>6121</v>
      </c>
      <c r="H2006" s="93"/>
      <c r="I2006" s="87" t="s">
        <v>58</v>
      </c>
      <c r="J2006" s="87" t="s">
        <v>6122</v>
      </c>
      <c r="K2006" s="90">
        <v>0.0</v>
      </c>
      <c r="L2006" s="92"/>
      <c r="M2006" s="93"/>
      <c r="N2006" s="87" t="s">
        <v>6102</v>
      </c>
      <c r="O2006" s="87" t="s">
        <v>377</v>
      </c>
      <c r="P2006" s="87" t="s">
        <v>372</v>
      </c>
    </row>
    <row r="2007" ht="15.75" customHeight="1">
      <c r="A2007" s="87" t="s">
        <v>6123</v>
      </c>
      <c r="B2007" s="88">
        <v>1.22E18</v>
      </c>
      <c r="C2007" s="87" t="s">
        <v>6124</v>
      </c>
      <c r="D2007" s="87" t="s">
        <v>87</v>
      </c>
      <c r="E2007" s="87" t="s">
        <v>88</v>
      </c>
      <c r="F2007" s="87" t="s">
        <v>6124</v>
      </c>
      <c r="I2007" s="87" t="s">
        <v>58</v>
      </c>
      <c r="J2007" s="87" t="s">
        <v>6125</v>
      </c>
      <c r="K2007" s="90">
        <v>0.0</v>
      </c>
      <c r="L2007" s="92"/>
      <c r="M2007" s="93"/>
      <c r="N2007" s="87" t="s">
        <v>6126</v>
      </c>
      <c r="O2007" s="87" t="s">
        <v>377</v>
      </c>
      <c r="P2007" s="87" t="s">
        <v>372</v>
      </c>
    </row>
    <row r="2008" ht="15.75" customHeight="1">
      <c r="A2008" s="87" t="s">
        <v>6127</v>
      </c>
      <c r="B2008" s="88">
        <v>1.22E18</v>
      </c>
      <c r="C2008" s="87" t="s">
        <v>6128</v>
      </c>
      <c r="D2008" s="87" t="s">
        <v>262</v>
      </c>
      <c r="E2008" s="87" t="s">
        <v>267</v>
      </c>
      <c r="F2008" s="87" t="s">
        <v>6128</v>
      </c>
      <c r="I2008" s="87" t="s">
        <v>58</v>
      </c>
      <c r="J2008" s="87" t="s">
        <v>6129</v>
      </c>
      <c r="K2008" s="90">
        <v>0.0</v>
      </c>
      <c r="L2008" s="92"/>
      <c r="M2008" s="93"/>
      <c r="N2008" s="87" t="s">
        <v>3202</v>
      </c>
      <c r="O2008" s="87" t="s">
        <v>377</v>
      </c>
      <c r="P2008" s="87" t="s">
        <v>372</v>
      </c>
    </row>
    <row r="2009" ht="15.75" customHeight="1">
      <c r="A2009" s="87" t="s">
        <v>6130</v>
      </c>
      <c r="B2009" s="88">
        <v>1.22E18</v>
      </c>
      <c r="C2009" s="87" t="s">
        <v>6131</v>
      </c>
      <c r="D2009" s="87" t="s">
        <v>262</v>
      </c>
      <c r="E2009" s="87" t="s">
        <v>267</v>
      </c>
      <c r="F2009" s="87" t="s">
        <v>6131</v>
      </c>
      <c r="I2009" s="87" t="s">
        <v>58</v>
      </c>
      <c r="J2009" s="87" t="s">
        <v>6132</v>
      </c>
      <c r="K2009" s="90">
        <v>0.0</v>
      </c>
      <c r="L2009" s="92"/>
      <c r="M2009" s="93"/>
      <c r="N2009" s="87" t="s">
        <v>3202</v>
      </c>
      <c r="O2009" s="87" t="s">
        <v>377</v>
      </c>
      <c r="P2009" s="87" t="s">
        <v>372</v>
      </c>
    </row>
    <row r="2010" ht="15.75" customHeight="1">
      <c r="A2010" s="87" t="s">
        <v>6133</v>
      </c>
      <c r="B2010" s="88">
        <v>1.22E18</v>
      </c>
      <c r="C2010" s="87" t="s">
        <v>6134</v>
      </c>
      <c r="D2010" s="87" t="s">
        <v>262</v>
      </c>
      <c r="E2010" s="87" t="s">
        <v>267</v>
      </c>
      <c r="F2010" s="87" t="s">
        <v>6134</v>
      </c>
      <c r="I2010" s="87" t="s">
        <v>58</v>
      </c>
      <c r="J2010" s="87" t="s">
        <v>6135</v>
      </c>
      <c r="K2010" s="90">
        <v>0.0</v>
      </c>
      <c r="L2010" s="92"/>
      <c r="M2010" s="93"/>
      <c r="N2010" s="87" t="s">
        <v>3202</v>
      </c>
      <c r="O2010" s="87" t="s">
        <v>377</v>
      </c>
      <c r="P2010" s="87" t="s">
        <v>372</v>
      </c>
    </row>
    <row r="2011" ht="15.75" customHeight="1">
      <c r="A2011" s="87" t="s">
        <v>6136</v>
      </c>
      <c r="B2011" s="88">
        <v>1.22E18</v>
      </c>
      <c r="C2011" s="87" t="s">
        <v>6137</v>
      </c>
      <c r="D2011" s="87" t="s">
        <v>262</v>
      </c>
      <c r="E2011" s="87" t="s">
        <v>267</v>
      </c>
      <c r="F2011" s="87" t="s">
        <v>6137</v>
      </c>
      <c r="I2011" s="87" t="s">
        <v>58</v>
      </c>
      <c r="J2011" s="87" t="s">
        <v>6138</v>
      </c>
      <c r="K2011" s="90">
        <v>0.0</v>
      </c>
      <c r="L2011" s="92"/>
      <c r="M2011" s="93"/>
      <c r="N2011" s="87" t="s">
        <v>3202</v>
      </c>
      <c r="O2011" s="87" t="s">
        <v>377</v>
      </c>
      <c r="P2011" s="87" t="s">
        <v>372</v>
      </c>
    </row>
    <row r="2012" ht="15.75" customHeight="1">
      <c r="A2012" s="87" t="s">
        <v>6139</v>
      </c>
      <c r="B2012" s="88">
        <v>1.22E18</v>
      </c>
      <c r="C2012" s="87" t="s">
        <v>6140</v>
      </c>
      <c r="D2012" s="87" t="s">
        <v>262</v>
      </c>
      <c r="E2012" s="87" t="s">
        <v>267</v>
      </c>
      <c r="F2012" s="87" t="s">
        <v>6140</v>
      </c>
      <c r="I2012" s="87" t="s">
        <v>58</v>
      </c>
      <c r="J2012" s="87" t="s">
        <v>6141</v>
      </c>
      <c r="K2012" s="90">
        <v>0.0</v>
      </c>
      <c r="L2012" s="92"/>
      <c r="M2012" s="93"/>
      <c r="N2012" s="87" t="s">
        <v>3202</v>
      </c>
      <c r="O2012" s="87" t="s">
        <v>377</v>
      </c>
      <c r="P2012" s="87" t="s">
        <v>372</v>
      </c>
    </row>
    <row r="2013" ht="15.75" customHeight="1">
      <c r="A2013" s="87" t="s">
        <v>6142</v>
      </c>
      <c r="B2013" s="88">
        <v>1.22E18</v>
      </c>
      <c r="C2013" s="87" t="s">
        <v>6143</v>
      </c>
      <c r="D2013" s="87" t="s">
        <v>262</v>
      </c>
      <c r="E2013" s="87" t="s">
        <v>267</v>
      </c>
      <c r="F2013" s="87" t="s">
        <v>6143</v>
      </c>
      <c r="I2013" s="87" t="s">
        <v>58</v>
      </c>
      <c r="J2013" s="87" t="s">
        <v>6144</v>
      </c>
      <c r="K2013" s="90">
        <v>0.0</v>
      </c>
      <c r="L2013" s="92"/>
      <c r="M2013" s="93"/>
      <c r="N2013" s="87" t="s">
        <v>3202</v>
      </c>
      <c r="O2013" s="87" t="s">
        <v>377</v>
      </c>
      <c r="P2013" s="87" t="s">
        <v>372</v>
      </c>
    </row>
    <row r="2014" ht="15.75" customHeight="1">
      <c r="A2014" s="87" t="s">
        <v>6145</v>
      </c>
      <c r="B2014" s="88">
        <v>1.22E18</v>
      </c>
      <c r="C2014" s="87" t="s">
        <v>6146</v>
      </c>
      <c r="D2014" s="87" t="s">
        <v>262</v>
      </c>
      <c r="E2014" s="87" t="s">
        <v>267</v>
      </c>
      <c r="F2014" s="87" t="s">
        <v>6146</v>
      </c>
      <c r="I2014" s="87" t="s">
        <v>58</v>
      </c>
      <c r="J2014" s="87" t="s">
        <v>6147</v>
      </c>
      <c r="K2014" s="90">
        <v>0.0</v>
      </c>
      <c r="L2014" s="92"/>
      <c r="M2014" s="93"/>
      <c r="N2014" s="87" t="s">
        <v>3202</v>
      </c>
      <c r="O2014" s="87" t="s">
        <v>377</v>
      </c>
      <c r="P2014" s="87" t="s">
        <v>372</v>
      </c>
    </row>
    <row r="2015" ht="15.75" customHeight="1">
      <c r="A2015" s="87" t="s">
        <v>6148</v>
      </c>
      <c r="B2015" s="88">
        <v>1.22E18</v>
      </c>
      <c r="C2015" s="87" t="s">
        <v>6149</v>
      </c>
      <c r="D2015" s="87" t="s">
        <v>262</v>
      </c>
      <c r="E2015" s="87" t="s">
        <v>267</v>
      </c>
      <c r="F2015" s="87" t="s">
        <v>6149</v>
      </c>
      <c r="I2015" s="87" t="s">
        <v>58</v>
      </c>
      <c r="J2015" s="87" t="s">
        <v>6150</v>
      </c>
      <c r="K2015" s="90">
        <v>0.0</v>
      </c>
      <c r="L2015" s="92"/>
      <c r="M2015" s="93"/>
      <c r="N2015" s="87" t="s">
        <v>3202</v>
      </c>
      <c r="O2015" s="87" t="s">
        <v>377</v>
      </c>
      <c r="P2015" s="87" t="s">
        <v>372</v>
      </c>
    </row>
    <row r="2016" ht="15.75" customHeight="1">
      <c r="A2016" s="87" t="s">
        <v>6151</v>
      </c>
      <c r="B2016" s="88">
        <v>1.22E18</v>
      </c>
      <c r="C2016" s="87" t="s">
        <v>6152</v>
      </c>
      <c r="D2016" s="87" t="s">
        <v>262</v>
      </c>
      <c r="E2016" s="87" t="s">
        <v>263</v>
      </c>
      <c r="F2016" s="87" t="s">
        <v>6152</v>
      </c>
      <c r="I2016" s="87" t="s">
        <v>58</v>
      </c>
      <c r="J2016" s="87" t="s">
        <v>6153</v>
      </c>
      <c r="K2016" s="90">
        <v>0.0</v>
      </c>
      <c r="L2016" s="92"/>
      <c r="M2016" s="93"/>
      <c r="N2016" s="87" t="s">
        <v>6154</v>
      </c>
      <c r="O2016" s="87" t="s">
        <v>377</v>
      </c>
      <c r="P2016" s="87" t="s">
        <v>372</v>
      </c>
    </row>
    <row r="2017" ht="15.75" customHeight="1">
      <c r="A2017" s="87" t="s">
        <v>6155</v>
      </c>
      <c r="B2017" s="88">
        <v>1.22E18</v>
      </c>
      <c r="C2017" s="87" t="s">
        <v>6156</v>
      </c>
      <c r="D2017" s="87" t="s">
        <v>87</v>
      </c>
      <c r="E2017" s="87" t="s">
        <v>88</v>
      </c>
      <c r="F2017" s="87" t="s">
        <v>6156</v>
      </c>
      <c r="I2017" s="87" t="s">
        <v>58</v>
      </c>
      <c r="J2017" s="87" t="s">
        <v>6157</v>
      </c>
      <c r="K2017" s="90">
        <v>0.0</v>
      </c>
      <c r="L2017" s="92"/>
      <c r="M2017" s="93"/>
      <c r="N2017" s="87" t="s">
        <v>2364</v>
      </c>
      <c r="O2017" s="87" t="s">
        <v>377</v>
      </c>
      <c r="P2017" s="87" t="s">
        <v>372</v>
      </c>
    </row>
    <row r="2018" ht="15.75" customHeight="1">
      <c r="A2018" s="87" t="s">
        <v>6158</v>
      </c>
      <c r="B2018" s="88">
        <v>1.22E18</v>
      </c>
      <c r="C2018" s="87" t="s">
        <v>6159</v>
      </c>
      <c r="D2018" s="87" t="s">
        <v>87</v>
      </c>
      <c r="E2018" s="87" t="s">
        <v>88</v>
      </c>
      <c r="F2018" s="87" t="s">
        <v>6159</v>
      </c>
      <c r="H2018" s="93"/>
      <c r="I2018" s="87" t="s">
        <v>58</v>
      </c>
      <c r="J2018" s="87" t="s">
        <v>6160</v>
      </c>
      <c r="K2018" s="90">
        <v>0.0</v>
      </c>
      <c r="L2018" s="92"/>
      <c r="M2018" s="93"/>
      <c r="N2018" s="87" t="s">
        <v>2364</v>
      </c>
      <c r="O2018" s="87" t="s">
        <v>377</v>
      </c>
      <c r="P2018" s="87" t="s">
        <v>372</v>
      </c>
    </row>
    <row r="2019" ht="15.75" customHeight="1">
      <c r="A2019" s="87" t="s">
        <v>6161</v>
      </c>
      <c r="B2019" s="88">
        <v>1.22E18</v>
      </c>
      <c r="C2019" s="87" t="s">
        <v>6162</v>
      </c>
      <c r="D2019" s="87" t="s">
        <v>87</v>
      </c>
      <c r="E2019" s="87" t="s">
        <v>88</v>
      </c>
      <c r="F2019" s="87" t="s">
        <v>6162</v>
      </c>
      <c r="H2019" s="93"/>
      <c r="I2019" s="87" t="s">
        <v>58</v>
      </c>
      <c r="J2019" s="87" t="s">
        <v>6163</v>
      </c>
      <c r="K2019" s="90">
        <v>0.0</v>
      </c>
      <c r="L2019" s="92"/>
      <c r="M2019" s="93"/>
      <c r="N2019" s="87" t="s">
        <v>2364</v>
      </c>
      <c r="O2019" s="87" t="s">
        <v>377</v>
      </c>
      <c r="P2019" s="87" t="s">
        <v>372</v>
      </c>
    </row>
    <row r="2020" ht="15.75" customHeight="1">
      <c r="A2020" s="87" t="s">
        <v>6164</v>
      </c>
      <c r="B2020" s="88">
        <v>1.22E18</v>
      </c>
      <c r="C2020" s="87" t="s">
        <v>6165</v>
      </c>
      <c r="D2020" s="87" t="s">
        <v>87</v>
      </c>
      <c r="E2020" s="87" t="s">
        <v>88</v>
      </c>
      <c r="F2020" s="87" t="s">
        <v>6165</v>
      </c>
      <c r="I2020" s="87" t="s">
        <v>58</v>
      </c>
      <c r="J2020" s="87" t="s">
        <v>6166</v>
      </c>
      <c r="K2020" s="90">
        <v>0.0</v>
      </c>
      <c r="L2020" s="92"/>
      <c r="M2020" s="93"/>
      <c r="N2020" s="87" t="s">
        <v>2364</v>
      </c>
      <c r="O2020" s="87" t="s">
        <v>377</v>
      </c>
      <c r="P2020" s="87" t="s">
        <v>372</v>
      </c>
    </row>
    <row r="2021" ht="15.75" customHeight="1">
      <c r="A2021" s="87" t="s">
        <v>6167</v>
      </c>
      <c r="B2021" s="88">
        <v>1.22E18</v>
      </c>
      <c r="C2021" s="87" t="s">
        <v>6168</v>
      </c>
      <c r="D2021" s="87" t="s">
        <v>87</v>
      </c>
      <c r="E2021" s="87" t="s">
        <v>88</v>
      </c>
      <c r="F2021" s="87" t="s">
        <v>6168</v>
      </c>
      <c r="I2021" s="87" t="s">
        <v>58</v>
      </c>
      <c r="J2021" s="87" t="s">
        <v>6169</v>
      </c>
      <c r="K2021" s="90">
        <v>0.0</v>
      </c>
      <c r="L2021" s="92"/>
      <c r="M2021" s="93"/>
      <c r="N2021" s="87" t="s">
        <v>2364</v>
      </c>
      <c r="O2021" s="87" t="s">
        <v>377</v>
      </c>
      <c r="P2021" s="87" t="s">
        <v>372</v>
      </c>
    </row>
    <row r="2022" ht="15.75" customHeight="1">
      <c r="A2022" s="87" t="s">
        <v>6170</v>
      </c>
      <c r="B2022" s="88">
        <v>1.22E18</v>
      </c>
      <c r="C2022" s="87" t="s">
        <v>6171</v>
      </c>
      <c r="D2022" s="87" t="s">
        <v>87</v>
      </c>
      <c r="E2022" s="87" t="s">
        <v>88</v>
      </c>
      <c r="F2022" s="87" t="s">
        <v>6171</v>
      </c>
      <c r="H2022" s="93"/>
      <c r="I2022" s="87" t="s">
        <v>58</v>
      </c>
      <c r="J2022" s="87" t="s">
        <v>6172</v>
      </c>
      <c r="K2022" s="90">
        <v>0.0</v>
      </c>
      <c r="L2022" s="92"/>
      <c r="M2022" s="93"/>
      <c r="N2022" s="87" t="s">
        <v>2364</v>
      </c>
      <c r="O2022" s="87" t="s">
        <v>377</v>
      </c>
      <c r="P2022" s="87" t="s">
        <v>372</v>
      </c>
    </row>
    <row r="2023" ht="15.75" customHeight="1">
      <c r="A2023" s="87" t="s">
        <v>6173</v>
      </c>
      <c r="B2023" s="88">
        <v>1.22E18</v>
      </c>
      <c r="C2023" s="87" t="s">
        <v>6174</v>
      </c>
      <c r="D2023" s="87" t="s">
        <v>87</v>
      </c>
      <c r="E2023" s="87" t="s">
        <v>88</v>
      </c>
      <c r="F2023" s="87" t="s">
        <v>6174</v>
      </c>
      <c r="I2023" s="87" t="s">
        <v>58</v>
      </c>
      <c r="J2023" s="87" t="s">
        <v>6175</v>
      </c>
      <c r="K2023" s="90">
        <v>0.0</v>
      </c>
      <c r="L2023" s="92"/>
      <c r="M2023" s="93"/>
      <c r="N2023" s="87" t="s">
        <v>2364</v>
      </c>
      <c r="O2023" s="87" t="s">
        <v>377</v>
      </c>
      <c r="P2023" s="87" t="s">
        <v>372</v>
      </c>
    </row>
    <row r="2024" ht="15.75" customHeight="1">
      <c r="A2024" s="87" t="s">
        <v>6176</v>
      </c>
      <c r="B2024" s="88">
        <v>1.22E18</v>
      </c>
      <c r="C2024" s="87" t="s">
        <v>6177</v>
      </c>
      <c r="D2024" s="87" t="s">
        <v>87</v>
      </c>
      <c r="E2024" s="87" t="s">
        <v>88</v>
      </c>
      <c r="F2024" s="87" t="s">
        <v>6177</v>
      </c>
      <c r="H2024" s="93"/>
      <c r="I2024" s="87" t="s">
        <v>58</v>
      </c>
      <c r="J2024" s="87" t="s">
        <v>6178</v>
      </c>
      <c r="K2024" s="90">
        <v>0.0</v>
      </c>
      <c r="L2024" s="92"/>
      <c r="M2024" s="93"/>
      <c r="N2024" s="87" t="s">
        <v>2364</v>
      </c>
      <c r="O2024" s="87" t="s">
        <v>377</v>
      </c>
      <c r="P2024" s="87" t="s">
        <v>372</v>
      </c>
    </row>
    <row r="2025" ht="15.75" customHeight="1">
      <c r="A2025" s="87" t="s">
        <v>6179</v>
      </c>
      <c r="B2025" s="88">
        <v>1.22E18</v>
      </c>
      <c r="C2025" s="87" t="s">
        <v>6180</v>
      </c>
      <c r="D2025" s="87" t="s">
        <v>87</v>
      </c>
      <c r="E2025" s="87" t="s">
        <v>88</v>
      </c>
      <c r="F2025" s="87" t="s">
        <v>6180</v>
      </c>
      <c r="I2025" s="87" t="s">
        <v>58</v>
      </c>
      <c r="J2025" s="87" t="s">
        <v>6181</v>
      </c>
      <c r="K2025" s="90">
        <v>0.0</v>
      </c>
      <c r="L2025" s="92"/>
      <c r="M2025" s="93"/>
      <c r="N2025" s="87" t="s">
        <v>2364</v>
      </c>
      <c r="O2025" s="87" t="s">
        <v>377</v>
      </c>
      <c r="P2025" s="87" t="s">
        <v>372</v>
      </c>
    </row>
    <row r="2026" ht="15.75" customHeight="1">
      <c r="A2026" s="87" t="s">
        <v>6182</v>
      </c>
      <c r="B2026" s="88">
        <v>1.22E18</v>
      </c>
      <c r="C2026" s="87" t="s">
        <v>6183</v>
      </c>
      <c r="D2026" s="87" t="s">
        <v>87</v>
      </c>
      <c r="E2026" s="87" t="s">
        <v>88</v>
      </c>
      <c r="F2026" s="87" t="s">
        <v>6183</v>
      </c>
      <c r="I2026" s="87" t="s">
        <v>58</v>
      </c>
      <c r="J2026" s="87" t="s">
        <v>6184</v>
      </c>
      <c r="K2026" s="90">
        <v>0.0</v>
      </c>
      <c r="L2026" s="92"/>
      <c r="M2026" s="93"/>
      <c r="N2026" s="87" t="s">
        <v>2364</v>
      </c>
      <c r="O2026" s="87" t="s">
        <v>377</v>
      </c>
      <c r="P2026" s="87" t="s">
        <v>372</v>
      </c>
    </row>
    <row r="2027" ht="15.75" customHeight="1">
      <c r="A2027" s="87" t="s">
        <v>6185</v>
      </c>
      <c r="B2027" s="88">
        <v>1.22E18</v>
      </c>
      <c r="C2027" s="87" t="s">
        <v>6186</v>
      </c>
      <c r="D2027" s="87" t="s">
        <v>87</v>
      </c>
      <c r="E2027" s="87" t="s">
        <v>88</v>
      </c>
      <c r="F2027" s="87" t="s">
        <v>6186</v>
      </c>
      <c r="I2027" s="87" t="s">
        <v>58</v>
      </c>
      <c r="J2027" s="87" t="s">
        <v>6187</v>
      </c>
      <c r="K2027" s="90">
        <v>0.0</v>
      </c>
      <c r="L2027" s="92"/>
      <c r="M2027" s="93"/>
      <c r="N2027" s="93"/>
      <c r="O2027" s="87" t="s">
        <v>377</v>
      </c>
      <c r="P2027" s="87" t="s">
        <v>372</v>
      </c>
    </row>
    <row r="2028" ht="15.75" customHeight="1">
      <c r="A2028" s="87" t="s">
        <v>6188</v>
      </c>
      <c r="B2028" s="88">
        <v>1.22E18</v>
      </c>
      <c r="C2028" s="87" t="s">
        <v>6189</v>
      </c>
      <c r="D2028" s="87" t="s">
        <v>56</v>
      </c>
      <c r="E2028" s="87" t="s">
        <v>102</v>
      </c>
      <c r="F2028" s="87" t="s">
        <v>1763</v>
      </c>
      <c r="I2028" s="93"/>
      <c r="J2028" s="87" t="s">
        <v>6190</v>
      </c>
      <c r="K2028" s="90">
        <v>2.0</v>
      </c>
      <c r="L2028" s="92"/>
      <c r="M2028" s="93"/>
      <c r="N2028" s="87" t="s">
        <v>3315</v>
      </c>
      <c r="O2028" s="87" t="s">
        <v>377</v>
      </c>
      <c r="P2028" s="87" t="s">
        <v>372</v>
      </c>
    </row>
    <row r="2029" ht="15.75" customHeight="1">
      <c r="A2029" s="87" t="s">
        <v>6191</v>
      </c>
      <c r="B2029" s="88">
        <v>1.22E18</v>
      </c>
      <c r="C2029" s="87" t="s">
        <v>6192</v>
      </c>
      <c r="D2029" s="87" t="s">
        <v>262</v>
      </c>
      <c r="E2029" s="87" t="s">
        <v>278</v>
      </c>
      <c r="F2029" s="87" t="s">
        <v>6192</v>
      </c>
      <c r="I2029" s="87" t="s">
        <v>58</v>
      </c>
      <c r="J2029" s="87" t="s">
        <v>6193</v>
      </c>
      <c r="L2029" s="92"/>
      <c r="M2029" s="93"/>
      <c r="N2029" s="87" t="s">
        <v>3315</v>
      </c>
      <c r="O2029" s="87" t="s">
        <v>377</v>
      </c>
      <c r="P2029" s="87" t="s">
        <v>2565</v>
      </c>
    </row>
    <row r="2030" ht="15.75" customHeight="1">
      <c r="A2030" s="87" t="s">
        <v>6194</v>
      </c>
      <c r="B2030" s="88">
        <v>1.22E18</v>
      </c>
      <c r="C2030" s="87" t="s">
        <v>6195</v>
      </c>
      <c r="D2030" s="87" t="s">
        <v>87</v>
      </c>
      <c r="E2030" s="87" t="s">
        <v>88</v>
      </c>
      <c r="F2030" s="87" t="s">
        <v>6195</v>
      </c>
      <c r="I2030" s="87" t="s">
        <v>58</v>
      </c>
      <c r="J2030" s="87" t="s">
        <v>6196</v>
      </c>
      <c r="K2030" s="90">
        <v>0.0</v>
      </c>
      <c r="L2030" s="92"/>
      <c r="M2030" s="93"/>
      <c r="N2030" s="87" t="s">
        <v>6197</v>
      </c>
      <c r="O2030" s="87" t="s">
        <v>377</v>
      </c>
      <c r="P2030" s="87" t="s">
        <v>372</v>
      </c>
    </row>
    <row r="2031" ht="15.75" customHeight="1">
      <c r="A2031" s="87" t="s">
        <v>6198</v>
      </c>
      <c r="B2031" s="88">
        <v>1.22E18</v>
      </c>
      <c r="C2031" s="87" t="s">
        <v>6199</v>
      </c>
      <c r="D2031" s="87" t="s">
        <v>87</v>
      </c>
      <c r="E2031" s="87" t="s">
        <v>88</v>
      </c>
      <c r="F2031" s="118" t="s">
        <v>6199</v>
      </c>
      <c r="G2031" s="130"/>
      <c r="H2031" s="119"/>
      <c r="I2031" s="87" t="s">
        <v>58</v>
      </c>
      <c r="J2031" s="87" t="s">
        <v>2830</v>
      </c>
      <c r="K2031" s="90">
        <v>0.0</v>
      </c>
      <c r="L2031" s="92"/>
      <c r="M2031" s="93"/>
      <c r="N2031" s="87" t="s">
        <v>6200</v>
      </c>
      <c r="O2031" s="87" t="s">
        <v>377</v>
      </c>
      <c r="P2031" s="87" t="s">
        <v>372</v>
      </c>
    </row>
    <row r="2032" ht="15.75" customHeight="1">
      <c r="A2032" s="87" t="s">
        <v>6201</v>
      </c>
      <c r="B2032" s="88">
        <v>1.22E18</v>
      </c>
      <c r="C2032" s="87" t="s">
        <v>6202</v>
      </c>
      <c r="D2032" s="87" t="s">
        <v>87</v>
      </c>
      <c r="E2032" s="87" t="s">
        <v>88</v>
      </c>
      <c r="F2032" s="118" t="s">
        <v>6202</v>
      </c>
      <c r="G2032" s="130"/>
      <c r="H2032" s="119"/>
      <c r="I2032" s="87" t="s">
        <v>58</v>
      </c>
      <c r="J2032" s="87" t="s">
        <v>6203</v>
      </c>
      <c r="K2032" s="90">
        <v>0.0</v>
      </c>
      <c r="L2032" s="92"/>
      <c r="M2032" s="93"/>
      <c r="N2032" s="87" t="s">
        <v>111</v>
      </c>
      <c r="O2032" s="87" t="s">
        <v>377</v>
      </c>
      <c r="P2032" s="87" t="s">
        <v>372</v>
      </c>
    </row>
    <row r="2033" ht="15.75" customHeight="1">
      <c r="A2033" s="87" t="s">
        <v>6204</v>
      </c>
      <c r="B2033" s="88">
        <v>1.22E18</v>
      </c>
      <c r="C2033" s="87" t="s">
        <v>6205</v>
      </c>
      <c r="D2033" s="87" t="s">
        <v>87</v>
      </c>
      <c r="E2033" s="87" t="s">
        <v>88</v>
      </c>
      <c r="F2033" s="118" t="s">
        <v>6205</v>
      </c>
      <c r="G2033" s="130"/>
      <c r="H2033" s="119"/>
      <c r="I2033" s="87" t="s">
        <v>5012</v>
      </c>
      <c r="J2033" s="87" t="s">
        <v>6206</v>
      </c>
      <c r="K2033" s="90">
        <v>0.0</v>
      </c>
      <c r="L2033" s="92"/>
      <c r="M2033" s="93"/>
      <c r="N2033" s="87" t="s">
        <v>6200</v>
      </c>
      <c r="O2033" s="87" t="s">
        <v>377</v>
      </c>
      <c r="P2033" s="87" t="s">
        <v>372</v>
      </c>
    </row>
    <row r="2034" ht="15.75" customHeight="1">
      <c r="A2034" s="87" t="s">
        <v>6207</v>
      </c>
      <c r="B2034" s="88">
        <v>1.22E18</v>
      </c>
      <c r="C2034" s="87" t="s">
        <v>6208</v>
      </c>
      <c r="D2034" s="87" t="s">
        <v>87</v>
      </c>
      <c r="E2034" s="87" t="s">
        <v>88</v>
      </c>
      <c r="F2034" s="118" t="s">
        <v>6208</v>
      </c>
      <c r="G2034" s="130"/>
      <c r="H2034" s="119"/>
      <c r="I2034" s="87" t="s">
        <v>5012</v>
      </c>
      <c r="J2034" s="87" t="s">
        <v>2841</v>
      </c>
      <c r="K2034" s="90">
        <v>0.0</v>
      </c>
      <c r="L2034" s="92"/>
      <c r="M2034" s="93"/>
      <c r="N2034" s="87" t="s">
        <v>6200</v>
      </c>
      <c r="O2034" s="87" t="s">
        <v>377</v>
      </c>
      <c r="P2034" s="87" t="s">
        <v>372</v>
      </c>
    </row>
    <row r="2035" ht="15.75" customHeight="1">
      <c r="A2035" s="87" t="s">
        <v>6209</v>
      </c>
      <c r="B2035" s="88">
        <v>1.22E18</v>
      </c>
      <c r="C2035" s="87" t="s">
        <v>6210</v>
      </c>
      <c r="D2035" s="87" t="s">
        <v>262</v>
      </c>
      <c r="E2035" s="87" t="s">
        <v>263</v>
      </c>
      <c r="F2035" s="87" t="s">
        <v>415</v>
      </c>
      <c r="G2035" s="93"/>
      <c r="H2035" s="93"/>
      <c r="I2035" s="87" t="s">
        <v>58</v>
      </c>
      <c r="J2035" s="87" t="s">
        <v>2902</v>
      </c>
      <c r="K2035" s="90">
        <v>0.0</v>
      </c>
      <c r="L2035" s="92"/>
      <c r="M2035" s="93"/>
      <c r="N2035" s="87" t="s">
        <v>6211</v>
      </c>
      <c r="O2035" s="87" t="s">
        <v>377</v>
      </c>
      <c r="P2035" s="87" t="s">
        <v>372</v>
      </c>
    </row>
    <row r="2036" ht="15.75" customHeight="1">
      <c r="A2036" s="87" t="s">
        <v>6212</v>
      </c>
      <c r="B2036" s="88">
        <v>1.22E18</v>
      </c>
      <c r="C2036" s="87" t="s">
        <v>6213</v>
      </c>
      <c r="D2036" s="87" t="s">
        <v>262</v>
      </c>
      <c r="E2036" s="87" t="s">
        <v>270</v>
      </c>
      <c r="F2036" s="87" t="s">
        <v>6213</v>
      </c>
      <c r="I2036" s="87" t="s">
        <v>58</v>
      </c>
      <c r="J2036" s="87" t="s">
        <v>806</v>
      </c>
      <c r="K2036" s="90">
        <v>0.0</v>
      </c>
      <c r="L2036" s="92"/>
      <c r="M2036" s="93"/>
      <c r="N2036" s="87" t="s">
        <v>6214</v>
      </c>
      <c r="O2036" s="87" t="s">
        <v>377</v>
      </c>
      <c r="P2036" s="87" t="s">
        <v>372</v>
      </c>
    </row>
    <row r="2037" ht="15.75" customHeight="1">
      <c r="A2037" s="87" t="s">
        <v>6215</v>
      </c>
      <c r="B2037" s="88">
        <v>1.22E18</v>
      </c>
      <c r="C2037" s="87" t="s">
        <v>6216</v>
      </c>
      <c r="D2037" s="87" t="s">
        <v>87</v>
      </c>
      <c r="E2037" s="87" t="s">
        <v>88</v>
      </c>
      <c r="F2037" s="118" t="s">
        <v>6216</v>
      </c>
      <c r="G2037" s="130"/>
      <c r="H2037" s="119"/>
      <c r="I2037" s="87" t="s">
        <v>58</v>
      </c>
      <c r="J2037" s="87" t="s">
        <v>6217</v>
      </c>
      <c r="K2037" s="90">
        <v>0.0</v>
      </c>
      <c r="L2037" s="92"/>
      <c r="M2037" s="93"/>
      <c r="N2037" s="87" t="s">
        <v>1772</v>
      </c>
      <c r="O2037" s="87" t="s">
        <v>377</v>
      </c>
      <c r="P2037" s="87" t="s">
        <v>372</v>
      </c>
    </row>
    <row r="2038" ht="15.75" customHeight="1">
      <c r="A2038" s="87" t="s">
        <v>6218</v>
      </c>
      <c r="B2038" s="88">
        <v>1.22E18</v>
      </c>
      <c r="C2038" s="87" t="s">
        <v>6219</v>
      </c>
      <c r="D2038" s="87" t="s">
        <v>262</v>
      </c>
      <c r="E2038" s="87" t="s">
        <v>270</v>
      </c>
      <c r="F2038" s="118" t="s">
        <v>6219</v>
      </c>
      <c r="G2038" s="130"/>
      <c r="H2038" s="119"/>
      <c r="I2038" s="87" t="s">
        <v>58</v>
      </c>
      <c r="J2038" s="87" t="s">
        <v>6220</v>
      </c>
      <c r="K2038" s="90">
        <v>0.0</v>
      </c>
      <c r="L2038" s="92"/>
      <c r="M2038" s="93"/>
      <c r="N2038" s="87" t="s">
        <v>1772</v>
      </c>
      <c r="O2038" s="87" t="s">
        <v>377</v>
      </c>
      <c r="P2038" s="87" t="s">
        <v>372</v>
      </c>
    </row>
    <row r="2039" ht="15.75" customHeight="1">
      <c r="A2039" s="87" t="s">
        <v>6221</v>
      </c>
      <c r="B2039" s="88">
        <v>1.22E18</v>
      </c>
      <c r="C2039" s="87" t="s">
        <v>6222</v>
      </c>
      <c r="D2039" s="87" t="s">
        <v>87</v>
      </c>
      <c r="E2039" s="87" t="s">
        <v>88</v>
      </c>
      <c r="F2039" s="118" t="s">
        <v>6222</v>
      </c>
      <c r="G2039" s="130"/>
      <c r="H2039" s="119"/>
      <c r="I2039" s="87" t="s">
        <v>58</v>
      </c>
      <c r="J2039" s="87" t="s">
        <v>6223</v>
      </c>
      <c r="K2039" s="90">
        <v>0.0</v>
      </c>
      <c r="L2039" s="92"/>
      <c r="M2039" s="93"/>
      <c r="N2039" s="87" t="s">
        <v>1772</v>
      </c>
      <c r="O2039" s="87" t="s">
        <v>377</v>
      </c>
      <c r="P2039" s="87" t="s">
        <v>372</v>
      </c>
    </row>
    <row r="2040" ht="15.75" customHeight="1">
      <c r="A2040" s="87" t="s">
        <v>6224</v>
      </c>
      <c r="B2040" s="88">
        <v>1.22E18</v>
      </c>
      <c r="C2040" s="87" t="s">
        <v>6225</v>
      </c>
      <c r="D2040" s="87" t="s">
        <v>87</v>
      </c>
      <c r="E2040" s="87" t="s">
        <v>102</v>
      </c>
      <c r="F2040" s="118" t="s">
        <v>6225</v>
      </c>
      <c r="G2040" s="130"/>
      <c r="H2040" s="119"/>
      <c r="I2040" s="87" t="s">
        <v>5012</v>
      </c>
      <c r="J2040" s="87" t="s">
        <v>6193</v>
      </c>
      <c r="K2040" s="90">
        <v>0.0</v>
      </c>
      <c r="L2040" s="92"/>
      <c r="M2040" s="93"/>
      <c r="N2040" s="87" t="s">
        <v>1772</v>
      </c>
      <c r="O2040" s="87" t="s">
        <v>377</v>
      </c>
      <c r="P2040" s="87" t="s">
        <v>372</v>
      </c>
    </row>
    <row r="2041" ht="15.75" customHeight="1">
      <c r="A2041" s="87" t="s">
        <v>6226</v>
      </c>
      <c r="B2041" s="88">
        <v>1.22E18</v>
      </c>
      <c r="C2041" s="87" t="s">
        <v>6227</v>
      </c>
      <c r="D2041" s="87" t="s">
        <v>262</v>
      </c>
      <c r="E2041" s="87" t="s">
        <v>275</v>
      </c>
      <c r="F2041" s="87" t="s">
        <v>6227</v>
      </c>
      <c r="I2041" s="87" t="s">
        <v>58</v>
      </c>
      <c r="J2041" s="87" t="s">
        <v>6228</v>
      </c>
      <c r="K2041" s="90">
        <v>0.0</v>
      </c>
      <c r="L2041" s="92"/>
      <c r="M2041" s="93"/>
      <c r="N2041" s="87" t="s">
        <v>1753</v>
      </c>
      <c r="O2041" s="87" t="s">
        <v>377</v>
      </c>
      <c r="P2041" s="87" t="s">
        <v>372</v>
      </c>
    </row>
    <row r="2042" ht="15.75" customHeight="1">
      <c r="A2042" s="87" t="s">
        <v>6229</v>
      </c>
      <c r="B2042" s="88">
        <v>1.22E18</v>
      </c>
      <c r="C2042" s="87" t="s">
        <v>6230</v>
      </c>
      <c r="D2042" s="87" t="s">
        <v>87</v>
      </c>
      <c r="E2042" s="87" t="s">
        <v>228</v>
      </c>
      <c r="F2042" s="87" t="s">
        <v>6230</v>
      </c>
      <c r="I2042" s="87" t="s">
        <v>58</v>
      </c>
      <c r="J2042" s="87" t="s">
        <v>4686</v>
      </c>
      <c r="K2042" s="90">
        <v>0.0</v>
      </c>
      <c r="L2042" s="92"/>
      <c r="M2042" s="93"/>
      <c r="N2042" s="87" t="s">
        <v>4687</v>
      </c>
      <c r="O2042" s="87" t="s">
        <v>377</v>
      </c>
      <c r="P2042" s="87" t="s">
        <v>372</v>
      </c>
    </row>
    <row r="2043" ht="15.75" customHeight="1">
      <c r="A2043" s="87" t="s">
        <v>6231</v>
      </c>
      <c r="B2043" s="88">
        <v>1.22E18</v>
      </c>
      <c r="C2043" s="87" t="s">
        <v>6232</v>
      </c>
      <c r="D2043" s="87" t="s">
        <v>87</v>
      </c>
      <c r="E2043" s="87" t="s">
        <v>241</v>
      </c>
      <c r="F2043" s="87" t="s">
        <v>6232</v>
      </c>
      <c r="I2043" s="87" t="s">
        <v>495</v>
      </c>
      <c r="J2043" s="87" t="s">
        <v>6233</v>
      </c>
      <c r="K2043" s="90">
        <v>0.0</v>
      </c>
      <c r="L2043" s="92"/>
      <c r="M2043" s="93"/>
      <c r="N2043" s="87" t="s">
        <v>3247</v>
      </c>
      <c r="O2043" s="87" t="s">
        <v>377</v>
      </c>
      <c r="P2043" s="87" t="s">
        <v>372</v>
      </c>
    </row>
    <row r="2044" ht="15.75" customHeight="1">
      <c r="A2044" s="87" t="s">
        <v>6234</v>
      </c>
      <c r="B2044" s="88">
        <v>1.22E18</v>
      </c>
      <c r="C2044" s="87" t="s">
        <v>6235</v>
      </c>
      <c r="D2044" s="87" t="s">
        <v>87</v>
      </c>
      <c r="E2044" s="87" t="s">
        <v>88</v>
      </c>
      <c r="F2044" s="87" t="s">
        <v>6235</v>
      </c>
      <c r="I2044" s="87" t="s">
        <v>495</v>
      </c>
      <c r="J2044" s="87" t="s">
        <v>6236</v>
      </c>
      <c r="K2044" s="90">
        <v>5.0</v>
      </c>
      <c r="L2044" s="92"/>
      <c r="M2044" s="93"/>
      <c r="N2044" s="87" t="s">
        <v>383</v>
      </c>
      <c r="O2044" s="87" t="s">
        <v>377</v>
      </c>
      <c r="P2044" s="87" t="s">
        <v>372</v>
      </c>
    </row>
    <row r="2045" ht="15.75" customHeight="1">
      <c r="A2045" s="87" t="s">
        <v>6237</v>
      </c>
      <c r="B2045" s="88">
        <v>1.22E18</v>
      </c>
      <c r="C2045" s="87" t="s">
        <v>6238</v>
      </c>
      <c r="D2045" s="87" t="s">
        <v>56</v>
      </c>
      <c r="E2045" s="87" t="s">
        <v>248</v>
      </c>
      <c r="F2045" s="87" t="s">
        <v>2769</v>
      </c>
      <c r="G2045" s="93"/>
      <c r="H2045" s="93"/>
      <c r="I2045" s="87" t="s">
        <v>327</v>
      </c>
      <c r="J2045" s="87" t="s">
        <v>6239</v>
      </c>
      <c r="K2045" s="90">
        <v>0.0</v>
      </c>
      <c r="L2045" s="92"/>
      <c r="M2045" s="93"/>
      <c r="N2045" s="87" t="s">
        <v>390</v>
      </c>
      <c r="O2045" s="87" t="s">
        <v>377</v>
      </c>
      <c r="P2045" s="87" t="s">
        <v>372</v>
      </c>
    </row>
    <row r="2046" ht="15.75" customHeight="1">
      <c r="A2046" s="87" t="s">
        <v>6240</v>
      </c>
      <c r="B2046" s="88">
        <v>1.22E18</v>
      </c>
      <c r="C2046" s="87" t="s">
        <v>6241</v>
      </c>
      <c r="D2046" s="87" t="s">
        <v>87</v>
      </c>
      <c r="E2046" s="87" t="s">
        <v>88</v>
      </c>
      <c r="F2046" s="87" t="s">
        <v>6241</v>
      </c>
      <c r="I2046" s="87" t="s">
        <v>58</v>
      </c>
      <c r="J2046" s="87" t="s">
        <v>6242</v>
      </c>
      <c r="K2046" s="90">
        <v>0.0</v>
      </c>
      <c r="L2046" s="92"/>
      <c r="M2046" s="93"/>
      <c r="N2046" s="93"/>
      <c r="O2046" s="87" t="s">
        <v>377</v>
      </c>
      <c r="P2046" s="87" t="s">
        <v>372</v>
      </c>
    </row>
    <row r="2047" ht="15.75" customHeight="1">
      <c r="A2047" s="87" t="s">
        <v>6243</v>
      </c>
      <c r="B2047" s="88">
        <v>1.22E18</v>
      </c>
      <c r="C2047" s="87" t="s">
        <v>6244</v>
      </c>
      <c r="D2047" s="87" t="s">
        <v>87</v>
      </c>
      <c r="E2047" s="87" t="s">
        <v>88</v>
      </c>
      <c r="F2047" s="87" t="s">
        <v>6244</v>
      </c>
      <c r="I2047" s="87" t="s">
        <v>58</v>
      </c>
      <c r="J2047" s="87" t="s">
        <v>6242</v>
      </c>
      <c r="K2047" s="90">
        <v>0.0</v>
      </c>
      <c r="L2047" s="92"/>
      <c r="M2047" s="93"/>
      <c r="N2047" s="93"/>
      <c r="O2047" s="87" t="s">
        <v>377</v>
      </c>
      <c r="P2047" s="87" t="s">
        <v>372</v>
      </c>
    </row>
    <row r="2048" ht="15.75" customHeight="1">
      <c r="A2048" s="87" t="s">
        <v>6245</v>
      </c>
      <c r="B2048" s="88">
        <v>1.22E18</v>
      </c>
      <c r="C2048" s="87" t="s">
        <v>6246</v>
      </c>
      <c r="D2048" s="87" t="s">
        <v>87</v>
      </c>
      <c r="E2048" s="87" t="s">
        <v>88</v>
      </c>
      <c r="F2048" s="87" t="s">
        <v>6246</v>
      </c>
      <c r="I2048" s="87" t="s">
        <v>58</v>
      </c>
      <c r="J2048" s="87" t="s">
        <v>6242</v>
      </c>
      <c r="K2048" s="90">
        <v>0.0</v>
      </c>
      <c r="L2048" s="92"/>
      <c r="M2048" s="93"/>
      <c r="N2048" s="93"/>
      <c r="O2048" s="87" t="s">
        <v>377</v>
      </c>
      <c r="P2048" s="87" t="s">
        <v>372</v>
      </c>
    </row>
    <row r="2049" ht="15.75" customHeight="1">
      <c r="A2049" s="87" t="s">
        <v>6247</v>
      </c>
      <c r="B2049" s="88">
        <v>1.22E18</v>
      </c>
      <c r="C2049" s="87" t="s">
        <v>6248</v>
      </c>
      <c r="D2049" s="87" t="s">
        <v>87</v>
      </c>
      <c r="E2049" s="87" t="s">
        <v>88</v>
      </c>
      <c r="F2049" s="87" t="s">
        <v>6248</v>
      </c>
      <c r="I2049" s="87" t="s">
        <v>58</v>
      </c>
      <c r="J2049" s="87" t="s">
        <v>6242</v>
      </c>
      <c r="K2049" s="90">
        <v>0.0</v>
      </c>
      <c r="L2049" s="92"/>
      <c r="M2049" s="93"/>
      <c r="N2049" s="93"/>
      <c r="O2049" s="87" t="s">
        <v>377</v>
      </c>
      <c r="P2049" s="87" t="s">
        <v>372</v>
      </c>
    </row>
    <row r="2050" ht="15.75" customHeight="1">
      <c r="A2050" s="87" t="s">
        <v>6249</v>
      </c>
      <c r="B2050" s="88">
        <v>1.22E18</v>
      </c>
      <c r="C2050" s="87" t="s">
        <v>6250</v>
      </c>
      <c r="D2050" s="87" t="s">
        <v>87</v>
      </c>
      <c r="E2050" s="87" t="s">
        <v>88</v>
      </c>
      <c r="F2050" s="87" t="s">
        <v>6250</v>
      </c>
      <c r="I2050" s="87" t="s">
        <v>58</v>
      </c>
      <c r="J2050" s="87" t="s">
        <v>6242</v>
      </c>
      <c r="K2050" s="90">
        <v>0.0</v>
      </c>
      <c r="L2050" s="92"/>
      <c r="M2050" s="93"/>
      <c r="N2050" s="93"/>
      <c r="O2050" s="87" t="s">
        <v>377</v>
      </c>
      <c r="P2050" s="87" t="s">
        <v>372</v>
      </c>
    </row>
    <row r="2051" ht="15.75" customHeight="1">
      <c r="A2051" s="87" t="s">
        <v>6251</v>
      </c>
      <c r="B2051" s="88">
        <v>1.22E18</v>
      </c>
      <c r="C2051" s="87" t="s">
        <v>6252</v>
      </c>
      <c r="D2051" s="87" t="s">
        <v>57</v>
      </c>
      <c r="E2051" s="87" t="s">
        <v>281</v>
      </c>
      <c r="F2051" s="118" t="s">
        <v>6252</v>
      </c>
      <c r="G2051" s="130"/>
      <c r="H2051" s="119"/>
      <c r="I2051" s="87" t="s">
        <v>2365</v>
      </c>
      <c r="J2051" s="87" t="s">
        <v>6253</v>
      </c>
      <c r="K2051" s="90">
        <v>0.0</v>
      </c>
      <c r="L2051" s="92"/>
      <c r="M2051" s="93"/>
      <c r="N2051" s="93"/>
      <c r="O2051" s="87" t="s">
        <v>377</v>
      </c>
      <c r="P2051" s="87" t="s">
        <v>372</v>
      </c>
    </row>
    <row r="2052" ht="15.75" customHeight="1">
      <c r="A2052" s="87" t="s">
        <v>6254</v>
      </c>
      <c r="B2052" s="88">
        <v>1.22E18</v>
      </c>
      <c r="C2052" s="87" t="s">
        <v>6255</v>
      </c>
      <c r="D2052" s="87" t="s">
        <v>262</v>
      </c>
      <c r="E2052" s="87" t="s">
        <v>263</v>
      </c>
      <c r="F2052" s="87" t="s">
        <v>6255</v>
      </c>
      <c r="I2052" s="87" t="s">
        <v>58</v>
      </c>
      <c r="J2052" s="87" t="s">
        <v>6256</v>
      </c>
      <c r="K2052" s="90">
        <v>0.0</v>
      </c>
      <c r="L2052" s="92"/>
      <c r="M2052" s="93"/>
      <c r="N2052" s="87" t="s">
        <v>497</v>
      </c>
      <c r="O2052" s="87" t="s">
        <v>377</v>
      </c>
      <c r="P2052" s="87" t="s">
        <v>372</v>
      </c>
    </row>
    <row r="2053" ht="15.75" customHeight="1">
      <c r="A2053" s="87" t="s">
        <v>6257</v>
      </c>
      <c r="B2053" s="88">
        <v>1.22E18</v>
      </c>
      <c r="C2053" s="87" t="s">
        <v>6258</v>
      </c>
      <c r="D2053" s="87" t="s">
        <v>262</v>
      </c>
      <c r="E2053" s="87" t="s">
        <v>270</v>
      </c>
      <c r="F2053" s="118" t="s">
        <v>6258</v>
      </c>
      <c r="G2053" s="130"/>
      <c r="H2053" s="119"/>
      <c r="I2053" s="87" t="s">
        <v>58</v>
      </c>
      <c r="J2053" s="87" t="s">
        <v>6259</v>
      </c>
      <c r="K2053" s="90">
        <v>0.0</v>
      </c>
      <c r="L2053" s="92"/>
      <c r="M2053" s="93"/>
      <c r="N2053" s="87" t="s">
        <v>1772</v>
      </c>
      <c r="O2053" s="87" t="s">
        <v>377</v>
      </c>
      <c r="P2053" s="87" t="s">
        <v>372</v>
      </c>
    </row>
    <row r="2054" ht="15.75" customHeight="1">
      <c r="A2054" s="87" t="s">
        <v>6260</v>
      </c>
      <c r="B2054" s="88">
        <v>1.22E18</v>
      </c>
      <c r="C2054" s="87" t="s">
        <v>6261</v>
      </c>
      <c r="D2054" s="87" t="s">
        <v>262</v>
      </c>
      <c r="E2054" s="87" t="s">
        <v>263</v>
      </c>
      <c r="F2054" s="87" t="s">
        <v>6261</v>
      </c>
      <c r="I2054" s="87" t="s">
        <v>58</v>
      </c>
      <c r="J2054" s="87" t="s">
        <v>6262</v>
      </c>
      <c r="K2054" s="90">
        <v>0.0</v>
      </c>
      <c r="L2054" s="92"/>
      <c r="M2054" s="93"/>
      <c r="N2054" s="93"/>
      <c r="O2054" s="87" t="s">
        <v>377</v>
      </c>
      <c r="P2054" s="87" t="s">
        <v>372</v>
      </c>
    </row>
    <row r="2055" ht="15.75" customHeight="1">
      <c r="A2055" s="87" t="s">
        <v>6263</v>
      </c>
      <c r="B2055" s="88">
        <v>1.22E18</v>
      </c>
      <c r="C2055" s="87" t="s">
        <v>6264</v>
      </c>
      <c r="D2055" s="87" t="s">
        <v>87</v>
      </c>
      <c r="E2055" s="87" t="s">
        <v>88</v>
      </c>
      <c r="F2055" s="87" t="s">
        <v>6264</v>
      </c>
      <c r="I2055" s="87" t="s">
        <v>58</v>
      </c>
      <c r="J2055" s="87" t="s">
        <v>2852</v>
      </c>
      <c r="K2055" s="90">
        <v>0.0</v>
      </c>
      <c r="L2055" s="92"/>
      <c r="M2055" s="93"/>
      <c r="N2055" s="87" t="s">
        <v>3095</v>
      </c>
      <c r="O2055" s="87" t="s">
        <v>377</v>
      </c>
      <c r="P2055" s="87" t="s">
        <v>372</v>
      </c>
    </row>
    <row r="2056" ht="15.75" customHeight="1">
      <c r="A2056" s="87" t="s">
        <v>6265</v>
      </c>
      <c r="B2056" s="88">
        <v>1.22E18</v>
      </c>
      <c r="C2056" s="87" t="s">
        <v>6266</v>
      </c>
      <c r="D2056" s="87" t="s">
        <v>56</v>
      </c>
      <c r="E2056" s="87" t="s">
        <v>102</v>
      </c>
      <c r="F2056" s="87" t="s">
        <v>1763</v>
      </c>
      <c r="I2056" s="93"/>
      <c r="J2056" s="87" t="s">
        <v>6267</v>
      </c>
      <c r="K2056" s="90">
        <v>0.0</v>
      </c>
      <c r="L2056" s="92"/>
      <c r="M2056" s="93"/>
      <c r="N2056" s="87" t="s">
        <v>474</v>
      </c>
      <c r="O2056" s="87" t="s">
        <v>377</v>
      </c>
      <c r="P2056" s="87" t="s">
        <v>372</v>
      </c>
    </row>
    <row r="2057" ht="15.75" customHeight="1">
      <c r="A2057" s="87" t="s">
        <v>6268</v>
      </c>
      <c r="B2057" s="88">
        <v>1.22E18</v>
      </c>
      <c r="C2057" s="87" t="s">
        <v>6269</v>
      </c>
      <c r="D2057" s="87" t="s">
        <v>87</v>
      </c>
      <c r="E2057" s="87" t="s">
        <v>88</v>
      </c>
      <c r="F2057" s="87" t="s">
        <v>6269</v>
      </c>
      <c r="H2057" s="93"/>
      <c r="I2057" s="87" t="s">
        <v>1123</v>
      </c>
      <c r="J2057" s="87" t="s">
        <v>6270</v>
      </c>
      <c r="K2057" s="90">
        <v>0.0</v>
      </c>
      <c r="L2057" s="92"/>
      <c r="M2057" s="93"/>
      <c r="N2057" s="93"/>
      <c r="O2057" s="87" t="s">
        <v>377</v>
      </c>
      <c r="P2057" s="87" t="s">
        <v>372</v>
      </c>
    </row>
    <row r="2058" ht="15.75" customHeight="1">
      <c r="A2058" s="87" t="s">
        <v>6271</v>
      </c>
      <c r="B2058" s="88">
        <v>1.22E18</v>
      </c>
      <c r="C2058" s="87" t="s">
        <v>6272</v>
      </c>
      <c r="D2058" s="87" t="s">
        <v>87</v>
      </c>
      <c r="E2058" s="87" t="s">
        <v>228</v>
      </c>
      <c r="F2058" s="87" t="s">
        <v>6272</v>
      </c>
      <c r="H2058" s="93"/>
      <c r="I2058" s="87" t="s">
        <v>340</v>
      </c>
      <c r="J2058" s="87" t="s">
        <v>3021</v>
      </c>
      <c r="K2058" s="90">
        <v>200.0</v>
      </c>
      <c r="L2058" s="92"/>
      <c r="M2058" s="93"/>
      <c r="N2058" s="87" t="s">
        <v>6273</v>
      </c>
      <c r="O2058" s="87" t="s">
        <v>377</v>
      </c>
      <c r="P2058" s="87" t="s">
        <v>372</v>
      </c>
    </row>
    <row r="2059" ht="15.75" customHeight="1">
      <c r="A2059" s="87" t="s">
        <v>6274</v>
      </c>
      <c r="B2059" s="88">
        <v>1.22E18</v>
      </c>
      <c r="C2059" s="87" t="s">
        <v>6275</v>
      </c>
      <c r="D2059" s="87" t="s">
        <v>87</v>
      </c>
      <c r="E2059" s="87" t="s">
        <v>228</v>
      </c>
      <c r="F2059" s="87" t="s">
        <v>379</v>
      </c>
      <c r="G2059" s="93"/>
      <c r="H2059" s="93"/>
      <c r="I2059" s="87" t="s">
        <v>340</v>
      </c>
      <c r="J2059" s="87" t="s">
        <v>6276</v>
      </c>
      <c r="K2059" s="90">
        <v>1000.0</v>
      </c>
      <c r="L2059" s="92"/>
      <c r="M2059" s="93"/>
      <c r="N2059" s="87" t="s">
        <v>6273</v>
      </c>
      <c r="O2059" s="87" t="s">
        <v>377</v>
      </c>
      <c r="P2059" s="87" t="s">
        <v>372</v>
      </c>
    </row>
    <row r="2060" ht="15.75" customHeight="1">
      <c r="A2060" s="87" t="s">
        <v>6277</v>
      </c>
      <c r="B2060" s="88">
        <v>1.22E18</v>
      </c>
      <c r="C2060" s="87" t="s">
        <v>6278</v>
      </c>
      <c r="D2060" s="87" t="s">
        <v>87</v>
      </c>
      <c r="E2060" s="87" t="s">
        <v>228</v>
      </c>
      <c r="F2060" s="87" t="s">
        <v>379</v>
      </c>
      <c r="G2060" s="93"/>
      <c r="H2060" s="93"/>
      <c r="I2060" s="87" t="s">
        <v>340</v>
      </c>
      <c r="J2060" s="87" t="s">
        <v>6276</v>
      </c>
      <c r="K2060" s="90">
        <v>1000.0</v>
      </c>
      <c r="L2060" s="92"/>
      <c r="M2060" s="93"/>
      <c r="N2060" s="87" t="s">
        <v>6273</v>
      </c>
      <c r="O2060" s="87" t="s">
        <v>377</v>
      </c>
      <c r="P2060" s="87" t="s">
        <v>372</v>
      </c>
    </row>
    <row r="2061" ht="15.75" customHeight="1">
      <c r="A2061" s="87" t="s">
        <v>6279</v>
      </c>
      <c r="B2061" s="88">
        <v>1.22E18</v>
      </c>
      <c r="C2061" s="87" t="s">
        <v>6280</v>
      </c>
      <c r="D2061" s="87" t="s">
        <v>87</v>
      </c>
      <c r="E2061" s="87" t="s">
        <v>228</v>
      </c>
      <c r="F2061" s="87" t="s">
        <v>379</v>
      </c>
      <c r="G2061" s="93"/>
      <c r="H2061" s="93"/>
      <c r="I2061" s="93"/>
      <c r="J2061" s="87" t="s">
        <v>6276</v>
      </c>
      <c r="K2061" s="90">
        <v>100.0</v>
      </c>
      <c r="L2061" s="92"/>
      <c r="M2061" s="93"/>
      <c r="N2061" s="87" t="s">
        <v>6273</v>
      </c>
      <c r="O2061" s="87" t="s">
        <v>377</v>
      </c>
      <c r="P2061" s="87" t="s">
        <v>372</v>
      </c>
    </row>
    <row r="2062" ht="15.75" customHeight="1">
      <c r="A2062" s="87" t="s">
        <v>6281</v>
      </c>
      <c r="B2062" s="88">
        <v>1.22E18</v>
      </c>
      <c r="C2062" s="87" t="s">
        <v>6282</v>
      </c>
      <c r="D2062" s="87" t="s">
        <v>87</v>
      </c>
      <c r="E2062" s="87" t="s">
        <v>228</v>
      </c>
      <c r="F2062" s="87" t="s">
        <v>379</v>
      </c>
      <c r="G2062" s="93"/>
      <c r="H2062" s="93"/>
      <c r="I2062" s="93"/>
      <c r="J2062" s="87" t="s">
        <v>6276</v>
      </c>
      <c r="K2062" s="90">
        <v>0.0</v>
      </c>
      <c r="L2062" s="92"/>
      <c r="M2062" s="93"/>
      <c r="N2062" s="87" t="s">
        <v>6273</v>
      </c>
      <c r="O2062" s="87" t="s">
        <v>377</v>
      </c>
      <c r="P2062" s="87" t="s">
        <v>372</v>
      </c>
    </row>
    <row r="2063" ht="15.75" customHeight="1">
      <c r="A2063" s="87" t="s">
        <v>6283</v>
      </c>
      <c r="B2063" s="88">
        <v>1.22E18</v>
      </c>
      <c r="C2063" s="87" t="s">
        <v>6284</v>
      </c>
      <c r="D2063" s="87" t="s">
        <v>87</v>
      </c>
      <c r="E2063" s="87" t="s">
        <v>228</v>
      </c>
      <c r="F2063" s="87" t="s">
        <v>379</v>
      </c>
      <c r="G2063" s="93"/>
      <c r="H2063" s="93"/>
      <c r="I2063" s="93"/>
      <c r="J2063" s="87" t="s">
        <v>6276</v>
      </c>
      <c r="K2063" s="90">
        <v>800.0</v>
      </c>
      <c r="L2063" s="92"/>
      <c r="M2063" s="93"/>
      <c r="N2063" s="87" t="s">
        <v>6273</v>
      </c>
      <c r="O2063" s="87" t="s">
        <v>377</v>
      </c>
      <c r="P2063" s="87" t="s">
        <v>372</v>
      </c>
    </row>
    <row r="2064" ht="15.75" customHeight="1">
      <c r="A2064" s="87" t="s">
        <v>6285</v>
      </c>
      <c r="B2064" s="88">
        <v>1.22E18</v>
      </c>
      <c r="C2064" s="87" t="s">
        <v>6286</v>
      </c>
      <c r="D2064" s="87" t="s">
        <v>87</v>
      </c>
      <c r="E2064" s="87" t="s">
        <v>228</v>
      </c>
      <c r="F2064" s="87" t="s">
        <v>379</v>
      </c>
      <c r="G2064" s="93"/>
      <c r="H2064" s="93"/>
      <c r="I2064" s="93"/>
      <c r="J2064" s="87" t="s">
        <v>6276</v>
      </c>
      <c r="K2064" s="90">
        <v>800.0</v>
      </c>
      <c r="L2064" s="92"/>
      <c r="M2064" s="93"/>
      <c r="N2064" s="87" t="s">
        <v>6273</v>
      </c>
      <c r="O2064" s="87" t="s">
        <v>377</v>
      </c>
      <c r="P2064" s="87" t="s">
        <v>372</v>
      </c>
    </row>
    <row r="2065" ht="15.75" customHeight="1">
      <c r="A2065" s="87" t="s">
        <v>6287</v>
      </c>
      <c r="B2065" s="88">
        <v>1.22E18</v>
      </c>
      <c r="C2065" s="87" t="s">
        <v>6288</v>
      </c>
      <c r="D2065" s="87" t="s">
        <v>87</v>
      </c>
      <c r="E2065" s="87" t="s">
        <v>228</v>
      </c>
      <c r="F2065" s="87" t="s">
        <v>379</v>
      </c>
      <c r="G2065" s="93"/>
      <c r="H2065" s="93"/>
      <c r="I2065" s="93"/>
      <c r="J2065" s="87" t="s">
        <v>6276</v>
      </c>
      <c r="K2065" s="90">
        <v>800.0</v>
      </c>
      <c r="L2065" s="92"/>
      <c r="M2065" s="93"/>
      <c r="N2065" s="87" t="s">
        <v>6273</v>
      </c>
      <c r="O2065" s="87" t="s">
        <v>377</v>
      </c>
      <c r="P2065" s="87" t="s">
        <v>372</v>
      </c>
    </row>
    <row r="2066" ht="15.75" customHeight="1">
      <c r="A2066" s="87" t="s">
        <v>6289</v>
      </c>
      <c r="B2066" s="88">
        <v>1.22E18</v>
      </c>
      <c r="C2066" s="87" t="s">
        <v>6290</v>
      </c>
      <c r="D2066" s="87" t="s">
        <v>87</v>
      </c>
      <c r="E2066" s="87" t="s">
        <v>228</v>
      </c>
      <c r="F2066" s="87" t="s">
        <v>379</v>
      </c>
      <c r="G2066" s="93"/>
      <c r="H2066" s="93"/>
      <c r="I2066" s="93"/>
      <c r="J2066" s="87" t="s">
        <v>6276</v>
      </c>
      <c r="K2066" s="90">
        <v>500.0</v>
      </c>
      <c r="L2066" s="92"/>
      <c r="M2066" s="93"/>
      <c r="N2066" s="87" t="s">
        <v>6273</v>
      </c>
      <c r="O2066" s="87" t="s">
        <v>377</v>
      </c>
      <c r="P2066" s="87" t="s">
        <v>372</v>
      </c>
    </row>
    <row r="2067" ht="15.75" customHeight="1">
      <c r="A2067" s="87" t="s">
        <v>6291</v>
      </c>
      <c r="B2067" s="88">
        <v>1.22E18</v>
      </c>
      <c r="C2067" s="87" t="s">
        <v>6292</v>
      </c>
      <c r="D2067" s="87" t="s">
        <v>87</v>
      </c>
      <c r="E2067" s="87" t="s">
        <v>228</v>
      </c>
      <c r="F2067" s="87" t="s">
        <v>379</v>
      </c>
      <c r="G2067" s="93"/>
      <c r="H2067" s="93"/>
      <c r="I2067" s="93"/>
      <c r="J2067" s="87" t="s">
        <v>6276</v>
      </c>
      <c r="K2067" s="90">
        <v>500.0</v>
      </c>
      <c r="L2067" s="92"/>
      <c r="M2067" s="93"/>
      <c r="N2067" s="87" t="s">
        <v>6273</v>
      </c>
      <c r="O2067" s="87" t="s">
        <v>377</v>
      </c>
      <c r="P2067" s="87" t="s">
        <v>372</v>
      </c>
    </row>
    <row r="2068" ht="15.75" customHeight="1">
      <c r="A2068" s="87" t="s">
        <v>6293</v>
      </c>
      <c r="B2068" s="88">
        <v>1.22E18</v>
      </c>
      <c r="C2068" s="87" t="s">
        <v>6294</v>
      </c>
      <c r="D2068" s="87" t="s">
        <v>87</v>
      </c>
      <c r="E2068" s="87" t="s">
        <v>228</v>
      </c>
      <c r="F2068" s="87" t="s">
        <v>379</v>
      </c>
      <c r="G2068" s="93"/>
      <c r="H2068" s="93"/>
      <c r="I2068" s="93"/>
      <c r="J2068" s="87" t="s">
        <v>6276</v>
      </c>
      <c r="K2068" s="90">
        <v>500.0</v>
      </c>
      <c r="L2068" s="92"/>
      <c r="M2068" s="93"/>
      <c r="N2068" s="87" t="s">
        <v>6273</v>
      </c>
      <c r="O2068" s="87" t="s">
        <v>377</v>
      </c>
      <c r="P2068" s="87" t="s">
        <v>372</v>
      </c>
    </row>
    <row r="2069" ht="15.75" customHeight="1">
      <c r="A2069" s="87" t="s">
        <v>6295</v>
      </c>
      <c r="B2069" s="88">
        <v>1.22E18</v>
      </c>
      <c r="C2069" s="87" t="s">
        <v>6296</v>
      </c>
      <c r="D2069" s="87" t="s">
        <v>87</v>
      </c>
      <c r="E2069" s="87" t="s">
        <v>228</v>
      </c>
      <c r="F2069" s="87" t="s">
        <v>379</v>
      </c>
      <c r="G2069" s="93"/>
      <c r="H2069" s="93"/>
      <c r="I2069" s="93"/>
      <c r="J2069" s="87" t="s">
        <v>6297</v>
      </c>
      <c r="K2069" s="90">
        <v>75000.0</v>
      </c>
      <c r="L2069" s="92"/>
      <c r="M2069" s="93"/>
      <c r="N2069" s="87" t="s">
        <v>6273</v>
      </c>
      <c r="O2069" s="87" t="s">
        <v>377</v>
      </c>
      <c r="P2069" s="87" t="s">
        <v>372</v>
      </c>
    </row>
    <row r="2070" ht="15.75" customHeight="1">
      <c r="A2070" s="87" t="s">
        <v>6298</v>
      </c>
      <c r="B2070" s="88">
        <v>1.22E18</v>
      </c>
      <c r="C2070" s="87" t="s">
        <v>6299</v>
      </c>
      <c r="D2070" s="87" t="s">
        <v>87</v>
      </c>
      <c r="E2070" s="87" t="s">
        <v>88</v>
      </c>
      <c r="F2070" s="87" t="s">
        <v>6299</v>
      </c>
      <c r="I2070" s="87" t="s">
        <v>58</v>
      </c>
      <c r="J2070" s="87" t="s">
        <v>3196</v>
      </c>
      <c r="K2070" s="90">
        <v>2.0</v>
      </c>
      <c r="L2070" s="92"/>
      <c r="M2070" s="93"/>
      <c r="N2070" s="87" t="s">
        <v>6273</v>
      </c>
      <c r="O2070" s="87" t="s">
        <v>377</v>
      </c>
      <c r="P2070" s="87" t="s">
        <v>372</v>
      </c>
    </row>
    <row r="2071" ht="15.75" customHeight="1">
      <c r="A2071" s="87" t="s">
        <v>6300</v>
      </c>
      <c r="B2071" s="88">
        <v>1.22E18</v>
      </c>
      <c r="C2071" s="87" t="s">
        <v>6301</v>
      </c>
      <c r="D2071" s="87" t="s">
        <v>87</v>
      </c>
      <c r="E2071" s="87" t="s">
        <v>88</v>
      </c>
      <c r="F2071" s="87" t="s">
        <v>6301</v>
      </c>
      <c r="G2071" s="93"/>
      <c r="H2071" s="93"/>
      <c r="I2071" s="87" t="s">
        <v>315</v>
      </c>
      <c r="J2071" s="87" t="s">
        <v>6302</v>
      </c>
      <c r="K2071" s="90">
        <v>100000.0</v>
      </c>
      <c r="L2071" s="92"/>
      <c r="M2071" s="93"/>
      <c r="N2071" s="87" t="s">
        <v>6273</v>
      </c>
      <c r="O2071" s="87" t="s">
        <v>377</v>
      </c>
      <c r="P2071" s="87" t="s">
        <v>372</v>
      </c>
    </row>
    <row r="2072" ht="15.75" customHeight="1">
      <c r="A2072" s="87" t="s">
        <v>6303</v>
      </c>
      <c r="B2072" s="88">
        <v>1.22E18</v>
      </c>
      <c r="C2072" s="87" t="s">
        <v>6304</v>
      </c>
      <c r="D2072" s="87" t="s">
        <v>56</v>
      </c>
      <c r="E2072" s="87" t="s">
        <v>259</v>
      </c>
      <c r="F2072" s="87" t="s">
        <v>415</v>
      </c>
      <c r="G2072" s="93"/>
      <c r="H2072" s="93"/>
      <c r="I2072" s="87" t="s">
        <v>58</v>
      </c>
      <c r="J2072" s="87" t="s">
        <v>6305</v>
      </c>
      <c r="K2072" s="90">
        <v>1.0</v>
      </c>
      <c r="L2072" s="92"/>
      <c r="M2072" s="93"/>
      <c r="N2072" s="87" t="s">
        <v>6306</v>
      </c>
      <c r="O2072" s="87" t="s">
        <v>377</v>
      </c>
      <c r="P2072" s="87" t="s">
        <v>372</v>
      </c>
    </row>
    <row r="2073" ht="15.75" customHeight="1">
      <c r="A2073" s="87" t="s">
        <v>6307</v>
      </c>
      <c r="B2073" s="88">
        <v>1.22E18</v>
      </c>
      <c r="C2073" s="87" t="s">
        <v>6308</v>
      </c>
      <c r="D2073" s="87" t="s">
        <v>56</v>
      </c>
      <c r="E2073" s="87" t="s">
        <v>248</v>
      </c>
      <c r="F2073" s="87" t="s">
        <v>2769</v>
      </c>
      <c r="G2073" s="93"/>
      <c r="H2073" s="93"/>
      <c r="I2073" s="87" t="s">
        <v>2365</v>
      </c>
      <c r="J2073" s="87" t="s">
        <v>6309</v>
      </c>
      <c r="K2073" s="90">
        <v>1.0</v>
      </c>
      <c r="L2073" s="92"/>
      <c r="M2073" s="93"/>
      <c r="N2073" s="87" t="s">
        <v>6310</v>
      </c>
      <c r="O2073" s="87" t="s">
        <v>377</v>
      </c>
      <c r="P2073" s="87" t="s">
        <v>372</v>
      </c>
    </row>
    <row r="2074" ht="15.75" customHeight="1">
      <c r="A2074" s="87" t="s">
        <v>6311</v>
      </c>
      <c r="B2074" s="88">
        <v>1.22E18</v>
      </c>
      <c r="C2074" s="87" t="s">
        <v>6312</v>
      </c>
      <c r="D2074" s="87" t="s">
        <v>87</v>
      </c>
      <c r="E2074" s="87" t="s">
        <v>88</v>
      </c>
      <c r="F2074" s="87" t="s">
        <v>6312</v>
      </c>
      <c r="I2074" s="87" t="s">
        <v>58</v>
      </c>
      <c r="J2074" s="87" t="s">
        <v>6313</v>
      </c>
      <c r="K2074" s="90">
        <v>0.0</v>
      </c>
      <c r="L2074" s="92"/>
      <c r="M2074" s="93"/>
      <c r="N2074" s="87" t="s">
        <v>2315</v>
      </c>
      <c r="O2074" s="87" t="s">
        <v>377</v>
      </c>
      <c r="P2074" s="87" t="s">
        <v>372</v>
      </c>
    </row>
    <row r="2075" ht="15.75" customHeight="1">
      <c r="A2075" s="87" t="s">
        <v>6314</v>
      </c>
      <c r="B2075" s="88">
        <v>1.22E18</v>
      </c>
      <c r="C2075" s="87" t="s">
        <v>6315</v>
      </c>
      <c r="D2075" s="87" t="s">
        <v>262</v>
      </c>
      <c r="E2075" s="87" t="s">
        <v>270</v>
      </c>
      <c r="F2075" s="87" t="s">
        <v>1749</v>
      </c>
      <c r="H2075" s="93"/>
      <c r="I2075" s="87" t="s">
        <v>58</v>
      </c>
      <c r="J2075" s="87" t="s">
        <v>3188</v>
      </c>
      <c r="K2075" s="90">
        <v>0.0</v>
      </c>
      <c r="L2075" s="92"/>
      <c r="M2075" s="93"/>
      <c r="N2075" s="87" t="s">
        <v>2315</v>
      </c>
      <c r="O2075" s="87" t="s">
        <v>377</v>
      </c>
      <c r="P2075" s="87" t="s">
        <v>372</v>
      </c>
    </row>
    <row r="2076" ht="15.75" customHeight="1">
      <c r="A2076" s="87" t="s">
        <v>6316</v>
      </c>
      <c r="B2076" s="88">
        <v>1.22E18</v>
      </c>
      <c r="C2076" s="87" t="s">
        <v>6317</v>
      </c>
      <c r="D2076" s="87" t="s">
        <v>262</v>
      </c>
      <c r="E2076" s="87" t="s">
        <v>270</v>
      </c>
      <c r="F2076" s="87" t="s">
        <v>1749</v>
      </c>
      <c r="H2076" s="93"/>
      <c r="I2076" s="87" t="s">
        <v>58</v>
      </c>
      <c r="J2076" s="87" t="s">
        <v>6318</v>
      </c>
      <c r="K2076" s="90">
        <v>0.0</v>
      </c>
      <c r="L2076" s="92"/>
      <c r="M2076" s="93"/>
      <c r="N2076" s="87" t="s">
        <v>2315</v>
      </c>
      <c r="O2076" s="87" t="s">
        <v>377</v>
      </c>
      <c r="P2076" s="87" t="s">
        <v>372</v>
      </c>
    </row>
    <row r="2077" ht="15.75" customHeight="1">
      <c r="A2077" s="87" t="s">
        <v>6319</v>
      </c>
      <c r="B2077" s="88">
        <v>1.22E18</v>
      </c>
      <c r="C2077" s="87" t="s">
        <v>6320</v>
      </c>
      <c r="D2077" s="87" t="s">
        <v>262</v>
      </c>
      <c r="E2077" s="87" t="s">
        <v>270</v>
      </c>
      <c r="F2077" s="87" t="s">
        <v>1749</v>
      </c>
      <c r="H2077" s="93"/>
      <c r="I2077" s="87" t="s">
        <v>58</v>
      </c>
      <c r="J2077" s="87" t="s">
        <v>6321</v>
      </c>
      <c r="K2077" s="90">
        <v>0.0</v>
      </c>
      <c r="L2077" s="92"/>
      <c r="M2077" s="93"/>
      <c r="N2077" s="93"/>
      <c r="O2077" s="87" t="s">
        <v>377</v>
      </c>
      <c r="P2077" s="87" t="s">
        <v>372</v>
      </c>
    </row>
    <row r="2078" ht="15.75" customHeight="1">
      <c r="A2078" s="87" t="s">
        <v>6322</v>
      </c>
      <c r="B2078" s="88">
        <v>1.22E18</v>
      </c>
      <c r="C2078" s="87" t="s">
        <v>6323</v>
      </c>
      <c r="D2078" s="87" t="s">
        <v>262</v>
      </c>
      <c r="E2078" s="87" t="s">
        <v>270</v>
      </c>
      <c r="F2078" s="87" t="s">
        <v>1749</v>
      </c>
      <c r="H2078" s="93"/>
      <c r="I2078" s="87" t="s">
        <v>58</v>
      </c>
      <c r="J2078" s="87" t="s">
        <v>1788</v>
      </c>
      <c r="K2078" s="90">
        <v>0.0</v>
      </c>
      <c r="L2078" s="92"/>
      <c r="M2078" s="93"/>
      <c r="N2078" s="87" t="s">
        <v>2315</v>
      </c>
      <c r="O2078" s="87" t="s">
        <v>377</v>
      </c>
      <c r="P2078" s="87" t="s">
        <v>372</v>
      </c>
    </row>
    <row r="2079" ht="15.75" customHeight="1">
      <c r="A2079" s="87" t="s">
        <v>6324</v>
      </c>
      <c r="B2079" s="88">
        <v>1.22E18</v>
      </c>
      <c r="C2079" s="87" t="s">
        <v>6325</v>
      </c>
      <c r="D2079" s="87" t="s">
        <v>262</v>
      </c>
      <c r="E2079" s="87" t="s">
        <v>270</v>
      </c>
      <c r="F2079" s="87" t="s">
        <v>1749</v>
      </c>
      <c r="H2079" s="93"/>
      <c r="I2079" s="87" t="s">
        <v>58</v>
      </c>
      <c r="J2079" s="87" t="s">
        <v>2456</v>
      </c>
      <c r="K2079" s="90">
        <v>0.0</v>
      </c>
      <c r="L2079" s="92"/>
      <c r="M2079" s="93"/>
      <c r="N2079" s="87" t="s">
        <v>5364</v>
      </c>
      <c r="O2079" s="87" t="s">
        <v>377</v>
      </c>
      <c r="P2079" s="87" t="s">
        <v>372</v>
      </c>
    </row>
    <row r="2080" ht="15.75" customHeight="1">
      <c r="A2080" s="87" t="s">
        <v>6326</v>
      </c>
      <c r="B2080" s="88">
        <v>1.22E18</v>
      </c>
      <c r="C2080" s="87" t="s">
        <v>6327</v>
      </c>
      <c r="D2080" s="87" t="s">
        <v>262</v>
      </c>
      <c r="E2080" s="87" t="s">
        <v>270</v>
      </c>
      <c r="F2080" s="87" t="s">
        <v>1749</v>
      </c>
      <c r="H2080" s="93"/>
      <c r="I2080" s="87" t="s">
        <v>58</v>
      </c>
      <c r="J2080" s="87" t="s">
        <v>5914</v>
      </c>
      <c r="K2080" s="90">
        <v>0.0</v>
      </c>
      <c r="L2080" s="92"/>
      <c r="M2080" s="93"/>
      <c r="N2080" s="87" t="s">
        <v>5364</v>
      </c>
      <c r="O2080" s="87" t="s">
        <v>377</v>
      </c>
      <c r="P2080" s="87" t="s">
        <v>372</v>
      </c>
    </row>
    <row r="2081" ht="15.75" customHeight="1">
      <c r="A2081" s="87" t="s">
        <v>6328</v>
      </c>
      <c r="B2081" s="88">
        <v>1.22E18</v>
      </c>
      <c r="C2081" s="87" t="s">
        <v>6329</v>
      </c>
      <c r="D2081" s="87" t="s">
        <v>262</v>
      </c>
      <c r="E2081" s="87" t="s">
        <v>270</v>
      </c>
      <c r="F2081" s="87" t="s">
        <v>1749</v>
      </c>
      <c r="H2081" s="93"/>
      <c r="I2081" s="87" t="s">
        <v>58</v>
      </c>
      <c r="J2081" s="87" t="s">
        <v>5914</v>
      </c>
      <c r="K2081" s="90">
        <v>0.0</v>
      </c>
      <c r="L2081" s="92"/>
      <c r="M2081" s="93"/>
      <c r="N2081" s="87" t="s">
        <v>5364</v>
      </c>
      <c r="O2081" s="87" t="s">
        <v>377</v>
      </c>
      <c r="P2081" s="87" t="s">
        <v>372</v>
      </c>
    </row>
    <row r="2082" ht="15.75" customHeight="1">
      <c r="A2082" s="87" t="s">
        <v>6330</v>
      </c>
      <c r="B2082" s="88">
        <v>1.22E18</v>
      </c>
      <c r="C2082" s="87" t="s">
        <v>6331</v>
      </c>
      <c r="D2082" s="87" t="s">
        <v>262</v>
      </c>
      <c r="E2082" s="87" t="s">
        <v>270</v>
      </c>
      <c r="F2082" s="87" t="s">
        <v>1749</v>
      </c>
      <c r="H2082" s="93"/>
      <c r="I2082" s="87" t="s">
        <v>58</v>
      </c>
      <c r="J2082" s="87" t="s">
        <v>6332</v>
      </c>
      <c r="K2082" s="90">
        <v>0.0</v>
      </c>
      <c r="L2082" s="92"/>
      <c r="M2082" s="93"/>
      <c r="N2082" s="87" t="s">
        <v>5364</v>
      </c>
      <c r="O2082" s="87" t="s">
        <v>377</v>
      </c>
      <c r="P2082" s="87" t="s">
        <v>372</v>
      </c>
    </row>
    <row r="2083" ht="15.75" customHeight="1">
      <c r="A2083" s="87" t="s">
        <v>6333</v>
      </c>
      <c r="B2083" s="88">
        <v>1.22E18</v>
      </c>
      <c r="C2083" s="87" t="s">
        <v>6334</v>
      </c>
      <c r="D2083" s="87" t="s">
        <v>262</v>
      </c>
      <c r="E2083" s="87" t="s">
        <v>270</v>
      </c>
      <c r="F2083" s="87" t="s">
        <v>1749</v>
      </c>
      <c r="H2083" s="93"/>
      <c r="I2083" s="87" t="s">
        <v>58</v>
      </c>
      <c r="J2083" s="87" t="s">
        <v>6335</v>
      </c>
      <c r="K2083" s="90">
        <v>0.0</v>
      </c>
      <c r="L2083" s="92"/>
      <c r="M2083" s="93"/>
      <c r="N2083" s="87" t="s">
        <v>5364</v>
      </c>
      <c r="O2083" s="87" t="s">
        <v>377</v>
      </c>
      <c r="P2083" s="87" t="s">
        <v>372</v>
      </c>
    </row>
    <row r="2084" ht="15.75" customHeight="1">
      <c r="A2084" s="87" t="s">
        <v>6336</v>
      </c>
      <c r="B2084" s="88">
        <v>1.22E18</v>
      </c>
      <c r="C2084" s="87" t="s">
        <v>6337</v>
      </c>
      <c r="D2084" s="87" t="s">
        <v>262</v>
      </c>
      <c r="E2084" s="87" t="s">
        <v>270</v>
      </c>
      <c r="F2084" s="87" t="s">
        <v>1749</v>
      </c>
      <c r="H2084" s="93"/>
      <c r="I2084" s="87" t="s">
        <v>58</v>
      </c>
      <c r="J2084" s="87" t="s">
        <v>3518</v>
      </c>
      <c r="K2084" s="90">
        <v>0.0</v>
      </c>
      <c r="L2084" s="92"/>
      <c r="M2084" s="93"/>
      <c r="N2084" s="87" t="s">
        <v>5364</v>
      </c>
      <c r="O2084" s="87" t="s">
        <v>377</v>
      </c>
      <c r="P2084" s="87" t="s">
        <v>372</v>
      </c>
    </row>
    <row r="2085" ht="15.75" customHeight="1">
      <c r="A2085" s="87" t="s">
        <v>6338</v>
      </c>
      <c r="B2085" s="88">
        <v>1.22E18</v>
      </c>
      <c r="C2085" s="87" t="s">
        <v>6339</v>
      </c>
      <c r="D2085" s="87" t="s">
        <v>262</v>
      </c>
      <c r="E2085" s="87" t="s">
        <v>270</v>
      </c>
      <c r="F2085" s="87" t="s">
        <v>1749</v>
      </c>
      <c r="H2085" s="93"/>
      <c r="I2085" s="87" t="s">
        <v>58</v>
      </c>
      <c r="J2085" s="87" t="s">
        <v>2444</v>
      </c>
      <c r="K2085" s="90">
        <v>0.0</v>
      </c>
      <c r="L2085" s="92"/>
      <c r="M2085" s="93"/>
      <c r="N2085" s="87" t="s">
        <v>5364</v>
      </c>
      <c r="O2085" s="87" t="s">
        <v>377</v>
      </c>
      <c r="P2085" s="87" t="s">
        <v>372</v>
      </c>
    </row>
    <row r="2086" ht="15.75" customHeight="1">
      <c r="A2086" s="87" t="s">
        <v>6340</v>
      </c>
      <c r="B2086" s="88">
        <v>1.22E18</v>
      </c>
      <c r="C2086" s="87" t="s">
        <v>6341</v>
      </c>
      <c r="D2086" s="87" t="s">
        <v>262</v>
      </c>
      <c r="E2086" s="87" t="s">
        <v>270</v>
      </c>
      <c r="F2086" s="87" t="s">
        <v>1749</v>
      </c>
      <c r="H2086" s="93"/>
      <c r="I2086" s="87" t="s">
        <v>58</v>
      </c>
      <c r="J2086" s="87" t="s">
        <v>6335</v>
      </c>
      <c r="K2086" s="90">
        <v>0.0</v>
      </c>
      <c r="L2086" s="92"/>
      <c r="M2086" s="93"/>
      <c r="N2086" s="87" t="s">
        <v>5364</v>
      </c>
      <c r="O2086" s="87" t="s">
        <v>377</v>
      </c>
      <c r="P2086" s="87" t="s">
        <v>372</v>
      </c>
    </row>
    <row r="2087" ht="15.75" customHeight="1">
      <c r="A2087" s="87" t="s">
        <v>6342</v>
      </c>
      <c r="B2087" s="88">
        <v>1.22E18</v>
      </c>
      <c r="C2087" s="87" t="s">
        <v>6343</v>
      </c>
      <c r="D2087" s="87" t="s">
        <v>262</v>
      </c>
      <c r="E2087" s="87" t="s">
        <v>270</v>
      </c>
      <c r="F2087" s="87" t="s">
        <v>1749</v>
      </c>
      <c r="H2087" s="93"/>
      <c r="I2087" s="87" t="s">
        <v>58</v>
      </c>
      <c r="J2087" s="87" t="s">
        <v>5914</v>
      </c>
      <c r="K2087" s="90">
        <v>0.0</v>
      </c>
      <c r="L2087" s="92"/>
      <c r="M2087" s="93"/>
      <c r="N2087" s="87" t="s">
        <v>5364</v>
      </c>
      <c r="O2087" s="87" t="s">
        <v>377</v>
      </c>
      <c r="P2087" s="87" t="s">
        <v>372</v>
      </c>
    </row>
    <row r="2088" ht="15.75" customHeight="1">
      <c r="A2088" s="87" t="s">
        <v>6344</v>
      </c>
      <c r="B2088" s="88">
        <v>1.22E18</v>
      </c>
      <c r="C2088" s="87" t="s">
        <v>6345</v>
      </c>
      <c r="D2088" s="87" t="s">
        <v>262</v>
      </c>
      <c r="E2088" s="87" t="s">
        <v>275</v>
      </c>
      <c r="F2088" s="87" t="s">
        <v>1749</v>
      </c>
      <c r="H2088" s="93"/>
      <c r="I2088" s="87" t="s">
        <v>58</v>
      </c>
      <c r="J2088" s="87" t="s">
        <v>6346</v>
      </c>
      <c r="K2088" s="90">
        <v>0.0</v>
      </c>
      <c r="L2088" s="92"/>
      <c r="M2088" s="93"/>
      <c r="N2088" s="87" t="s">
        <v>5364</v>
      </c>
      <c r="O2088" s="87" t="s">
        <v>377</v>
      </c>
      <c r="P2088" s="87" t="s">
        <v>372</v>
      </c>
    </row>
    <row r="2089" ht="15.75" customHeight="1">
      <c r="A2089" s="87" t="s">
        <v>6347</v>
      </c>
      <c r="B2089" s="88">
        <v>1.22E18</v>
      </c>
      <c r="C2089" s="87" t="s">
        <v>6348</v>
      </c>
      <c r="D2089" s="87" t="s">
        <v>262</v>
      </c>
      <c r="E2089" s="87" t="s">
        <v>270</v>
      </c>
      <c r="F2089" s="87" t="s">
        <v>1749</v>
      </c>
      <c r="H2089" s="93"/>
      <c r="I2089" s="87" t="s">
        <v>58</v>
      </c>
      <c r="J2089" s="87" t="s">
        <v>3518</v>
      </c>
      <c r="K2089" s="90">
        <v>0.0</v>
      </c>
      <c r="L2089" s="92"/>
      <c r="M2089" s="93"/>
      <c r="N2089" s="87" t="s">
        <v>5364</v>
      </c>
      <c r="O2089" s="87" t="s">
        <v>377</v>
      </c>
      <c r="P2089" s="87" t="s">
        <v>372</v>
      </c>
    </row>
    <row r="2090" ht="15.75" customHeight="1">
      <c r="A2090" s="87" t="s">
        <v>6349</v>
      </c>
      <c r="B2090" s="88">
        <v>1.22E18</v>
      </c>
      <c r="C2090" s="87" t="s">
        <v>6350</v>
      </c>
      <c r="D2090" s="87" t="s">
        <v>262</v>
      </c>
      <c r="E2090" s="87" t="s">
        <v>270</v>
      </c>
      <c r="F2090" s="87" t="s">
        <v>1749</v>
      </c>
      <c r="H2090" s="93"/>
      <c r="I2090" s="87" t="s">
        <v>58</v>
      </c>
      <c r="J2090" s="87" t="s">
        <v>3518</v>
      </c>
      <c r="K2090" s="90">
        <v>0.0</v>
      </c>
      <c r="L2090" s="92"/>
      <c r="M2090" s="93"/>
      <c r="N2090" s="87" t="s">
        <v>5364</v>
      </c>
      <c r="O2090" s="87" t="s">
        <v>377</v>
      </c>
      <c r="P2090" s="87" t="s">
        <v>372</v>
      </c>
    </row>
    <row r="2091" ht="15.75" customHeight="1">
      <c r="A2091" s="87" t="s">
        <v>6351</v>
      </c>
      <c r="B2091" s="88">
        <v>1.22E18</v>
      </c>
      <c r="C2091" s="87" t="s">
        <v>6352</v>
      </c>
      <c r="D2091" s="87" t="s">
        <v>262</v>
      </c>
      <c r="E2091" s="87" t="s">
        <v>270</v>
      </c>
      <c r="F2091" s="87" t="s">
        <v>1749</v>
      </c>
      <c r="H2091" s="93"/>
      <c r="I2091" s="87" t="s">
        <v>58</v>
      </c>
      <c r="J2091" s="87" t="s">
        <v>1961</v>
      </c>
      <c r="K2091" s="90">
        <v>0.0</v>
      </c>
      <c r="L2091" s="92"/>
      <c r="M2091" s="93"/>
      <c r="N2091" s="87" t="s">
        <v>5364</v>
      </c>
      <c r="O2091" s="87" t="s">
        <v>377</v>
      </c>
      <c r="P2091" s="87" t="s">
        <v>372</v>
      </c>
    </row>
    <row r="2092" ht="15.75" customHeight="1">
      <c r="A2092" s="87" t="s">
        <v>6353</v>
      </c>
      <c r="B2092" s="88">
        <v>1.22E18</v>
      </c>
      <c r="C2092" s="87" t="s">
        <v>6354</v>
      </c>
      <c r="D2092" s="87" t="s">
        <v>262</v>
      </c>
      <c r="E2092" s="87" t="s">
        <v>270</v>
      </c>
      <c r="F2092" s="87" t="s">
        <v>1749</v>
      </c>
      <c r="H2092" s="93"/>
      <c r="I2092" s="87" t="s">
        <v>58</v>
      </c>
      <c r="J2092" s="87" t="s">
        <v>6355</v>
      </c>
      <c r="K2092" s="90">
        <v>0.0</v>
      </c>
      <c r="L2092" s="92"/>
      <c r="M2092" s="93"/>
      <c r="N2092" s="87" t="s">
        <v>5364</v>
      </c>
      <c r="O2092" s="87" t="s">
        <v>377</v>
      </c>
      <c r="P2092" s="87" t="s">
        <v>372</v>
      </c>
    </row>
    <row r="2093" ht="15.75" customHeight="1">
      <c r="A2093" s="87" t="s">
        <v>6356</v>
      </c>
      <c r="B2093" s="88">
        <v>1.22E18</v>
      </c>
      <c r="C2093" s="87" t="s">
        <v>6357</v>
      </c>
      <c r="D2093" s="87" t="s">
        <v>262</v>
      </c>
      <c r="E2093" s="87" t="s">
        <v>270</v>
      </c>
      <c r="F2093" s="87" t="s">
        <v>1749</v>
      </c>
      <c r="H2093" s="93"/>
      <c r="I2093" s="87" t="s">
        <v>58</v>
      </c>
      <c r="J2093" s="87" t="s">
        <v>2456</v>
      </c>
      <c r="K2093" s="90">
        <v>0.0</v>
      </c>
      <c r="L2093" s="92"/>
      <c r="M2093" s="93"/>
      <c r="N2093" s="87" t="s">
        <v>5364</v>
      </c>
      <c r="O2093" s="87" t="s">
        <v>377</v>
      </c>
      <c r="P2093" s="87" t="s">
        <v>372</v>
      </c>
    </row>
    <row r="2094" ht="15.75" customHeight="1">
      <c r="A2094" s="87" t="s">
        <v>6358</v>
      </c>
      <c r="B2094" s="88">
        <v>1.22E18</v>
      </c>
      <c r="C2094" s="87" t="s">
        <v>6359</v>
      </c>
      <c r="D2094" s="87" t="s">
        <v>262</v>
      </c>
      <c r="E2094" s="87" t="s">
        <v>270</v>
      </c>
      <c r="F2094" s="87" t="s">
        <v>1749</v>
      </c>
      <c r="H2094" s="93"/>
      <c r="I2094" s="87" t="s">
        <v>58</v>
      </c>
      <c r="J2094" s="87" t="s">
        <v>2456</v>
      </c>
      <c r="K2094" s="90">
        <v>0.0</v>
      </c>
      <c r="L2094" s="92"/>
      <c r="M2094" s="93"/>
      <c r="N2094" s="93"/>
      <c r="O2094" s="87" t="s">
        <v>377</v>
      </c>
      <c r="P2094" s="87" t="s">
        <v>372</v>
      </c>
    </row>
    <row r="2095" ht="15.75" customHeight="1">
      <c r="A2095" s="87" t="s">
        <v>6360</v>
      </c>
      <c r="B2095" s="88">
        <v>1.22E18</v>
      </c>
      <c r="C2095" s="87" t="s">
        <v>6361</v>
      </c>
      <c r="D2095" s="87" t="s">
        <v>262</v>
      </c>
      <c r="E2095" s="87" t="s">
        <v>270</v>
      </c>
      <c r="F2095" s="87" t="s">
        <v>1749</v>
      </c>
      <c r="H2095" s="93"/>
      <c r="I2095" s="87" t="s">
        <v>58</v>
      </c>
      <c r="J2095" s="87" t="s">
        <v>2456</v>
      </c>
      <c r="K2095" s="90">
        <v>0.0</v>
      </c>
      <c r="L2095" s="92"/>
      <c r="M2095" s="93"/>
      <c r="N2095" s="93"/>
      <c r="O2095" s="87" t="s">
        <v>377</v>
      </c>
      <c r="P2095" s="87" t="s">
        <v>372</v>
      </c>
    </row>
    <row r="2096" ht="15.75" customHeight="1">
      <c r="A2096" s="87" t="s">
        <v>6362</v>
      </c>
      <c r="B2096" s="88">
        <v>1.22E18</v>
      </c>
      <c r="C2096" s="87" t="s">
        <v>6363</v>
      </c>
      <c r="D2096" s="87" t="s">
        <v>57</v>
      </c>
      <c r="E2096" s="87" t="s">
        <v>287</v>
      </c>
      <c r="F2096" s="87" t="s">
        <v>415</v>
      </c>
      <c r="G2096" s="93"/>
      <c r="H2096" s="93"/>
      <c r="I2096" s="87" t="s">
        <v>58</v>
      </c>
      <c r="J2096" s="87" t="s">
        <v>3744</v>
      </c>
      <c r="K2096" s="90">
        <v>1.0</v>
      </c>
      <c r="L2096" s="92"/>
      <c r="M2096" s="93"/>
      <c r="N2096" s="87" t="s">
        <v>1772</v>
      </c>
      <c r="O2096" s="87" t="s">
        <v>377</v>
      </c>
      <c r="P2096" s="87" t="s">
        <v>372</v>
      </c>
    </row>
    <row r="2097" ht="15.75" customHeight="1">
      <c r="A2097" s="87" t="s">
        <v>6364</v>
      </c>
      <c r="B2097" s="88">
        <v>1.22E18</v>
      </c>
      <c r="C2097" s="87" t="s">
        <v>6365</v>
      </c>
      <c r="D2097" s="87" t="s">
        <v>262</v>
      </c>
      <c r="E2097" s="87" t="s">
        <v>263</v>
      </c>
      <c r="F2097" s="87" t="s">
        <v>415</v>
      </c>
      <c r="G2097" s="93"/>
      <c r="H2097" s="93"/>
      <c r="I2097" s="87" t="s">
        <v>58</v>
      </c>
      <c r="J2097" s="87" t="s">
        <v>6366</v>
      </c>
      <c r="K2097" s="90">
        <v>2.0</v>
      </c>
      <c r="L2097" s="92"/>
      <c r="M2097" s="93"/>
      <c r="N2097" s="87" t="s">
        <v>1772</v>
      </c>
      <c r="O2097" s="87" t="s">
        <v>377</v>
      </c>
      <c r="P2097" s="87" t="s">
        <v>372</v>
      </c>
    </row>
    <row r="2098" ht="15.75" customHeight="1">
      <c r="A2098" s="87" t="s">
        <v>6367</v>
      </c>
      <c r="B2098" s="88">
        <v>1.22E18</v>
      </c>
      <c r="C2098" s="87" t="s">
        <v>6368</v>
      </c>
      <c r="D2098" s="87" t="s">
        <v>87</v>
      </c>
      <c r="E2098" s="87" t="s">
        <v>88</v>
      </c>
      <c r="F2098" s="118" t="s">
        <v>6368</v>
      </c>
      <c r="G2098" s="130"/>
      <c r="H2098" s="119"/>
      <c r="I2098" s="87" t="s">
        <v>58</v>
      </c>
      <c r="J2098" s="87" t="s">
        <v>6369</v>
      </c>
      <c r="K2098" s="90">
        <v>0.0</v>
      </c>
      <c r="L2098" s="92"/>
      <c r="M2098" s="93"/>
      <c r="N2098" s="87" t="s">
        <v>1772</v>
      </c>
      <c r="O2098" s="87" t="s">
        <v>377</v>
      </c>
      <c r="P2098" s="87" t="s">
        <v>372</v>
      </c>
    </row>
    <row r="2099" ht="15.75" customHeight="1">
      <c r="A2099" s="87" t="s">
        <v>6370</v>
      </c>
      <c r="B2099" s="88">
        <v>1.22E18</v>
      </c>
      <c r="C2099" s="87" t="s">
        <v>6371</v>
      </c>
      <c r="D2099" s="87" t="s">
        <v>87</v>
      </c>
      <c r="E2099" s="87" t="s">
        <v>88</v>
      </c>
      <c r="F2099" s="87" t="s">
        <v>373</v>
      </c>
      <c r="H2099" s="93"/>
      <c r="I2099" s="87" t="s">
        <v>3984</v>
      </c>
      <c r="J2099" s="87" t="s">
        <v>3426</v>
      </c>
      <c r="K2099" s="90">
        <v>0.0</v>
      </c>
      <c r="L2099" s="92"/>
      <c r="M2099" s="93"/>
      <c r="N2099" s="87" t="s">
        <v>2500</v>
      </c>
      <c r="O2099" s="87" t="s">
        <v>377</v>
      </c>
      <c r="P2099" s="87" t="s">
        <v>372</v>
      </c>
    </row>
    <row r="2100" ht="15.75" customHeight="1">
      <c r="A2100" s="87" t="s">
        <v>6372</v>
      </c>
      <c r="B2100" s="88">
        <v>1.22E18</v>
      </c>
      <c r="C2100" s="87" t="s">
        <v>6373</v>
      </c>
      <c r="D2100" s="87" t="s">
        <v>87</v>
      </c>
      <c r="E2100" s="87" t="s">
        <v>102</v>
      </c>
      <c r="F2100" s="87" t="s">
        <v>379</v>
      </c>
      <c r="G2100" s="93"/>
      <c r="H2100" s="93"/>
      <c r="I2100" s="87" t="s">
        <v>58</v>
      </c>
      <c r="J2100" s="87" t="s">
        <v>6374</v>
      </c>
      <c r="K2100" s="90">
        <v>0.0</v>
      </c>
      <c r="L2100" s="92"/>
      <c r="M2100" s="93"/>
      <c r="N2100" s="93"/>
      <c r="O2100" s="87" t="s">
        <v>377</v>
      </c>
      <c r="P2100" s="87" t="s">
        <v>372</v>
      </c>
    </row>
    <row r="2101" ht="15.75" customHeight="1">
      <c r="A2101" s="87" t="s">
        <v>6375</v>
      </c>
      <c r="B2101" s="88">
        <v>1.22E18</v>
      </c>
      <c r="C2101" s="87" t="s">
        <v>6376</v>
      </c>
      <c r="D2101" s="87" t="s">
        <v>87</v>
      </c>
      <c r="E2101" s="87" t="s">
        <v>88</v>
      </c>
      <c r="F2101" s="118" t="s">
        <v>6376</v>
      </c>
      <c r="G2101" s="130"/>
      <c r="H2101" s="119"/>
      <c r="I2101" s="87" t="s">
        <v>58</v>
      </c>
      <c r="J2101" s="87" t="s">
        <v>6377</v>
      </c>
      <c r="K2101" s="90">
        <v>0.0</v>
      </c>
      <c r="L2101" s="92"/>
      <c r="M2101" s="93"/>
      <c r="N2101" s="87" t="s">
        <v>1772</v>
      </c>
      <c r="O2101" s="87" t="s">
        <v>377</v>
      </c>
      <c r="P2101" s="87" t="s">
        <v>372</v>
      </c>
    </row>
    <row r="2102" ht="15.75" customHeight="1">
      <c r="A2102" s="87" t="s">
        <v>6378</v>
      </c>
      <c r="B2102" s="88">
        <v>1.22E18</v>
      </c>
      <c r="C2102" s="87" t="s">
        <v>6379</v>
      </c>
      <c r="D2102" s="87" t="s">
        <v>262</v>
      </c>
      <c r="E2102" s="87" t="s">
        <v>263</v>
      </c>
      <c r="F2102" s="87" t="s">
        <v>415</v>
      </c>
      <c r="G2102" s="93"/>
      <c r="H2102" s="93"/>
      <c r="I2102" s="87" t="s">
        <v>58</v>
      </c>
      <c r="J2102" s="87" t="s">
        <v>5440</v>
      </c>
      <c r="K2102" s="90">
        <v>1.0</v>
      </c>
      <c r="L2102" s="92"/>
      <c r="M2102" s="93"/>
      <c r="N2102" s="93"/>
      <c r="O2102" s="87" t="s">
        <v>377</v>
      </c>
      <c r="P2102" s="87" t="s">
        <v>372</v>
      </c>
    </row>
    <row r="2103" ht="15.75" customHeight="1">
      <c r="A2103" s="87" t="s">
        <v>6380</v>
      </c>
      <c r="B2103" s="88">
        <v>1.22E18</v>
      </c>
      <c r="C2103" s="87" t="s">
        <v>6381</v>
      </c>
      <c r="D2103" s="87" t="s">
        <v>262</v>
      </c>
      <c r="E2103" s="87" t="s">
        <v>270</v>
      </c>
      <c r="F2103" s="87" t="s">
        <v>6381</v>
      </c>
      <c r="I2103" s="87" t="s">
        <v>58</v>
      </c>
      <c r="J2103" s="87" t="s">
        <v>1076</v>
      </c>
      <c r="K2103" s="90">
        <v>0.0</v>
      </c>
      <c r="L2103" s="92"/>
      <c r="M2103" s="93"/>
      <c r="N2103" s="87" t="s">
        <v>6382</v>
      </c>
      <c r="O2103" s="87" t="s">
        <v>377</v>
      </c>
      <c r="P2103" s="87" t="s">
        <v>372</v>
      </c>
    </row>
    <row r="2104" ht="15.75" customHeight="1">
      <c r="A2104" s="87" t="s">
        <v>6383</v>
      </c>
      <c r="B2104" s="88">
        <v>1.22E18</v>
      </c>
      <c r="C2104" s="87" t="s">
        <v>6384</v>
      </c>
      <c r="D2104" s="87" t="s">
        <v>87</v>
      </c>
      <c r="E2104" s="87" t="s">
        <v>228</v>
      </c>
      <c r="F2104" s="87" t="s">
        <v>379</v>
      </c>
      <c r="G2104" s="93"/>
      <c r="H2104" s="93"/>
      <c r="I2104" s="93"/>
      <c r="J2104" s="87" t="s">
        <v>6385</v>
      </c>
      <c r="K2104" s="90">
        <v>2000.0</v>
      </c>
      <c r="L2104" s="92"/>
      <c r="M2104" s="93"/>
      <c r="N2104" s="87" t="s">
        <v>6386</v>
      </c>
      <c r="O2104" s="87" t="s">
        <v>377</v>
      </c>
      <c r="P2104" s="87" t="s">
        <v>372</v>
      </c>
    </row>
    <row r="2105" ht="15.75" customHeight="1">
      <c r="A2105" s="87" t="s">
        <v>6387</v>
      </c>
      <c r="B2105" s="88">
        <v>1.22E18</v>
      </c>
      <c r="C2105" s="87" t="s">
        <v>6388</v>
      </c>
      <c r="D2105" s="87" t="s">
        <v>87</v>
      </c>
      <c r="E2105" s="87" t="s">
        <v>228</v>
      </c>
      <c r="F2105" s="87" t="s">
        <v>379</v>
      </c>
      <c r="G2105" s="93"/>
      <c r="H2105" s="93"/>
      <c r="I2105" s="93"/>
      <c r="J2105" s="87" t="s">
        <v>6389</v>
      </c>
      <c r="K2105" s="90">
        <v>1500.0</v>
      </c>
      <c r="L2105" s="92"/>
      <c r="M2105" s="93"/>
      <c r="N2105" s="87" t="s">
        <v>6386</v>
      </c>
      <c r="O2105" s="87" t="s">
        <v>377</v>
      </c>
      <c r="P2105" s="87" t="s">
        <v>372</v>
      </c>
    </row>
    <row r="2106" ht="15.75" customHeight="1">
      <c r="A2106" s="87" t="s">
        <v>6390</v>
      </c>
      <c r="B2106" s="88">
        <v>1.22E18</v>
      </c>
      <c r="C2106" s="87" t="s">
        <v>6391</v>
      </c>
      <c r="D2106" s="87" t="s">
        <v>87</v>
      </c>
      <c r="E2106" s="87" t="s">
        <v>228</v>
      </c>
      <c r="F2106" s="87" t="s">
        <v>379</v>
      </c>
      <c r="G2106" s="93"/>
      <c r="H2106" s="93"/>
      <c r="I2106" s="93"/>
      <c r="J2106" s="87" t="s">
        <v>6389</v>
      </c>
      <c r="K2106" s="90">
        <v>1500.0</v>
      </c>
      <c r="L2106" s="92"/>
      <c r="M2106" s="93"/>
      <c r="N2106" s="87" t="s">
        <v>6386</v>
      </c>
      <c r="O2106" s="87" t="s">
        <v>377</v>
      </c>
      <c r="P2106" s="87" t="s">
        <v>372</v>
      </c>
    </row>
    <row r="2107" ht="15.75" customHeight="1">
      <c r="A2107" s="87" t="s">
        <v>6392</v>
      </c>
      <c r="B2107" s="88">
        <v>1.22E18</v>
      </c>
      <c r="C2107" s="87" t="s">
        <v>6393</v>
      </c>
      <c r="D2107" s="87" t="s">
        <v>87</v>
      </c>
      <c r="E2107" s="87" t="s">
        <v>228</v>
      </c>
      <c r="F2107" s="87" t="s">
        <v>379</v>
      </c>
      <c r="G2107" s="93"/>
      <c r="H2107" s="93"/>
      <c r="I2107" s="93"/>
      <c r="J2107" s="87" t="s">
        <v>6389</v>
      </c>
      <c r="K2107" s="90">
        <v>700.0</v>
      </c>
      <c r="L2107" s="92"/>
      <c r="M2107" s="93"/>
      <c r="N2107" s="87" t="s">
        <v>6386</v>
      </c>
      <c r="O2107" s="87" t="s">
        <v>377</v>
      </c>
      <c r="P2107" s="87" t="s">
        <v>372</v>
      </c>
    </row>
    <row r="2108" ht="15.75" customHeight="1">
      <c r="A2108" s="87" t="s">
        <v>6394</v>
      </c>
      <c r="B2108" s="88">
        <v>1.22E18</v>
      </c>
      <c r="C2108" s="87" t="s">
        <v>6395</v>
      </c>
      <c r="D2108" s="87" t="s">
        <v>87</v>
      </c>
      <c r="E2108" s="87" t="s">
        <v>228</v>
      </c>
      <c r="F2108" s="87" t="s">
        <v>379</v>
      </c>
      <c r="G2108" s="93"/>
      <c r="H2108" s="93"/>
      <c r="I2108" s="93"/>
      <c r="J2108" s="87" t="s">
        <v>6389</v>
      </c>
      <c r="K2108" s="90">
        <v>100.0</v>
      </c>
      <c r="L2108" s="92"/>
      <c r="M2108" s="93"/>
      <c r="N2108" s="87" t="s">
        <v>6386</v>
      </c>
      <c r="O2108" s="87" t="s">
        <v>377</v>
      </c>
      <c r="P2108" s="87" t="s">
        <v>372</v>
      </c>
    </row>
    <row r="2109" ht="15.75" customHeight="1">
      <c r="A2109" s="87" t="s">
        <v>6396</v>
      </c>
      <c r="B2109" s="88">
        <v>1.22E18</v>
      </c>
      <c r="C2109" s="87" t="s">
        <v>6397</v>
      </c>
      <c r="D2109" s="87" t="s">
        <v>87</v>
      </c>
      <c r="E2109" s="87" t="s">
        <v>88</v>
      </c>
      <c r="F2109" s="87" t="s">
        <v>379</v>
      </c>
      <c r="G2109" s="93"/>
      <c r="H2109" s="93"/>
      <c r="I2109" s="93"/>
      <c r="J2109" s="87" t="s">
        <v>2379</v>
      </c>
      <c r="K2109" s="90">
        <v>30000.0</v>
      </c>
      <c r="L2109" s="92"/>
      <c r="M2109" s="93"/>
      <c r="N2109" s="87" t="s">
        <v>6386</v>
      </c>
      <c r="O2109" s="87" t="s">
        <v>377</v>
      </c>
      <c r="P2109" s="87" t="s">
        <v>372</v>
      </c>
    </row>
    <row r="2110" ht="15.75" customHeight="1">
      <c r="A2110" s="87" t="s">
        <v>6398</v>
      </c>
      <c r="B2110" s="88">
        <v>1.22E18</v>
      </c>
      <c r="C2110" s="87" t="s">
        <v>6399</v>
      </c>
      <c r="D2110" s="87" t="s">
        <v>87</v>
      </c>
      <c r="E2110" s="87" t="s">
        <v>228</v>
      </c>
      <c r="F2110" s="87" t="s">
        <v>379</v>
      </c>
      <c r="G2110" s="93"/>
      <c r="H2110" s="93"/>
      <c r="I2110" s="93"/>
      <c r="J2110" s="87" t="s">
        <v>2379</v>
      </c>
      <c r="K2110" s="90">
        <v>1000.0</v>
      </c>
      <c r="L2110" s="92"/>
      <c r="M2110" s="93"/>
      <c r="N2110" s="87" t="s">
        <v>6386</v>
      </c>
      <c r="O2110" s="87" t="s">
        <v>377</v>
      </c>
      <c r="P2110" s="87" t="s">
        <v>372</v>
      </c>
    </row>
    <row r="2111" ht="15.75" customHeight="1">
      <c r="A2111" s="87" t="s">
        <v>6400</v>
      </c>
      <c r="B2111" s="88">
        <v>1.22E18</v>
      </c>
      <c r="C2111" s="87" t="s">
        <v>6401</v>
      </c>
      <c r="D2111" s="87" t="s">
        <v>57</v>
      </c>
      <c r="E2111" s="87" t="s">
        <v>287</v>
      </c>
      <c r="F2111" s="87" t="s">
        <v>415</v>
      </c>
      <c r="G2111" s="93"/>
      <c r="H2111" s="93"/>
      <c r="I2111" s="87" t="s">
        <v>58</v>
      </c>
      <c r="J2111" s="87" t="s">
        <v>6402</v>
      </c>
      <c r="K2111" s="90">
        <v>1.0</v>
      </c>
      <c r="L2111" s="92"/>
      <c r="M2111" s="93"/>
      <c r="N2111" s="87" t="s">
        <v>1772</v>
      </c>
      <c r="O2111" s="87" t="s">
        <v>377</v>
      </c>
      <c r="P2111" s="87" t="s">
        <v>372</v>
      </c>
    </row>
    <row r="2112" ht="15.75" customHeight="1">
      <c r="A2112" s="87" t="s">
        <v>6403</v>
      </c>
      <c r="B2112" s="88">
        <v>1.22E18</v>
      </c>
      <c r="C2112" s="87" t="s">
        <v>6404</v>
      </c>
      <c r="D2112" s="87" t="s">
        <v>262</v>
      </c>
      <c r="E2112" s="87" t="s">
        <v>270</v>
      </c>
      <c r="F2112" s="87" t="s">
        <v>6404</v>
      </c>
      <c r="I2112" s="87" t="s">
        <v>58</v>
      </c>
      <c r="J2112" s="87" t="s">
        <v>6405</v>
      </c>
      <c r="K2112" s="90">
        <v>0.0</v>
      </c>
      <c r="L2112" s="92"/>
      <c r="M2112" s="93"/>
      <c r="N2112" s="87" t="s">
        <v>1772</v>
      </c>
      <c r="O2112" s="87" t="s">
        <v>377</v>
      </c>
      <c r="P2112" s="87" t="s">
        <v>372</v>
      </c>
    </row>
    <row r="2113" ht="15.75" customHeight="1">
      <c r="A2113" s="87" t="s">
        <v>6406</v>
      </c>
      <c r="B2113" s="88">
        <v>1.22E18</v>
      </c>
      <c r="C2113" s="87" t="s">
        <v>6407</v>
      </c>
      <c r="D2113" s="87" t="s">
        <v>262</v>
      </c>
      <c r="E2113" s="87" t="s">
        <v>267</v>
      </c>
      <c r="F2113" s="118" t="s">
        <v>6407</v>
      </c>
      <c r="G2113" s="130"/>
      <c r="H2113" s="119"/>
      <c r="I2113" s="87" t="s">
        <v>58</v>
      </c>
      <c r="J2113" s="87" t="s">
        <v>4039</v>
      </c>
      <c r="K2113" s="90">
        <v>0.0</v>
      </c>
      <c r="L2113" s="92"/>
      <c r="M2113" s="93"/>
      <c r="N2113" s="87" t="s">
        <v>1772</v>
      </c>
      <c r="O2113" s="87" t="s">
        <v>377</v>
      </c>
      <c r="P2113" s="87" t="s">
        <v>372</v>
      </c>
    </row>
    <row r="2114" ht="15.75" customHeight="1">
      <c r="A2114" s="87" t="s">
        <v>6408</v>
      </c>
      <c r="B2114" s="88">
        <v>1.22E18</v>
      </c>
      <c r="C2114" s="87" t="s">
        <v>6409</v>
      </c>
      <c r="D2114" s="87" t="s">
        <v>262</v>
      </c>
      <c r="E2114" s="87" t="s">
        <v>263</v>
      </c>
      <c r="F2114" s="87" t="s">
        <v>415</v>
      </c>
      <c r="G2114" s="93"/>
      <c r="H2114" s="93"/>
      <c r="I2114" s="87" t="s">
        <v>58</v>
      </c>
      <c r="J2114" s="87" t="s">
        <v>6410</v>
      </c>
      <c r="K2114" s="90">
        <v>1.0</v>
      </c>
      <c r="L2114" s="92"/>
      <c r="M2114" s="93"/>
      <c r="N2114" s="87" t="s">
        <v>6411</v>
      </c>
      <c r="O2114" s="87" t="s">
        <v>377</v>
      </c>
      <c r="P2114" s="87" t="s">
        <v>372</v>
      </c>
    </row>
    <row r="2115" ht="15.75" customHeight="1">
      <c r="A2115" s="87" t="s">
        <v>6412</v>
      </c>
      <c r="B2115" s="88">
        <v>1.22E18</v>
      </c>
      <c r="C2115" s="87" t="s">
        <v>6413</v>
      </c>
      <c r="D2115" s="87" t="s">
        <v>56</v>
      </c>
      <c r="E2115" s="87" t="s">
        <v>248</v>
      </c>
      <c r="F2115" s="87" t="s">
        <v>2769</v>
      </c>
      <c r="G2115" s="93"/>
      <c r="H2115" s="93"/>
      <c r="I2115" s="87" t="s">
        <v>58</v>
      </c>
      <c r="J2115" s="87" t="s">
        <v>5775</v>
      </c>
      <c r="K2115" s="90">
        <v>0.0</v>
      </c>
      <c r="L2115" s="92"/>
      <c r="M2115" s="93"/>
      <c r="N2115" s="87" t="s">
        <v>6214</v>
      </c>
      <c r="O2115" s="87" t="s">
        <v>377</v>
      </c>
      <c r="P2115" s="87" t="s">
        <v>372</v>
      </c>
    </row>
    <row r="2116" ht="15.75" customHeight="1">
      <c r="A2116" s="87" t="s">
        <v>6414</v>
      </c>
      <c r="B2116" s="88">
        <v>1.22E18</v>
      </c>
      <c r="C2116" s="87" t="s">
        <v>6415</v>
      </c>
      <c r="D2116" s="87" t="s">
        <v>56</v>
      </c>
      <c r="E2116" s="87" t="s">
        <v>248</v>
      </c>
      <c r="F2116" s="87" t="s">
        <v>2769</v>
      </c>
      <c r="G2116" s="93"/>
      <c r="H2116" s="93"/>
      <c r="I2116" s="87" t="s">
        <v>58</v>
      </c>
      <c r="J2116" s="87" t="s">
        <v>6416</v>
      </c>
      <c r="K2116" s="90">
        <v>0.0</v>
      </c>
      <c r="L2116" s="92"/>
      <c r="M2116" s="93"/>
      <c r="N2116" s="87" t="s">
        <v>6214</v>
      </c>
      <c r="O2116" s="87" t="s">
        <v>377</v>
      </c>
      <c r="P2116" s="87" t="s">
        <v>372</v>
      </c>
    </row>
    <row r="2117" ht="15.75" customHeight="1">
      <c r="A2117" s="87" t="s">
        <v>6417</v>
      </c>
      <c r="B2117" s="88">
        <v>1.22E18</v>
      </c>
      <c r="C2117" s="87" t="s">
        <v>6418</v>
      </c>
      <c r="D2117" s="87" t="s">
        <v>56</v>
      </c>
      <c r="E2117" s="87" t="s">
        <v>248</v>
      </c>
      <c r="F2117" s="87" t="s">
        <v>2769</v>
      </c>
      <c r="G2117" s="93"/>
      <c r="H2117" s="93"/>
      <c r="I2117" s="87" t="s">
        <v>58</v>
      </c>
      <c r="J2117" s="87" t="s">
        <v>6419</v>
      </c>
      <c r="K2117" s="90">
        <v>0.0</v>
      </c>
      <c r="L2117" s="92"/>
      <c r="M2117" s="93"/>
      <c r="N2117" s="87" t="s">
        <v>6214</v>
      </c>
      <c r="O2117" s="87" t="s">
        <v>377</v>
      </c>
      <c r="P2117" s="87" t="s">
        <v>372</v>
      </c>
    </row>
    <row r="2118" ht="15.75" customHeight="1">
      <c r="A2118" s="87" t="s">
        <v>6420</v>
      </c>
      <c r="B2118" s="88">
        <v>1.22E18</v>
      </c>
      <c r="C2118" s="87" t="s">
        <v>6421</v>
      </c>
      <c r="D2118" s="87" t="s">
        <v>56</v>
      </c>
      <c r="E2118" s="87" t="s">
        <v>248</v>
      </c>
      <c r="F2118" s="87" t="s">
        <v>2769</v>
      </c>
      <c r="G2118" s="93"/>
      <c r="H2118" s="93"/>
      <c r="I2118" s="87" t="s">
        <v>58</v>
      </c>
      <c r="J2118" s="87" t="s">
        <v>3767</v>
      </c>
      <c r="K2118" s="90">
        <v>0.0</v>
      </c>
      <c r="L2118" s="92"/>
      <c r="M2118" s="93"/>
      <c r="N2118" s="87" t="s">
        <v>6214</v>
      </c>
      <c r="O2118" s="87" t="s">
        <v>377</v>
      </c>
      <c r="P2118" s="87" t="s">
        <v>372</v>
      </c>
    </row>
    <row r="2119" ht="15.75" customHeight="1">
      <c r="A2119" s="87" t="s">
        <v>6422</v>
      </c>
      <c r="B2119" s="88">
        <v>1.22E18</v>
      </c>
      <c r="C2119" s="87" t="s">
        <v>6423</v>
      </c>
      <c r="D2119" s="87" t="s">
        <v>87</v>
      </c>
      <c r="E2119" s="87" t="s">
        <v>88</v>
      </c>
      <c r="F2119" s="87" t="s">
        <v>6423</v>
      </c>
      <c r="H2119" s="93"/>
      <c r="I2119" s="87" t="s">
        <v>58</v>
      </c>
      <c r="J2119" s="87" t="s">
        <v>6424</v>
      </c>
      <c r="K2119" s="90">
        <v>0.0</v>
      </c>
      <c r="L2119" s="92"/>
      <c r="M2119" s="93"/>
      <c r="N2119" s="87" t="s">
        <v>6214</v>
      </c>
      <c r="O2119" s="87" t="s">
        <v>377</v>
      </c>
      <c r="P2119" s="87" t="s">
        <v>372</v>
      </c>
    </row>
    <row r="2120" ht="15.75" customHeight="1">
      <c r="A2120" s="87" t="s">
        <v>6425</v>
      </c>
      <c r="B2120" s="88">
        <v>1.22E18</v>
      </c>
      <c r="C2120" s="87" t="s">
        <v>6426</v>
      </c>
      <c r="D2120" s="87" t="s">
        <v>56</v>
      </c>
      <c r="E2120" s="87" t="s">
        <v>248</v>
      </c>
      <c r="F2120" s="87" t="s">
        <v>2769</v>
      </c>
      <c r="G2120" s="93"/>
      <c r="H2120" s="93"/>
      <c r="I2120" s="87" t="s">
        <v>58</v>
      </c>
      <c r="J2120" s="87" t="s">
        <v>6427</v>
      </c>
      <c r="K2120" s="90">
        <v>0.0</v>
      </c>
      <c r="L2120" s="92"/>
      <c r="M2120" s="93"/>
      <c r="N2120" s="87" t="s">
        <v>6214</v>
      </c>
      <c r="O2120" s="87" t="s">
        <v>377</v>
      </c>
      <c r="P2120" s="87" t="s">
        <v>372</v>
      </c>
    </row>
    <row r="2121" ht="15.75" customHeight="1">
      <c r="A2121" s="87" t="s">
        <v>6428</v>
      </c>
      <c r="B2121" s="88">
        <v>1.22E18</v>
      </c>
      <c r="C2121" s="87" t="s">
        <v>6429</v>
      </c>
      <c r="D2121" s="87" t="s">
        <v>262</v>
      </c>
      <c r="E2121" s="87" t="s">
        <v>275</v>
      </c>
      <c r="F2121" s="87" t="s">
        <v>6429</v>
      </c>
      <c r="I2121" s="87" t="s">
        <v>58</v>
      </c>
      <c r="J2121" s="87" t="s">
        <v>6430</v>
      </c>
      <c r="K2121" s="90">
        <v>0.0</v>
      </c>
      <c r="L2121" s="92"/>
      <c r="M2121" s="93"/>
      <c r="N2121" s="87" t="s">
        <v>2358</v>
      </c>
      <c r="O2121" s="87" t="s">
        <v>377</v>
      </c>
      <c r="P2121" s="87" t="s">
        <v>372</v>
      </c>
    </row>
    <row r="2122" ht="15.75" customHeight="1">
      <c r="A2122" s="87" t="s">
        <v>6431</v>
      </c>
      <c r="B2122" s="88">
        <v>1.22E18</v>
      </c>
      <c r="C2122" s="87" t="s">
        <v>6432</v>
      </c>
      <c r="D2122" s="87" t="s">
        <v>262</v>
      </c>
      <c r="E2122" s="87" t="s">
        <v>263</v>
      </c>
      <c r="F2122" s="87" t="s">
        <v>415</v>
      </c>
      <c r="G2122" s="93"/>
      <c r="H2122" s="93"/>
      <c r="I2122" s="87" t="s">
        <v>58</v>
      </c>
      <c r="J2122" s="87" t="s">
        <v>6433</v>
      </c>
      <c r="K2122" s="90">
        <v>1.0</v>
      </c>
      <c r="L2122" s="92"/>
      <c r="M2122" s="93"/>
      <c r="N2122" s="87" t="s">
        <v>6434</v>
      </c>
      <c r="O2122" s="87" t="s">
        <v>377</v>
      </c>
      <c r="P2122" s="87" t="s">
        <v>372</v>
      </c>
    </row>
    <row r="2123" ht="15.75" customHeight="1">
      <c r="A2123" s="87" t="s">
        <v>6435</v>
      </c>
      <c r="B2123" s="88">
        <v>1.22E18</v>
      </c>
      <c r="C2123" s="87" t="s">
        <v>6436</v>
      </c>
      <c r="D2123" s="87" t="s">
        <v>87</v>
      </c>
      <c r="E2123" s="87" t="s">
        <v>88</v>
      </c>
      <c r="F2123" s="87" t="s">
        <v>6436</v>
      </c>
      <c r="H2123" s="93"/>
      <c r="I2123" s="87" t="s">
        <v>58</v>
      </c>
      <c r="J2123" s="87" t="s">
        <v>987</v>
      </c>
      <c r="K2123" s="90">
        <v>0.0</v>
      </c>
      <c r="L2123" s="92"/>
      <c r="M2123" s="93"/>
      <c r="N2123" s="87" t="s">
        <v>4427</v>
      </c>
      <c r="O2123" s="87" t="s">
        <v>377</v>
      </c>
      <c r="P2123" s="87" t="s">
        <v>372</v>
      </c>
    </row>
    <row r="2124" ht="15.75" customHeight="1">
      <c r="A2124" s="87" t="s">
        <v>6437</v>
      </c>
      <c r="B2124" s="88">
        <v>1.22E18</v>
      </c>
      <c r="C2124" s="87" t="s">
        <v>6438</v>
      </c>
      <c r="D2124" s="87" t="s">
        <v>87</v>
      </c>
      <c r="E2124" s="87" t="s">
        <v>102</v>
      </c>
      <c r="F2124" s="118" t="s">
        <v>6438</v>
      </c>
      <c r="G2124" s="130"/>
      <c r="H2124" s="119"/>
      <c r="I2124" s="87" t="s">
        <v>58</v>
      </c>
      <c r="J2124" s="87" t="s">
        <v>6439</v>
      </c>
      <c r="K2124" s="90">
        <v>0.0</v>
      </c>
      <c r="L2124" s="92"/>
      <c r="M2124" s="93"/>
      <c r="N2124" s="87" t="s">
        <v>5018</v>
      </c>
      <c r="O2124" s="87" t="s">
        <v>377</v>
      </c>
      <c r="P2124" s="87" t="s">
        <v>372</v>
      </c>
    </row>
    <row r="2125" ht="15.75" customHeight="1">
      <c r="A2125" s="87" t="s">
        <v>6440</v>
      </c>
      <c r="B2125" s="88">
        <v>1.22E18</v>
      </c>
      <c r="C2125" s="87" t="s">
        <v>6441</v>
      </c>
      <c r="D2125" s="87" t="s">
        <v>262</v>
      </c>
      <c r="E2125" s="87" t="s">
        <v>263</v>
      </c>
      <c r="F2125" s="87" t="s">
        <v>415</v>
      </c>
      <c r="G2125" s="93"/>
      <c r="H2125" s="93"/>
      <c r="I2125" s="87" t="s">
        <v>58</v>
      </c>
      <c r="J2125" s="87" t="s">
        <v>6442</v>
      </c>
      <c r="K2125" s="90">
        <v>2.0</v>
      </c>
      <c r="L2125" s="92"/>
      <c r="M2125" s="93"/>
      <c r="N2125" s="87" t="s">
        <v>1772</v>
      </c>
      <c r="O2125" s="87" t="s">
        <v>377</v>
      </c>
      <c r="P2125" s="87" t="s">
        <v>372</v>
      </c>
    </row>
    <row r="2126" ht="15.75" customHeight="1">
      <c r="A2126" s="87" t="s">
        <v>6443</v>
      </c>
      <c r="B2126" s="88">
        <v>1.22E18</v>
      </c>
      <c r="C2126" s="87" t="s">
        <v>6444</v>
      </c>
      <c r="D2126" s="87" t="s">
        <v>262</v>
      </c>
      <c r="E2126" s="87" t="s">
        <v>267</v>
      </c>
      <c r="F2126" s="118" t="s">
        <v>6444</v>
      </c>
      <c r="G2126" s="130"/>
      <c r="H2126" s="119"/>
      <c r="I2126" s="87" t="s">
        <v>58</v>
      </c>
      <c r="J2126" s="87" t="s">
        <v>6445</v>
      </c>
      <c r="K2126" s="90">
        <v>0.0</v>
      </c>
      <c r="L2126" s="92"/>
      <c r="M2126" s="93"/>
      <c r="N2126" s="87" t="s">
        <v>1729</v>
      </c>
      <c r="O2126" s="87" t="s">
        <v>377</v>
      </c>
      <c r="P2126" s="87" t="s">
        <v>372</v>
      </c>
    </row>
    <row r="2127" ht="15.75" customHeight="1">
      <c r="A2127" s="87" t="s">
        <v>6446</v>
      </c>
      <c r="B2127" s="88">
        <v>1.22E18</v>
      </c>
      <c r="C2127" s="87" t="s">
        <v>6447</v>
      </c>
      <c r="D2127" s="87" t="s">
        <v>262</v>
      </c>
      <c r="E2127" s="87" t="s">
        <v>267</v>
      </c>
      <c r="F2127" s="118" t="s">
        <v>6447</v>
      </c>
      <c r="G2127" s="130"/>
      <c r="H2127" s="119"/>
      <c r="I2127" s="87" t="s">
        <v>58</v>
      </c>
      <c r="J2127" s="87" t="s">
        <v>5832</v>
      </c>
      <c r="K2127" s="90">
        <v>0.0</v>
      </c>
      <c r="L2127" s="92"/>
      <c r="M2127" s="93"/>
      <c r="N2127" s="87" t="s">
        <v>1729</v>
      </c>
      <c r="O2127" s="87" t="s">
        <v>377</v>
      </c>
      <c r="P2127" s="87" t="s">
        <v>372</v>
      </c>
    </row>
    <row r="2128" ht="15.75" customHeight="1">
      <c r="A2128" s="87" t="s">
        <v>6448</v>
      </c>
      <c r="B2128" s="88">
        <v>1.22E18</v>
      </c>
      <c r="C2128" s="87" t="s">
        <v>6449</v>
      </c>
      <c r="D2128" s="87" t="s">
        <v>262</v>
      </c>
      <c r="E2128" s="87" t="s">
        <v>267</v>
      </c>
      <c r="F2128" s="118" t="s">
        <v>6449</v>
      </c>
      <c r="G2128" s="130"/>
      <c r="H2128" s="119"/>
      <c r="I2128" s="87" t="s">
        <v>58</v>
      </c>
      <c r="J2128" s="87" t="s">
        <v>6450</v>
      </c>
      <c r="K2128" s="90">
        <v>0.0</v>
      </c>
      <c r="L2128" s="92"/>
      <c r="M2128" s="93"/>
      <c r="N2128" s="87" t="s">
        <v>1729</v>
      </c>
      <c r="O2128" s="87" t="s">
        <v>377</v>
      </c>
      <c r="P2128" s="87" t="s">
        <v>372</v>
      </c>
    </row>
    <row r="2129" ht="15.75" customHeight="1">
      <c r="A2129" s="87" t="s">
        <v>6451</v>
      </c>
      <c r="B2129" s="88">
        <v>1.22E18</v>
      </c>
      <c r="C2129" s="87" t="s">
        <v>6452</v>
      </c>
      <c r="D2129" s="87" t="s">
        <v>87</v>
      </c>
      <c r="E2129" s="87" t="s">
        <v>88</v>
      </c>
      <c r="F2129" s="87" t="s">
        <v>6452</v>
      </c>
      <c r="H2129" s="93"/>
      <c r="I2129" s="87" t="s">
        <v>58</v>
      </c>
      <c r="J2129" s="87" t="s">
        <v>3944</v>
      </c>
      <c r="K2129" s="90">
        <v>0.0</v>
      </c>
      <c r="L2129" s="92"/>
      <c r="M2129" s="93"/>
      <c r="N2129" s="87" t="s">
        <v>4427</v>
      </c>
      <c r="O2129" s="87" t="s">
        <v>377</v>
      </c>
      <c r="P2129" s="87" t="s">
        <v>372</v>
      </c>
    </row>
    <row r="2130" ht="15.75" customHeight="1">
      <c r="A2130" s="87" t="s">
        <v>6453</v>
      </c>
      <c r="B2130" s="88">
        <v>1.22E18</v>
      </c>
      <c r="C2130" s="87" t="s">
        <v>6454</v>
      </c>
      <c r="D2130" s="87" t="s">
        <v>87</v>
      </c>
      <c r="E2130" s="87" t="s">
        <v>88</v>
      </c>
      <c r="F2130" s="87" t="s">
        <v>6454</v>
      </c>
      <c r="H2130" s="93"/>
      <c r="I2130" s="87" t="s">
        <v>327</v>
      </c>
      <c r="J2130" s="87" t="s">
        <v>6455</v>
      </c>
      <c r="K2130" s="90">
        <v>350000.0</v>
      </c>
      <c r="L2130" s="92"/>
      <c r="M2130" s="93"/>
      <c r="N2130" s="87" t="s">
        <v>4427</v>
      </c>
      <c r="O2130" s="87" t="s">
        <v>377</v>
      </c>
      <c r="P2130" s="87" t="s">
        <v>372</v>
      </c>
    </row>
    <row r="2131" ht="15.75" customHeight="1">
      <c r="A2131" s="87" t="s">
        <v>6456</v>
      </c>
      <c r="B2131" s="88">
        <v>1.22E18</v>
      </c>
      <c r="C2131" s="87" t="s">
        <v>6457</v>
      </c>
      <c r="D2131" s="87" t="s">
        <v>262</v>
      </c>
      <c r="E2131" s="87" t="s">
        <v>270</v>
      </c>
      <c r="F2131" s="87" t="s">
        <v>1749</v>
      </c>
      <c r="H2131" s="93"/>
      <c r="I2131" s="87" t="s">
        <v>5012</v>
      </c>
      <c r="J2131" s="87" t="s">
        <v>6458</v>
      </c>
      <c r="K2131" s="90">
        <v>0.0</v>
      </c>
      <c r="L2131" s="92"/>
      <c r="M2131" s="93"/>
      <c r="N2131" s="87" t="s">
        <v>6459</v>
      </c>
      <c r="O2131" s="87" t="s">
        <v>377</v>
      </c>
      <c r="P2131" s="87" t="s">
        <v>372</v>
      </c>
    </row>
    <row r="2132" ht="15.75" customHeight="1">
      <c r="A2132" s="87" t="s">
        <v>6460</v>
      </c>
      <c r="B2132" s="88">
        <v>1.22E18</v>
      </c>
      <c r="C2132" s="87" t="s">
        <v>6461</v>
      </c>
      <c r="D2132" s="87" t="s">
        <v>56</v>
      </c>
      <c r="E2132" s="87" t="s">
        <v>248</v>
      </c>
      <c r="F2132" s="87" t="s">
        <v>2769</v>
      </c>
      <c r="G2132" s="93"/>
      <c r="H2132" s="93"/>
      <c r="I2132" s="87" t="s">
        <v>58</v>
      </c>
      <c r="J2132" s="87" t="s">
        <v>6462</v>
      </c>
      <c r="K2132" s="90">
        <v>122000.0</v>
      </c>
      <c r="L2132" s="92"/>
      <c r="M2132" s="93"/>
      <c r="N2132" s="87" t="s">
        <v>6463</v>
      </c>
      <c r="O2132" s="87" t="s">
        <v>377</v>
      </c>
      <c r="P2132" s="87" t="s">
        <v>372</v>
      </c>
    </row>
    <row r="2133" ht="15.75" customHeight="1">
      <c r="A2133" s="87" t="s">
        <v>6464</v>
      </c>
      <c r="B2133" s="88">
        <v>1.22E18</v>
      </c>
      <c r="C2133" s="87" t="s">
        <v>6465</v>
      </c>
      <c r="D2133" s="87" t="s">
        <v>56</v>
      </c>
      <c r="E2133" s="87" t="s">
        <v>248</v>
      </c>
      <c r="F2133" s="87" t="s">
        <v>2769</v>
      </c>
      <c r="G2133" s="93"/>
      <c r="H2133" s="93"/>
      <c r="I2133" s="87" t="s">
        <v>2365</v>
      </c>
      <c r="J2133" s="87" t="s">
        <v>6466</v>
      </c>
      <c r="K2133" s="90">
        <v>0.0</v>
      </c>
      <c r="L2133" s="92"/>
      <c r="M2133" s="93"/>
      <c r="N2133" s="87" t="s">
        <v>6467</v>
      </c>
      <c r="O2133" s="87" t="s">
        <v>377</v>
      </c>
      <c r="P2133" s="87" t="s">
        <v>372</v>
      </c>
    </row>
    <row r="2134" ht="15.75" customHeight="1">
      <c r="A2134" s="87" t="s">
        <v>6468</v>
      </c>
      <c r="B2134" s="88">
        <v>1.22E18</v>
      </c>
      <c r="C2134" s="87" t="s">
        <v>6469</v>
      </c>
      <c r="D2134" s="87" t="s">
        <v>57</v>
      </c>
      <c r="E2134" s="87" t="s">
        <v>287</v>
      </c>
      <c r="F2134" s="87" t="s">
        <v>415</v>
      </c>
      <c r="G2134" s="93"/>
      <c r="H2134" s="93"/>
      <c r="I2134" s="87" t="s">
        <v>58</v>
      </c>
      <c r="J2134" s="87" t="s">
        <v>6470</v>
      </c>
      <c r="K2134" s="90">
        <v>1.0</v>
      </c>
      <c r="L2134" s="92"/>
      <c r="M2134" s="93"/>
      <c r="N2134" s="87" t="s">
        <v>1772</v>
      </c>
      <c r="O2134" s="87" t="s">
        <v>377</v>
      </c>
      <c r="P2134" s="87" t="s">
        <v>372</v>
      </c>
    </row>
    <row r="2135" ht="15.75" customHeight="1">
      <c r="A2135" s="87" t="s">
        <v>6471</v>
      </c>
      <c r="B2135" s="88">
        <v>1.22E18</v>
      </c>
      <c r="C2135" s="87" t="s">
        <v>6472</v>
      </c>
      <c r="D2135" s="87" t="s">
        <v>262</v>
      </c>
      <c r="E2135" s="87" t="s">
        <v>263</v>
      </c>
      <c r="F2135" s="87" t="s">
        <v>415</v>
      </c>
      <c r="G2135" s="93"/>
      <c r="H2135" s="93"/>
      <c r="I2135" s="87" t="s">
        <v>58</v>
      </c>
      <c r="J2135" s="87" t="s">
        <v>6473</v>
      </c>
      <c r="K2135" s="90">
        <v>5.0</v>
      </c>
      <c r="L2135" s="92"/>
      <c r="M2135" s="93"/>
      <c r="N2135" s="87" t="s">
        <v>4427</v>
      </c>
      <c r="O2135" s="87" t="s">
        <v>377</v>
      </c>
      <c r="P2135" s="87" t="s">
        <v>372</v>
      </c>
    </row>
    <row r="2136" ht="15.75" customHeight="1">
      <c r="A2136" s="87" t="s">
        <v>6474</v>
      </c>
      <c r="B2136" s="88">
        <v>1.22E18</v>
      </c>
      <c r="C2136" s="87" t="s">
        <v>6475</v>
      </c>
      <c r="D2136" s="87" t="s">
        <v>262</v>
      </c>
      <c r="E2136" s="87" t="s">
        <v>278</v>
      </c>
      <c r="F2136" s="87" t="s">
        <v>415</v>
      </c>
      <c r="G2136" s="93"/>
      <c r="H2136" s="93"/>
      <c r="I2136" s="87" t="s">
        <v>58</v>
      </c>
      <c r="J2136" s="87" t="s">
        <v>6476</v>
      </c>
      <c r="K2136" s="90">
        <v>1.0</v>
      </c>
      <c r="L2136" s="92"/>
      <c r="M2136" s="93"/>
      <c r="N2136" s="87" t="s">
        <v>4427</v>
      </c>
      <c r="O2136" s="87" t="s">
        <v>377</v>
      </c>
      <c r="P2136" s="87" t="s">
        <v>372</v>
      </c>
    </row>
    <row r="2137" ht="15.75" customHeight="1">
      <c r="A2137" s="87" t="s">
        <v>6477</v>
      </c>
      <c r="B2137" s="88">
        <v>1.22E18</v>
      </c>
      <c r="C2137" s="87" t="s">
        <v>6478</v>
      </c>
      <c r="D2137" s="87" t="s">
        <v>87</v>
      </c>
      <c r="E2137" s="87" t="s">
        <v>88</v>
      </c>
      <c r="F2137" s="118" t="s">
        <v>6478</v>
      </c>
      <c r="G2137" s="130"/>
      <c r="H2137" s="119"/>
      <c r="I2137" s="87" t="s">
        <v>58</v>
      </c>
      <c r="J2137" s="87" t="s">
        <v>6479</v>
      </c>
      <c r="K2137" s="90">
        <v>0.0</v>
      </c>
      <c r="L2137" s="92"/>
      <c r="M2137" s="93"/>
      <c r="N2137" s="87" t="s">
        <v>1772</v>
      </c>
      <c r="O2137" s="87" t="s">
        <v>377</v>
      </c>
      <c r="P2137" s="87" t="s">
        <v>372</v>
      </c>
    </row>
    <row r="2138" ht="15.75" customHeight="1">
      <c r="A2138" s="87" t="s">
        <v>6480</v>
      </c>
      <c r="B2138" s="88">
        <v>1.22E18</v>
      </c>
      <c r="C2138" s="87" t="s">
        <v>6481</v>
      </c>
      <c r="D2138" s="87" t="s">
        <v>87</v>
      </c>
      <c r="E2138" s="87" t="s">
        <v>88</v>
      </c>
      <c r="F2138" s="118" t="s">
        <v>6481</v>
      </c>
      <c r="G2138" s="130"/>
      <c r="H2138" s="119"/>
      <c r="I2138" s="87" t="s">
        <v>58</v>
      </c>
      <c r="J2138" s="87" t="s">
        <v>6482</v>
      </c>
      <c r="K2138" s="90">
        <v>0.0</v>
      </c>
      <c r="L2138" s="92"/>
      <c r="M2138" s="93"/>
      <c r="N2138" s="87" t="s">
        <v>1772</v>
      </c>
      <c r="O2138" s="87" t="s">
        <v>377</v>
      </c>
      <c r="P2138" s="87" t="s">
        <v>372</v>
      </c>
    </row>
    <row r="2139" ht="15.75" customHeight="1">
      <c r="A2139" s="87" t="s">
        <v>6483</v>
      </c>
      <c r="B2139" s="88">
        <v>1.22E18</v>
      </c>
      <c r="C2139" s="87" t="s">
        <v>6484</v>
      </c>
      <c r="D2139" s="87" t="s">
        <v>56</v>
      </c>
      <c r="E2139" s="87" t="s">
        <v>102</v>
      </c>
      <c r="F2139" s="87" t="s">
        <v>1763</v>
      </c>
      <c r="I2139" s="93"/>
      <c r="J2139" s="87" t="s">
        <v>2011</v>
      </c>
      <c r="K2139" s="90">
        <v>0.0</v>
      </c>
      <c r="L2139" s="92"/>
      <c r="M2139" s="93"/>
      <c r="N2139" s="87" t="s">
        <v>4427</v>
      </c>
      <c r="O2139" s="87" t="s">
        <v>377</v>
      </c>
      <c r="P2139" s="87" t="s">
        <v>372</v>
      </c>
    </row>
    <row r="2140" ht="15.75" customHeight="1">
      <c r="A2140" s="87" t="s">
        <v>6485</v>
      </c>
      <c r="B2140" s="88">
        <v>1.22E18</v>
      </c>
      <c r="C2140" s="87" t="s">
        <v>6486</v>
      </c>
      <c r="D2140" s="87" t="s">
        <v>56</v>
      </c>
      <c r="E2140" s="87" t="s">
        <v>59</v>
      </c>
      <c r="F2140" s="118" t="s">
        <v>6486</v>
      </c>
      <c r="G2140" s="130"/>
      <c r="H2140" s="119"/>
      <c r="I2140" s="87" t="s">
        <v>1742</v>
      </c>
      <c r="J2140" s="87" t="s">
        <v>6487</v>
      </c>
      <c r="K2140" s="90">
        <v>0.0</v>
      </c>
      <c r="L2140" s="92"/>
      <c r="M2140" s="93"/>
      <c r="N2140" s="87" t="s">
        <v>1772</v>
      </c>
      <c r="O2140" s="87" t="s">
        <v>377</v>
      </c>
      <c r="P2140" s="87" t="s">
        <v>372</v>
      </c>
    </row>
    <row r="2141" ht="15.75" customHeight="1">
      <c r="A2141" s="87" t="s">
        <v>6488</v>
      </c>
      <c r="B2141" s="88">
        <v>1.22E18</v>
      </c>
      <c r="C2141" s="87" t="s">
        <v>6489</v>
      </c>
      <c r="D2141" s="87" t="s">
        <v>56</v>
      </c>
      <c r="E2141" s="87" t="s">
        <v>154</v>
      </c>
      <c r="F2141" s="87" t="s">
        <v>6489</v>
      </c>
      <c r="I2141" s="87" t="s">
        <v>58</v>
      </c>
      <c r="J2141" s="87" t="s">
        <v>4372</v>
      </c>
      <c r="K2141" s="90">
        <v>0.0</v>
      </c>
      <c r="L2141" s="92"/>
      <c r="M2141" s="93"/>
      <c r="N2141" s="87" t="s">
        <v>6490</v>
      </c>
      <c r="O2141" s="87" t="s">
        <v>377</v>
      </c>
      <c r="P2141" s="87" t="s">
        <v>372</v>
      </c>
    </row>
    <row r="2142" ht="15.75" customHeight="1">
      <c r="A2142" s="87" t="s">
        <v>6491</v>
      </c>
      <c r="B2142" s="88">
        <v>1.22E18</v>
      </c>
      <c r="C2142" s="87" t="s">
        <v>6492</v>
      </c>
      <c r="D2142" s="87" t="s">
        <v>87</v>
      </c>
      <c r="E2142" s="87" t="s">
        <v>88</v>
      </c>
      <c r="F2142" s="87" t="s">
        <v>6492</v>
      </c>
      <c r="H2142" s="93"/>
      <c r="I2142" s="87" t="s">
        <v>58</v>
      </c>
      <c r="J2142" s="87" t="s">
        <v>6493</v>
      </c>
      <c r="K2142" s="90">
        <v>0.0</v>
      </c>
      <c r="L2142" s="92"/>
      <c r="M2142" s="93"/>
      <c r="N2142" s="87" t="s">
        <v>2364</v>
      </c>
      <c r="O2142" s="87" t="s">
        <v>377</v>
      </c>
      <c r="P2142" s="87" t="s">
        <v>372</v>
      </c>
    </row>
    <row r="2143" ht="15.75" customHeight="1">
      <c r="A2143" s="87" t="s">
        <v>6494</v>
      </c>
      <c r="B2143" s="88">
        <v>1.22E18</v>
      </c>
      <c r="C2143" s="87" t="s">
        <v>6495</v>
      </c>
      <c r="D2143" s="87" t="s">
        <v>87</v>
      </c>
      <c r="E2143" s="87" t="s">
        <v>88</v>
      </c>
      <c r="F2143" s="87" t="s">
        <v>6495</v>
      </c>
      <c r="H2143" s="93"/>
      <c r="I2143" s="87" t="s">
        <v>58</v>
      </c>
      <c r="J2143" s="87" t="s">
        <v>6496</v>
      </c>
      <c r="K2143" s="90">
        <v>0.0</v>
      </c>
      <c r="L2143" s="92"/>
      <c r="M2143" s="93"/>
      <c r="N2143" s="87" t="s">
        <v>2364</v>
      </c>
      <c r="O2143" s="87" t="s">
        <v>377</v>
      </c>
      <c r="P2143" s="87" t="s">
        <v>372</v>
      </c>
    </row>
    <row r="2144" ht="15.75" customHeight="1">
      <c r="A2144" s="87" t="s">
        <v>6497</v>
      </c>
      <c r="B2144" s="88">
        <v>1.22E18</v>
      </c>
      <c r="C2144" s="87" t="s">
        <v>6498</v>
      </c>
      <c r="D2144" s="87" t="s">
        <v>87</v>
      </c>
      <c r="E2144" s="87" t="s">
        <v>88</v>
      </c>
      <c r="F2144" s="87" t="s">
        <v>6498</v>
      </c>
      <c r="I2144" s="87" t="s">
        <v>58</v>
      </c>
      <c r="J2144" s="87" t="s">
        <v>6499</v>
      </c>
      <c r="K2144" s="90">
        <v>0.0</v>
      </c>
      <c r="L2144" s="92"/>
      <c r="M2144" s="93"/>
      <c r="N2144" s="87" t="s">
        <v>2364</v>
      </c>
      <c r="O2144" s="87" t="s">
        <v>377</v>
      </c>
      <c r="P2144" s="87" t="s">
        <v>372</v>
      </c>
    </row>
    <row r="2145" ht="15.75" customHeight="1">
      <c r="A2145" s="87" t="s">
        <v>6500</v>
      </c>
      <c r="B2145" s="88">
        <v>1.22E18</v>
      </c>
      <c r="C2145" s="87" t="s">
        <v>6501</v>
      </c>
      <c r="D2145" s="87" t="s">
        <v>87</v>
      </c>
      <c r="E2145" s="87" t="s">
        <v>88</v>
      </c>
      <c r="F2145" s="87" t="s">
        <v>6501</v>
      </c>
      <c r="I2145" s="87" t="s">
        <v>58</v>
      </c>
      <c r="J2145" s="87" t="s">
        <v>6502</v>
      </c>
      <c r="K2145" s="90">
        <v>0.0</v>
      </c>
      <c r="L2145" s="92"/>
      <c r="M2145" s="93"/>
      <c r="N2145" s="87" t="s">
        <v>2364</v>
      </c>
      <c r="O2145" s="87" t="s">
        <v>377</v>
      </c>
      <c r="P2145" s="87" t="s">
        <v>372</v>
      </c>
    </row>
    <row r="2146" ht="15.75" customHeight="1">
      <c r="A2146" s="87" t="s">
        <v>6503</v>
      </c>
      <c r="B2146" s="88">
        <v>1.22E18</v>
      </c>
      <c r="C2146" s="87" t="s">
        <v>6504</v>
      </c>
      <c r="D2146" s="87" t="s">
        <v>87</v>
      </c>
      <c r="E2146" s="87" t="s">
        <v>88</v>
      </c>
      <c r="F2146" s="87" t="s">
        <v>6504</v>
      </c>
      <c r="I2146" s="87" t="s">
        <v>58</v>
      </c>
      <c r="J2146" s="87" t="s">
        <v>6505</v>
      </c>
      <c r="K2146" s="90">
        <v>0.0</v>
      </c>
      <c r="L2146" s="92"/>
      <c r="M2146" s="93"/>
      <c r="N2146" s="87" t="s">
        <v>2364</v>
      </c>
      <c r="O2146" s="87" t="s">
        <v>377</v>
      </c>
      <c r="P2146" s="87" t="s">
        <v>372</v>
      </c>
    </row>
    <row r="2147" ht="15.75" customHeight="1">
      <c r="A2147" s="87" t="s">
        <v>6506</v>
      </c>
      <c r="B2147" s="88">
        <v>1.22E18</v>
      </c>
      <c r="C2147" s="87" t="s">
        <v>6507</v>
      </c>
      <c r="D2147" s="87" t="s">
        <v>87</v>
      </c>
      <c r="E2147" s="87" t="s">
        <v>88</v>
      </c>
      <c r="F2147" s="87" t="s">
        <v>6507</v>
      </c>
      <c r="H2147" s="93"/>
      <c r="I2147" s="87" t="s">
        <v>58</v>
      </c>
      <c r="J2147" s="87" t="s">
        <v>6508</v>
      </c>
      <c r="K2147" s="90">
        <v>0.0</v>
      </c>
      <c r="L2147" s="92"/>
      <c r="M2147" s="93"/>
      <c r="N2147" s="87" t="s">
        <v>2364</v>
      </c>
      <c r="O2147" s="87" t="s">
        <v>377</v>
      </c>
      <c r="P2147" s="87" t="s">
        <v>372</v>
      </c>
    </row>
    <row r="2148" ht="15.75" customHeight="1">
      <c r="A2148" s="87" t="s">
        <v>6509</v>
      </c>
      <c r="B2148" s="88">
        <v>1.22E18</v>
      </c>
      <c r="C2148" s="87" t="s">
        <v>6510</v>
      </c>
      <c r="D2148" s="87" t="s">
        <v>87</v>
      </c>
      <c r="E2148" s="87" t="s">
        <v>88</v>
      </c>
      <c r="F2148" s="87" t="s">
        <v>6510</v>
      </c>
      <c r="H2148" s="93"/>
      <c r="I2148" s="87" t="s">
        <v>58</v>
      </c>
      <c r="J2148" s="87" t="s">
        <v>6511</v>
      </c>
      <c r="K2148" s="90">
        <v>0.0</v>
      </c>
      <c r="L2148" s="92"/>
      <c r="M2148" s="93"/>
      <c r="N2148" s="87" t="s">
        <v>2364</v>
      </c>
      <c r="O2148" s="87" t="s">
        <v>377</v>
      </c>
      <c r="P2148" s="87" t="s">
        <v>372</v>
      </c>
    </row>
    <row r="2149" ht="15.75" customHeight="1">
      <c r="A2149" s="87" t="s">
        <v>6512</v>
      </c>
      <c r="B2149" s="88">
        <v>1.22E18</v>
      </c>
      <c r="C2149" s="87" t="s">
        <v>6513</v>
      </c>
      <c r="D2149" s="87" t="s">
        <v>87</v>
      </c>
      <c r="E2149" s="87" t="s">
        <v>88</v>
      </c>
      <c r="F2149" s="87" t="s">
        <v>6513</v>
      </c>
      <c r="H2149" s="93"/>
      <c r="I2149" s="87" t="s">
        <v>58</v>
      </c>
      <c r="J2149" s="87" t="s">
        <v>6514</v>
      </c>
      <c r="K2149" s="90">
        <v>0.0</v>
      </c>
      <c r="L2149" s="92"/>
      <c r="M2149" s="93"/>
      <c r="N2149" s="87" t="s">
        <v>2364</v>
      </c>
      <c r="O2149" s="87" t="s">
        <v>377</v>
      </c>
      <c r="P2149" s="87" t="s">
        <v>372</v>
      </c>
    </row>
    <row r="2150" ht="15.75" customHeight="1">
      <c r="A2150" s="87" t="s">
        <v>6515</v>
      </c>
      <c r="B2150" s="88">
        <v>1.22E18</v>
      </c>
      <c r="C2150" s="87" t="s">
        <v>6516</v>
      </c>
      <c r="D2150" s="87" t="s">
        <v>87</v>
      </c>
      <c r="E2150" s="87" t="s">
        <v>88</v>
      </c>
      <c r="F2150" s="118" t="s">
        <v>6516</v>
      </c>
      <c r="G2150" s="130"/>
      <c r="H2150" s="119"/>
      <c r="I2150" s="87" t="s">
        <v>58</v>
      </c>
      <c r="J2150" s="87" t="s">
        <v>6517</v>
      </c>
      <c r="K2150" s="90">
        <v>0.0</v>
      </c>
      <c r="L2150" s="92"/>
      <c r="M2150" s="93"/>
      <c r="N2150" s="87" t="s">
        <v>2541</v>
      </c>
      <c r="O2150" s="87" t="s">
        <v>377</v>
      </c>
      <c r="P2150" s="87" t="s">
        <v>372</v>
      </c>
    </row>
    <row r="2151" ht="15.75" customHeight="1">
      <c r="A2151" s="87" t="s">
        <v>6518</v>
      </c>
      <c r="B2151" s="88">
        <v>1.22E18</v>
      </c>
      <c r="C2151" s="87" t="s">
        <v>6519</v>
      </c>
      <c r="D2151" s="87" t="s">
        <v>262</v>
      </c>
      <c r="E2151" s="87" t="s">
        <v>267</v>
      </c>
      <c r="F2151" s="87" t="s">
        <v>6519</v>
      </c>
      <c r="I2151" s="87" t="s">
        <v>58</v>
      </c>
      <c r="J2151" s="87" t="s">
        <v>6520</v>
      </c>
      <c r="K2151" s="90">
        <v>0.0</v>
      </c>
      <c r="L2151" s="92"/>
      <c r="M2151" s="93"/>
      <c r="N2151" s="87" t="s">
        <v>2541</v>
      </c>
      <c r="O2151" s="87" t="s">
        <v>377</v>
      </c>
      <c r="P2151" s="87" t="s">
        <v>372</v>
      </c>
    </row>
    <row r="2152" ht="15.75" customHeight="1">
      <c r="A2152" s="87" t="s">
        <v>6521</v>
      </c>
      <c r="B2152" s="88">
        <v>1.22E18</v>
      </c>
      <c r="C2152" s="87" t="s">
        <v>6522</v>
      </c>
      <c r="D2152" s="87" t="s">
        <v>262</v>
      </c>
      <c r="E2152" s="87" t="s">
        <v>267</v>
      </c>
      <c r="F2152" s="87" t="s">
        <v>6522</v>
      </c>
      <c r="I2152" s="87" t="s">
        <v>58</v>
      </c>
      <c r="J2152" s="87" t="s">
        <v>6523</v>
      </c>
      <c r="K2152" s="90">
        <v>0.0</v>
      </c>
      <c r="L2152" s="92"/>
      <c r="M2152" s="93"/>
      <c r="N2152" s="87" t="s">
        <v>2541</v>
      </c>
      <c r="O2152" s="87" t="s">
        <v>377</v>
      </c>
      <c r="P2152" s="87" t="s">
        <v>372</v>
      </c>
    </row>
    <row r="2153" ht="15.75" customHeight="1">
      <c r="A2153" s="87" t="s">
        <v>6524</v>
      </c>
      <c r="B2153" s="88">
        <v>1.22E18</v>
      </c>
      <c r="C2153" s="87" t="s">
        <v>6525</v>
      </c>
      <c r="D2153" s="87" t="s">
        <v>56</v>
      </c>
      <c r="E2153" s="87" t="s">
        <v>102</v>
      </c>
      <c r="F2153" s="87" t="s">
        <v>1763</v>
      </c>
      <c r="I2153" s="93"/>
      <c r="J2153" s="87" t="s">
        <v>1983</v>
      </c>
      <c r="K2153" s="90">
        <v>0.0</v>
      </c>
      <c r="L2153" s="92"/>
      <c r="M2153" s="93"/>
      <c r="N2153" s="87" t="s">
        <v>474</v>
      </c>
      <c r="O2153" s="87" t="s">
        <v>377</v>
      </c>
      <c r="P2153" s="87" t="s">
        <v>372</v>
      </c>
    </row>
    <row r="2154" ht="15.75" customHeight="1">
      <c r="A2154" s="87" t="s">
        <v>6526</v>
      </c>
      <c r="B2154" s="88">
        <v>1.22E18</v>
      </c>
      <c r="C2154" s="87" t="s">
        <v>6527</v>
      </c>
      <c r="D2154" s="87" t="s">
        <v>262</v>
      </c>
      <c r="E2154" s="87" t="s">
        <v>267</v>
      </c>
      <c r="F2154" s="118" t="s">
        <v>6527</v>
      </c>
      <c r="G2154" s="130"/>
      <c r="H2154" s="119"/>
      <c r="I2154" s="87" t="s">
        <v>58</v>
      </c>
      <c r="J2154" s="87" t="s">
        <v>5820</v>
      </c>
      <c r="K2154" s="90">
        <v>0.0</v>
      </c>
      <c r="L2154" s="92"/>
      <c r="M2154" s="93"/>
      <c r="N2154" s="87" t="s">
        <v>1772</v>
      </c>
      <c r="O2154" s="87" t="s">
        <v>377</v>
      </c>
      <c r="P2154" s="87" t="s">
        <v>372</v>
      </c>
    </row>
    <row r="2155" ht="15.75" customHeight="1">
      <c r="A2155" s="87" t="s">
        <v>6528</v>
      </c>
      <c r="B2155" s="88">
        <v>1.22E18</v>
      </c>
      <c r="C2155" s="87" t="s">
        <v>6529</v>
      </c>
      <c r="D2155" s="87" t="s">
        <v>262</v>
      </c>
      <c r="E2155" s="87" t="s">
        <v>267</v>
      </c>
      <c r="F2155" s="87" t="s">
        <v>6529</v>
      </c>
      <c r="I2155" s="87" t="s">
        <v>58</v>
      </c>
      <c r="J2155" s="87" t="s">
        <v>6530</v>
      </c>
      <c r="K2155" s="90">
        <v>0.0</v>
      </c>
      <c r="L2155" s="92"/>
      <c r="M2155" s="93"/>
      <c r="N2155" s="87" t="s">
        <v>3202</v>
      </c>
      <c r="O2155" s="87" t="s">
        <v>377</v>
      </c>
      <c r="P2155" s="87" t="s">
        <v>372</v>
      </c>
    </row>
    <row r="2156" ht="15.75" customHeight="1">
      <c r="A2156" s="87" t="s">
        <v>6531</v>
      </c>
      <c r="B2156" s="88">
        <v>1.22E18</v>
      </c>
      <c r="C2156" s="87" t="s">
        <v>6532</v>
      </c>
      <c r="D2156" s="87" t="s">
        <v>262</v>
      </c>
      <c r="E2156" s="87" t="s">
        <v>267</v>
      </c>
      <c r="F2156" s="87" t="s">
        <v>6532</v>
      </c>
      <c r="I2156" s="87" t="s">
        <v>58</v>
      </c>
      <c r="J2156" s="87" t="s">
        <v>6533</v>
      </c>
      <c r="K2156" s="90">
        <v>0.0</v>
      </c>
      <c r="L2156" s="92"/>
      <c r="M2156" s="93"/>
      <c r="N2156" s="87" t="s">
        <v>3202</v>
      </c>
      <c r="O2156" s="87" t="s">
        <v>377</v>
      </c>
      <c r="P2156" s="87" t="s">
        <v>372</v>
      </c>
    </row>
    <row r="2157" ht="15.75" customHeight="1">
      <c r="A2157" s="87" t="s">
        <v>6534</v>
      </c>
      <c r="B2157" s="88">
        <v>1.22E18</v>
      </c>
      <c r="C2157" s="87" t="s">
        <v>6535</v>
      </c>
      <c r="D2157" s="87" t="s">
        <v>262</v>
      </c>
      <c r="E2157" s="87" t="s">
        <v>267</v>
      </c>
      <c r="F2157" s="87" t="s">
        <v>6535</v>
      </c>
      <c r="I2157" s="87" t="s">
        <v>58</v>
      </c>
      <c r="J2157" s="87" t="s">
        <v>5208</v>
      </c>
      <c r="K2157" s="90">
        <v>0.0</v>
      </c>
      <c r="L2157" s="92"/>
      <c r="M2157" s="93"/>
      <c r="N2157" s="87" t="s">
        <v>3202</v>
      </c>
      <c r="O2157" s="87" t="s">
        <v>377</v>
      </c>
      <c r="P2157" s="87" t="s">
        <v>372</v>
      </c>
    </row>
    <row r="2158" ht="15.75" customHeight="1">
      <c r="A2158" s="87" t="s">
        <v>6536</v>
      </c>
      <c r="B2158" s="88">
        <v>1.22E18</v>
      </c>
      <c r="C2158" s="87" t="s">
        <v>6537</v>
      </c>
      <c r="D2158" s="87" t="s">
        <v>262</v>
      </c>
      <c r="E2158" s="87" t="s">
        <v>267</v>
      </c>
      <c r="F2158" s="87" t="s">
        <v>1749</v>
      </c>
      <c r="H2158" s="93"/>
      <c r="I2158" s="87" t="s">
        <v>58</v>
      </c>
      <c r="J2158" s="87" t="s">
        <v>6538</v>
      </c>
      <c r="K2158" s="90">
        <v>0.0</v>
      </c>
      <c r="L2158" s="92"/>
      <c r="M2158" s="93"/>
      <c r="N2158" s="87" t="s">
        <v>3202</v>
      </c>
      <c r="O2158" s="87" t="s">
        <v>377</v>
      </c>
      <c r="P2158" s="87" t="s">
        <v>372</v>
      </c>
    </row>
    <row r="2159" ht="15.75" customHeight="1">
      <c r="A2159" s="87" t="s">
        <v>6539</v>
      </c>
      <c r="B2159" s="88">
        <v>1.22E18</v>
      </c>
      <c r="C2159" s="87" t="s">
        <v>6540</v>
      </c>
      <c r="D2159" s="87" t="s">
        <v>262</v>
      </c>
      <c r="E2159" s="87" t="s">
        <v>267</v>
      </c>
      <c r="F2159" s="87" t="s">
        <v>1749</v>
      </c>
      <c r="H2159" s="93"/>
      <c r="I2159" s="87" t="s">
        <v>58</v>
      </c>
      <c r="J2159" s="87" t="s">
        <v>6541</v>
      </c>
      <c r="K2159" s="90">
        <v>0.0</v>
      </c>
      <c r="L2159" s="92"/>
      <c r="M2159" s="93"/>
      <c r="N2159" s="87" t="s">
        <v>3202</v>
      </c>
      <c r="O2159" s="87" t="s">
        <v>377</v>
      </c>
      <c r="P2159" s="87" t="s">
        <v>372</v>
      </c>
    </row>
    <row r="2160" ht="15.75" customHeight="1">
      <c r="A2160" s="87" t="s">
        <v>6542</v>
      </c>
      <c r="B2160" s="88">
        <v>1.22E18</v>
      </c>
      <c r="C2160" s="87" t="s">
        <v>6543</v>
      </c>
      <c r="D2160" s="87" t="s">
        <v>262</v>
      </c>
      <c r="E2160" s="87" t="s">
        <v>267</v>
      </c>
      <c r="F2160" s="87" t="s">
        <v>6543</v>
      </c>
      <c r="I2160" s="87" t="s">
        <v>58</v>
      </c>
      <c r="J2160" s="87" t="s">
        <v>4477</v>
      </c>
      <c r="K2160" s="90">
        <v>0.0</v>
      </c>
      <c r="L2160" s="92"/>
      <c r="M2160" s="93"/>
      <c r="N2160" s="87" t="s">
        <v>3202</v>
      </c>
      <c r="O2160" s="87" t="s">
        <v>377</v>
      </c>
      <c r="P2160" s="87" t="s">
        <v>372</v>
      </c>
    </row>
    <row r="2161" ht="15.75" customHeight="1">
      <c r="A2161" s="87" t="s">
        <v>6544</v>
      </c>
      <c r="B2161" s="88">
        <v>1.22E18</v>
      </c>
      <c r="C2161" s="87" t="s">
        <v>6545</v>
      </c>
      <c r="D2161" s="87" t="s">
        <v>262</v>
      </c>
      <c r="E2161" s="87" t="s">
        <v>267</v>
      </c>
      <c r="F2161" s="87" t="s">
        <v>6545</v>
      </c>
      <c r="I2161" s="87" t="s">
        <v>58</v>
      </c>
      <c r="J2161" s="87" t="s">
        <v>6546</v>
      </c>
      <c r="K2161" s="90">
        <v>0.0</v>
      </c>
      <c r="L2161" s="92"/>
      <c r="M2161" s="93"/>
      <c r="N2161" s="87" t="s">
        <v>3202</v>
      </c>
      <c r="O2161" s="87" t="s">
        <v>377</v>
      </c>
      <c r="P2161" s="87" t="s">
        <v>372</v>
      </c>
    </row>
    <row r="2162" ht="15.75" customHeight="1">
      <c r="A2162" s="87" t="s">
        <v>6547</v>
      </c>
      <c r="B2162" s="88">
        <v>1.22E18</v>
      </c>
      <c r="C2162" s="87" t="s">
        <v>6548</v>
      </c>
      <c r="D2162" s="87" t="s">
        <v>262</v>
      </c>
      <c r="E2162" s="87" t="s">
        <v>267</v>
      </c>
      <c r="F2162" s="87" t="s">
        <v>6548</v>
      </c>
      <c r="I2162" s="87" t="s">
        <v>58</v>
      </c>
      <c r="J2162" s="87" t="s">
        <v>6549</v>
      </c>
      <c r="K2162" s="90">
        <v>0.0</v>
      </c>
      <c r="L2162" s="92"/>
      <c r="M2162" s="93"/>
      <c r="N2162" s="87" t="s">
        <v>3202</v>
      </c>
      <c r="O2162" s="87" t="s">
        <v>377</v>
      </c>
      <c r="P2162" s="87" t="s">
        <v>372</v>
      </c>
    </row>
    <row r="2163" ht="15.75" customHeight="1">
      <c r="A2163" s="87" t="s">
        <v>6550</v>
      </c>
      <c r="B2163" s="88">
        <v>1.22E18</v>
      </c>
      <c r="C2163" s="87" t="s">
        <v>6551</v>
      </c>
      <c r="D2163" s="87" t="s">
        <v>262</v>
      </c>
      <c r="E2163" s="87" t="s">
        <v>267</v>
      </c>
      <c r="F2163" s="87" t="s">
        <v>6551</v>
      </c>
      <c r="I2163" s="87" t="s">
        <v>58</v>
      </c>
      <c r="J2163" s="87" t="s">
        <v>6552</v>
      </c>
      <c r="K2163" s="90">
        <v>0.0</v>
      </c>
      <c r="L2163" s="92"/>
      <c r="M2163" s="93"/>
      <c r="N2163" s="87" t="s">
        <v>3202</v>
      </c>
      <c r="O2163" s="87" t="s">
        <v>377</v>
      </c>
      <c r="P2163" s="87" t="s">
        <v>372</v>
      </c>
    </row>
    <row r="2164" ht="15.75" customHeight="1">
      <c r="A2164" s="87" t="s">
        <v>6553</v>
      </c>
      <c r="B2164" s="88">
        <v>1.22E18</v>
      </c>
      <c r="C2164" s="87" t="s">
        <v>6554</v>
      </c>
      <c r="D2164" s="87" t="s">
        <v>262</v>
      </c>
      <c r="E2164" s="87" t="s">
        <v>267</v>
      </c>
      <c r="F2164" s="87" t="s">
        <v>6554</v>
      </c>
      <c r="I2164" s="87" t="s">
        <v>58</v>
      </c>
      <c r="J2164" s="87" t="s">
        <v>6555</v>
      </c>
      <c r="K2164" s="90">
        <v>0.0</v>
      </c>
      <c r="L2164" s="92"/>
      <c r="M2164" s="93"/>
      <c r="N2164" s="87" t="s">
        <v>3202</v>
      </c>
      <c r="O2164" s="87" t="s">
        <v>377</v>
      </c>
      <c r="P2164" s="87" t="s">
        <v>372</v>
      </c>
    </row>
    <row r="2165" ht="15.75" customHeight="1">
      <c r="A2165" s="87" t="s">
        <v>6556</v>
      </c>
      <c r="B2165" s="88">
        <v>1.22E18</v>
      </c>
      <c r="C2165" s="87" t="s">
        <v>6557</v>
      </c>
      <c r="D2165" s="87" t="s">
        <v>262</v>
      </c>
      <c r="E2165" s="87" t="s">
        <v>267</v>
      </c>
      <c r="F2165" s="87" t="s">
        <v>6557</v>
      </c>
      <c r="I2165" s="87" t="s">
        <v>58</v>
      </c>
      <c r="J2165" s="87" t="s">
        <v>6558</v>
      </c>
      <c r="K2165" s="90">
        <v>0.0</v>
      </c>
      <c r="L2165" s="92"/>
      <c r="M2165" s="93"/>
      <c r="N2165" s="87" t="s">
        <v>3202</v>
      </c>
      <c r="O2165" s="87" t="s">
        <v>377</v>
      </c>
      <c r="P2165" s="87" t="s">
        <v>372</v>
      </c>
    </row>
    <row r="2166" ht="15.75" customHeight="1">
      <c r="A2166" s="87" t="s">
        <v>6559</v>
      </c>
      <c r="B2166" s="88">
        <v>1.22E18</v>
      </c>
      <c r="C2166" s="87" t="s">
        <v>6560</v>
      </c>
      <c r="D2166" s="87" t="s">
        <v>87</v>
      </c>
      <c r="E2166" s="87" t="s">
        <v>102</v>
      </c>
      <c r="F2166" s="118" t="s">
        <v>6560</v>
      </c>
      <c r="G2166" s="130"/>
      <c r="H2166" s="119"/>
      <c r="I2166" s="87" t="s">
        <v>58</v>
      </c>
      <c r="J2166" s="87" t="s">
        <v>6561</v>
      </c>
      <c r="K2166" s="90">
        <v>0.0</v>
      </c>
      <c r="L2166" s="92"/>
      <c r="M2166" s="93"/>
      <c r="N2166" s="87" t="s">
        <v>1772</v>
      </c>
      <c r="O2166" s="87" t="s">
        <v>377</v>
      </c>
      <c r="P2166" s="87" t="s">
        <v>372</v>
      </c>
    </row>
    <row r="2167" ht="15.75" customHeight="1">
      <c r="A2167" s="87" t="s">
        <v>6562</v>
      </c>
      <c r="B2167" s="88">
        <v>1.22E18</v>
      </c>
      <c r="C2167" s="87" t="s">
        <v>6563</v>
      </c>
      <c r="D2167" s="87" t="s">
        <v>262</v>
      </c>
      <c r="E2167" s="87" t="s">
        <v>263</v>
      </c>
      <c r="F2167" s="87" t="s">
        <v>415</v>
      </c>
      <c r="G2167" s="93"/>
      <c r="H2167" s="93"/>
      <c r="I2167" s="87" t="s">
        <v>58</v>
      </c>
      <c r="J2167" s="87" t="s">
        <v>6564</v>
      </c>
      <c r="K2167" s="90">
        <v>3.0</v>
      </c>
      <c r="L2167" s="92"/>
      <c r="M2167" s="93"/>
      <c r="N2167" s="87" t="s">
        <v>6565</v>
      </c>
      <c r="O2167" s="87" t="s">
        <v>377</v>
      </c>
      <c r="P2167" s="87" t="s">
        <v>372</v>
      </c>
    </row>
    <row r="2168" ht="15.75" customHeight="1">
      <c r="A2168" s="87" t="s">
        <v>6566</v>
      </c>
      <c r="B2168" s="88">
        <v>1.22E18</v>
      </c>
      <c r="C2168" s="87" t="s">
        <v>6567</v>
      </c>
      <c r="D2168" s="87" t="s">
        <v>87</v>
      </c>
      <c r="E2168" s="87" t="s">
        <v>88</v>
      </c>
      <c r="F2168" s="87" t="s">
        <v>6567</v>
      </c>
      <c r="H2168" s="93"/>
      <c r="I2168" s="87" t="s">
        <v>58</v>
      </c>
      <c r="J2168" s="87" t="s">
        <v>6568</v>
      </c>
      <c r="K2168" s="90">
        <v>0.0</v>
      </c>
      <c r="L2168" s="92"/>
      <c r="M2168" s="93"/>
      <c r="N2168" s="87" t="s">
        <v>6306</v>
      </c>
      <c r="O2168" s="87" t="s">
        <v>377</v>
      </c>
      <c r="P2168" s="87" t="s">
        <v>372</v>
      </c>
    </row>
    <row r="2169" ht="15.75" customHeight="1">
      <c r="A2169" s="87" t="s">
        <v>6569</v>
      </c>
      <c r="B2169" s="88">
        <v>1.22E18</v>
      </c>
      <c r="C2169" s="87" t="s">
        <v>6570</v>
      </c>
      <c r="D2169" s="87" t="s">
        <v>262</v>
      </c>
      <c r="E2169" s="87" t="s">
        <v>263</v>
      </c>
      <c r="F2169" s="87" t="s">
        <v>415</v>
      </c>
      <c r="G2169" s="93"/>
      <c r="H2169" s="93"/>
      <c r="I2169" s="87" t="s">
        <v>58</v>
      </c>
      <c r="J2169" s="87" t="s">
        <v>6571</v>
      </c>
      <c r="K2169" s="90">
        <v>2.0</v>
      </c>
      <c r="L2169" s="92"/>
      <c r="M2169" s="93"/>
      <c r="N2169" s="93"/>
      <c r="O2169" s="87" t="s">
        <v>377</v>
      </c>
      <c r="P2169" s="87" t="s">
        <v>372</v>
      </c>
    </row>
    <row r="2170" ht="15.75" customHeight="1">
      <c r="A2170" s="87" t="s">
        <v>6572</v>
      </c>
      <c r="B2170" s="88">
        <v>1.22E18</v>
      </c>
      <c r="C2170" s="87" t="s">
        <v>6573</v>
      </c>
      <c r="D2170" s="87" t="s">
        <v>262</v>
      </c>
      <c r="E2170" s="87" t="s">
        <v>263</v>
      </c>
      <c r="F2170" s="87" t="s">
        <v>415</v>
      </c>
      <c r="G2170" s="93"/>
      <c r="H2170" s="93"/>
      <c r="I2170" s="87" t="s">
        <v>58</v>
      </c>
      <c r="J2170" s="87" t="s">
        <v>6574</v>
      </c>
      <c r="K2170" s="90">
        <v>1.0</v>
      </c>
      <c r="L2170" s="92"/>
      <c r="M2170" s="93"/>
      <c r="N2170" s="87" t="s">
        <v>1772</v>
      </c>
      <c r="O2170" s="87" t="s">
        <v>377</v>
      </c>
      <c r="P2170" s="87" t="s">
        <v>372</v>
      </c>
    </row>
    <row r="2171" ht="15.75" customHeight="1">
      <c r="A2171" s="87" t="s">
        <v>6575</v>
      </c>
      <c r="B2171" s="88">
        <v>1.22E18</v>
      </c>
      <c r="C2171" s="87" t="s">
        <v>6576</v>
      </c>
      <c r="D2171" s="87" t="s">
        <v>57</v>
      </c>
      <c r="E2171" s="87" t="s">
        <v>287</v>
      </c>
      <c r="F2171" s="118" t="s">
        <v>6576</v>
      </c>
      <c r="G2171" s="130"/>
      <c r="H2171" s="119"/>
      <c r="I2171" s="87" t="s">
        <v>58</v>
      </c>
      <c r="J2171" s="87" t="s">
        <v>6577</v>
      </c>
      <c r="K2171" s="90">
        <v>0.0</v>
      </c>
      <c r="L2171" s="92"/>
      <c r="M2171" s="93"/>
      <c r="N2171" s="87" t="s">
        <v>1772</v>
      </c>
      <c r="O2171" s="87" t="s">
        <v>377</v>
      </c>
      <c r="P2171" s="87" t="s">
        <v>372</v>
      </c>
    </row>
    <row r="2172" ht="15.75" customHeight="1">
      <c r="A2172" s="87" t="s">
        <v>6578</v>
      </c>
      <c r="B2172" s="88">
        <v>1.22E18</v>
      </c>
      <c r="C2172" s="87" t="s">
        <v>6579</v>
      </c>
      <c r="D2172" s="87" t="s">
        <v>262</v>
      </c>
      <c r="E2172" s="87" t="s">
        <v>263</v>
      </c>
      <c r="F2172" s="87" t="s">
        <v>415</v>
      </c>
      <c r="G2172" s="93"/>
      <c r="H2172" s="93"/>
      <c r="I2172" s="87" t="s">
        <v>58</v>
      </c>
      <c r="J2172" s="87" t="s">
        <v>6580</v>
      </c>
      <c r="K2172" s="90">
        <v>0.0</v>
      </c>
      <c r="L2172" s="92"/>
      <c r="M2172" s="93"/>
      <c r="N2172" s="87" t="s">
        <v>1772</v>
      </c>
      <c r="O2172" s="87" t="s">
        <v>377</v>
      </c>
      <c r="P2172" s="87" t="s">
        <v>372</v>
      </c>
    </row>
    <row r="2173" ht="15.75" customHeight="1">
      <c r="A2173" s="87" t="s">
        <v>6581</v>
      </c>
      <c r="B2173" s="88">
        <v>1.22E18</v>
      </c>
      <c r="C2173" s="87" t="s">
        <v>6582</v>
      </c>
      <c r="D2173" s="87" t="s">
        <v>262</v>
      </c>
      <c r="E2173" s="87" t="s">
        <v>267</v>
      </c>
      <c r="F2173" s="87" t="s">
        <v>6582</v>
      </c>
      <c r="I2173" s="87" t="s">
        <v>58</v>
      </c>
      <c r="J2173" s="87" t="s">
        <v>6583</v>
      </c>
      <c r="K2173" s="90">
        <v>0.0</v>
      </c>
      <c r="L2173" s="92"/>
      <c r="M2173" s="93"/>
      <c r="N2173" s="87" t="s">
        <v>1729</v>
      </c>
      <c r="O2173" s="87" t="s">
        <v>377</v>
      </c>
      <c r="P2173" s="87" t="s">
        <v>372</v>
      </c>
    </row>
    <row r="2174" ht="15.75" customHeight="1">
      <c r="A2174" s="87" t="s">
        <v>6584</v>
      </c>
      <c r="B2174" s="88">
        <v>1.22E18</v>
      </c>
      <c r="C2174" s="87" t="s">
        <v>6585</v>
      </c>
      <c r="D2174" s="87" t="s">
        <v>262</v>
      </c>
      <c r="E2174" s="87" t="s">
        <v>267</v>
      </c>
      <c r="F2174" s="87" t="s">
        <v>6585</v>
      </c>
      <c r="I2174" s="87" t="s">
        <v>58</v>
      </c>
      <c r="J2174" s="87" t="s">
        <v>6586</v>
      </c>
      <c r="K2174" s="90">
        <v>0.0</v>
      </c>
      <c r="L2174" s="92"/>
      <c r="M2174" s="93"/>
      <c r="N2174" s="87" t="s">
        <v>1729</v>
      </c>
      <c r="O2174" s="87" t="s">
        <v>377</v>
      </c>
      <c r="P2174" s="87" t="s">
        <v>372</v>
      </c>
    </row>
    <row r="2175" ht="15.75" customHeight="1">
      <c r="A2175" s="87" t="s">
        <v>6587</v>
      </c>
      <c r="B2175" s="88">
        <v>1.22E18</v>
      </c>
      <c r="C2175" s="87" t="s">
        <v>6588</v>
      </c>
      <c r="D2175" s="87" t="s">
        <v>262</v>
      </c>
      <c r="E2175" s="87" t="s">
        <v>267</v>
      </c>
      <c r="F2175" s="118" t="s">
        <v>6588</v>
      </c>
      <c r="G2175" s="130"/>
      <c r="H2175" s="119"/>
      <c r="I2175" s="87" t="s">
        <v>58</v>
      </c>
      <c r="J2175" s="87" t="s">
        <v>6589</v>
      </c>
      <c r="K2175" s="90">
        <v>0.0</v>
      </c>
      <c r="L2175" s="92"/>
      <c r="M2175" s="93"/>
      <c r="N2175" s="87" t="s">
        <v>1729</v>
      </c>
      <c r="O2175" s="87" t="s">
        <v>377</v>
      </c>
      <c r="P2175" s="87" t="s">
        <v>372</v>
      </c>
    </row>
    <row r="2176" ht="15.75" customHeight="1">
      <c r="A2176" s="87" t="s">
        <v>6590</v>
      </c>
      <c r="B2176" s="88">
        <v>1.22E18</v>
      </c>
      <c r="C2176" s="87" t="s">
        <v>6591</v>
      </c>
      <c r="D2176" s="87" t="s">
        <v>262</v>
      </c>
      <c r="E2176" s="87" t="s">
        <v>267</v>
      </c>
      <c r="F2176" s="87" t="s">
        <v>6591</v>
      </c>
      <c r="I2176" s="87" t="s">
        <v>58</v>
      </c>
      <c r="J2176" s="87" t="s">
        <v>6592</v>
      </c>
      <c r="K2176" s="90">
        <v>0.0</v>
      </c>
      <c r="L2176" s="92"/>
      <c r="M2176" s="93"/>
      <c r="N2176" s="87" t="s">
        <v>1729</v>
      </c>
      <c r="O2176" s="87" t="s">
        <v>377</v>
      </c>
      <c r="P2176" s="87" t="s">
        <v>372</v>
      </c>
    </row>
    <row r="2177" ht="15.75" customHeight="1">
      <c r="A2177" s="87" t="s">
        <v>6593</v>
      </c>
      <c r="B2177" s="88">
        <v>1.22E18</v>
      </c>
      <c r="C2177" s="87" t="s">
        <v>6594</v>
      </c>
      <c r="D2177" s="87" t="s">
        <v>262</v>
      </c>
      <c r="E2177" s="87" t="s">
        <v>267</v>
      </c>
      <c r="F2177" s="87" t="s">
        <v>6594</v>
      </c>
      <c r="I2177" s="87" t="s">
        <v>58</v>
      </c>
      <c r="J2177" s="87" t="s">
        <v>6595</v>
      </c>
      <c r="K2177" s="90">
        <v>0.0</v>
      </c>
      <c r="L2177" s="92"/>
      <c r="M2177" s="93"/>
      <c r="N2177" s="87" t="s">
        <v>1729</v>
      </c>
      <c r="O2177" s="87" t="s">
        <v>377</v>
      </c>
      <c r="P2177" s="87" t="s">
        <v>372</v>
      </c>
    </row>
    <row r="2178" ht="15.75" customHeight="1">
      <c r="A2178" s="87" t="s">
        <v>6596</v>
      </c>
      <c r="B2178" s="88">
        <v>1.22E18</v>
      </c>
      <c r="C2178" s="87" t="s">
        <v>6597</v>
      </c>
      <c r="D2178" s="87" t="s">
        <v>57</v>
      </c>
      <c r="E2178" s="87" t="s">
        <v>287</v>
      </c>
      <c r="F2178" s="87" t="s">
        <v>6597</v>
      </c>
      <c r="I2178" s="87" t="s">
        <v>58</v>
      </c>
      <c r="J2178" s="87" t="s">
        <v>6598</v>
      </c>
      <c r="K2178" s="90">
        <v>0.0</v>
      </c>
      <c r="L2178" s="92"/>
      <c r="M2178" s="93"/>
      <c r="N2178" s="87" t="s">
        <v>1729</v>
      </c>
      <c r="O2178" s="87" t="s">
        <v>377</v>
      </c>
      <c r="P2178" s="87" t="s">
        <v>372</v>
      </c>
    </row>
    <row r="2179" ht="15.75" customHeight="1">
      <c r="A2179" s="87" t="s">
        <v>6599</v>
      </c>
      <c r="B2179" s="88">
        <v>1.22E18</v>
      </c>
      <c r="C2179" s="87" t="s">
        <v>6600</v>
      </c>
      <c r="D2179" s="87" t="s">
        <v>57</v>
      </c>
      <c r="E2179" s="87" t="s">
        <v>284</v>
      </c>
      <c r="F2179" s="87" t="s">
        <v>6600</v>
      </c>
      <c r="I2179" s="87" t="s">
        <v>1742</v>
      </c>
      <c r="J2179" s="87" t="s">
        <v>4240</v>
      </c>
      <c r="K2179" s="90">
        <v>0.0</v>
      </c>
      <c r="L2179" s="92"/>
      <c r="M2179" s="93"/>
      <c r="N2179" s="87" t="s">
        <v>3072</v>
      </c>
      <c r="O2179" s="87" t="s">
        <v>377</v>
      </c>
      <c r="P2179" s="87" t="s">
        <v>372</v>
      </c>
    </row>
    <row r="2180" ht="15.75" customHeight="1">
      <c r="A2180" s="87" t="s">
        <v>6601</v>
      </c>
      <c r="B2180" s="88">
        <v>1.22E18</v>
      </c>
      <c r="C2180" s="87" t="s">
        <v>6602</v>
      </c>
      <c r="D2180" s="87" t="s">
        <v>87</v>
      </c>
      <c r="E2180" s="87" t="s">
        <v>88</v>
      </c>
      <c r="F2180" s="87" t="s">
        <v>6602</v>
      </c>
      <c r="I2180" s="87" t="s">
        <v>3984</v>
      </c>
      <c r="J2180" s="87" t="s">
        <v>6603</v>
      </c>
      <c r="K2180" s="90">
        <v>0.0</v>
      </c>
      <c r="L2180" s="92"/>
      <c r="M2180" s="93"/>
      <c r="N2180" s="93"/>
      <c r="O2180" s="87" t="s">
        <v>377</v>
      </c>
      <c r="P2180" s="87" t="s">
        <v>372</v>
      </c>
    </row>
    <row r="2181" ht="15.75" customHeight="1">
      <c r="A2181" s="87" t="s">
        <v>6604</v>
      </c>
      <c r="B2181" s="88">
        <v>1.22E18</v>
      </c>
      <c r="C2181" s="87" t="s">
        <v>6605</v>
      </c>
      <c r="D2181" s="87" t="s">
        <v>87</v>
      </c>
      <c r="E2181" s="87" t="s">
        <v>88</v>
      </c>
      <c r="F2181" s="87" t="s">
        <v>6605</v>
      </c>
      <c r="I2181" s="87" t="s">
        <v>58</v>
      </c>
      <c r="J2181" s="87" t="s">
        <v>6606</v>
      </c>
      <c r="K2181" s="90">
        <v>0.0</v>
      </c>
      <c r="L2181" s="92"/>
      <c r="M2181" s="93"/>
      <c r="N2181" s="93"/>
      <c r="O2181" s="87" t="s">
        <v>377</v>
      </c>
      <c r="P2181" s="87" t="s">
        <v>372</v>
      </c>
    </row>
    <row r="2182" ht="15.75" customHeight="1">
      <c r="A2182" s="87" t="s">
        <v>6607</v>
      </c>
      <c r="B2182" s="88">
        <v>1.22E18</v>
      </c>
      <c r="C2182" s="87" t="s">
        <v>6608</v>
      </c>
      <c r="D2182" s="87" t="s">
        <v>87</v>
      </c>
      <c r="E2182" s="87" t="s">
        <v>88</v>
      </c>
      <c r="F2182" s="87" t="s">
        <v>373</v>
      </c>
      <c r="H2182" s="93"/>
      <c r="I2182" s="87" t="s">
        <v>340</v>
      </c>
      <c r="J2182" s="87" t="s">
        <v>6609</v>
      </c>
      <c r="K2182" s="90">
        <v>20000.0</v>
      </c>
      <c r="L2182" s="92"/>
      <c r="M2182" s="93"/>
      <c r="N2182" s="87" t="s">
        <v>390</v>
      </c>
      <c r="O2182" s="87" t="s">
        <v>377</v>
      </c>
      <c r="P2182" s="87" t="s">
        <v>372</v>
      </c>
    </row>
    <row r="2183" ht="15.75" customHeight="1">
      <c r="A2183" s="87" t="s">
        <v>6610</v>
      </c>
      <c r="B2183" s="88">
        <v>1.22E18</v>
      </c>
      <c r="C2183" s="87" t="s">
        <v>6611</v>
      </c>
      <c r="D2183" s="87" t="s">
        <v>87</v>
      </c>
      <c r="E2183" s="87" t="s">
        <v>88</v>
      </c>
      <c r="F2183" s="118" t="s">
        <v>6611</v>
      </c>
      <c r="G2183" s="130"/>
      <c r="H2183" s="119"/>
      <c r="I2183" s="87" t="s">
        <v>315</v>
      </c>
      <c r="J2183" s="87" t="s">
        <v>6612</v>
      </c>
      <c r="K2183" s="90">
        <v>250000.0</v>
      </c>
      <c r="L2183" s="92"/>
      <c r="M2183" s="93"/>
      <c r="N2183" s="87" t="s">
        <v>474</v>
      </c>
      <c r="O2183" s="87" t="s">
        <v>377</v>
      </c>
      <c r="P2183" s="87" t="s">
        <v>372</v>
      </c>
    </row>
    <row r="2184" ht="15.75" customHeight="1">
      <c r="A2184" s="87" t="s">
        <v>6613</v>
      </c>
      <c r="B2184" s="88">
        <v>1.22E18</v>
      </c>
      <c r="C2184" s="87" t="s">
        <v>6614</v>
      </c>
      <c r="D2184" s="87" t="s">
        <v>56</v>
      </c>
      <c r="E2184" s="87" t="s">
        <v>142</v>
      </c>
      <c r="F2184" s="87" t="s">
        <v>6614</v>
      </c>
      <c r="I2184" s="87" t="s">
        <v>58</v>
      </c>
      <c r="J2184" s="87" t="s">
        <v>6615</v>
      </c>
      <c r="K2184" s="90">
        <v>0.0</v>
      </c>
      <c r="L2184" s="92"/>
      <c r="M2184" s="93"/>
      <c r="N2184" s="87" t="s">
        <v>1772</v>
      </c>
      <c r="O2184" s="87" t="s">
        <v>377</v>
      </c>
      <c r="P2184" s="87" t="s">
        <v>372</v>
      </c>
    </row>
    <row r="2185" ht="15.75" customHeight="1">
      <c r="A2185" s="87" t="s">
        <v>6616</v>
      </c>
      <c r="B2185" s="88">
        <v>1.22E18</v>
      </c>
      <c r="C2185" s="87" t="s">
        <v>6617</v>
      </c>
      <c r="D2185" s="87" t="s">
        <v>87</v>
      </c>
      <c r="E2185" s="87" t="s">
        <v>88</v>
      </c>
      <c r="F2185" s="118" t="s">
        <v>6617</v>
      </c>
      <c r="G2185" s="130"/>
      <c r="H2185" s="119"/>
      <c r="I2185" s="87" t="s">
        <v>58</v>
      </c>
      <c r="J2185" s="87" t="s">
        <v>3269</v>
      </c>
      <c r="K2185" s="90">
        <v>0.0</v>
      </c>
      <c r="L2185" s="92"/>
      <c r="M2185" s="93"/>
      <c r="N2185" s="87" t="s">
        <v>1772</v>
      </c>
      <c r="O2185" s="87" t="s">
        <v>377</v>
      </c>
      <c r="P2185" s="87" t="s">
        <v>372</v>
      </c>
    </row>
    <row r="2186" ht="15.75" customHeight="1">
      <c r="A2186" s="87" t="s">
        <v>6618</v>
      </c>
      <c r="B2186" s="88">
        <v>1.22E18</v>
      </c>
      <c r="C2186" s="87" t="s">
        <v>6619</v>
      </c>
      <c r="D2186" s="87" t="s">
        <v>56</v>
      </c>
      <c r="E2186" s="87" t="s">
        <v>142</v>
      </c>
      <c r="F2186" s="87" t="s">
        <v>6619</v>
      </c>
      <c r="I2186" s="87" t="s">
        <v>58</v>
      </c>
      <c r="J2186" s="87" t="s">
        <v>6620</v>
      </c>
      <c r="K2186" s="90">
        <v>0.0</v>
      </c>
      <c r="L2186" s="92"/>
      <c r="M2186" s="93"/>
      <c r="N2186" s="93"/>
      <c r="O2186" s="87" t="s">
        <v>377</v>
      </c>
      <c r="P2186" s="87" t="s">
        <v>372</v>
      </c>
    </row>
    <row r="2187" ht="15.75" customHeight="1">
      <c r="A2187" s="87" t="s">
        <v>6621</v>
      </c>
      <c r="B2187" s="88">
        <v>1.22E18</v>
      </c>
      <c r="C2187" s="87" t="s">
        <v>6622</v>
      </c>
      <c r="D2187" s="87" t="s">
        <v>87</v>
      </c>
      <c r="E2187" s="87" t="s">
        <v>88</v>
      </c>
      <c r="F2187" s="87" t="s">
        <v>6622</v>
      </c>
      <c r="I2187" s="87" t="s">
        <v>315</v>
      </c>
      <c r="J2187" s="87" t="s">
        <v>934</v>
      </c>
      <c r="K2187" s="90">
        <v>400000.0</v>
      </c>
      <c r="L2187" s="92"/>
      <c r="M2187" s="93"/>
      <c r="N2187" s="87" t="s">
        <v>4427</v>
      </c>
      <c r="O2187" s="87" t="s">
        <v>377</v>
      </c>
      <c r="P2187" s="87" t="s">
        <v>372</v>
      </c>
    </row>
    <row r="2188" ht="15.75" customHeight="1">
      <c r="A2188" s="87" t="s">
        <v>6623</v>
      </c>
      <c r="B2188" s="88">
        <v>1.22E18</v>
      </c>
      <c r="C2188" s="87" t="s">
        <v>6624</v>
      </c>
      <c r="D2188" s="87" t="s">
        <v>87</v>
      </c>
      <c r="E2188" s="87" t="s">
        <v>88</v>
      </c>
      <c r="F2188" s="87" t="s">
        <v>6624</v>
      </c>
      <c r="H2188" s="93"/>
      <c r="I2188" s="87" t="s">
        <v>58</v>
      </c>
      <c r="J2188" s="87" t="s">
        <v>6625</v>
      </c>
      <c r="K2188" s="90">
        <v>0.0</v>
      </c>
      <c r="L2188" s="92"/>
      <c r="M2188" s="93"/>
      <c r="N2188" s="87" t="s">
        <v>4427</v>
      </c>
      <c r="O2188" s="87" t="s">
        <v>377</v>
      </c>
      <c r="P2188" s="87" t="s">
        <v>372</v>
      </c>
    </row>
    <row r="2189" ht="15.75" customHeight="1">
      <c r="A2189" s="87" t="s">
        <v>6626</v>
      </c>
      <c r="B2189" s="88">
        <v>1.22E18</v>
      </c>
      <c r="C2189" s="87" t="s">
        <v>6627</v>
      </c>
      <c r="D2189" s="87" t="s">
        <v>87</v>
      </c>
      <c r="E2189" s="87" t="s">
        <v>88</v>
      </c>
      <c r="F2189" s="87" t="s">
        <v>6627</v>
      </c>
      <c r="I2189" s="87" t="s">
        <v>58</v>
      </c>
      <c r="J2189" s="87" t="s">
        <v>6628</v>
      </c>
      <c r="K2189" s="90">
        <v>0.0</v>
      </c>
      <c r="L2189" s="92"/>
      <c r="M2189" s="93"/>
      <c r="N2189" s="87" t="s">
        <v>1772</v>
      </c>
      <c r="O2189" s="87" t="s">
        <v>377</v>
      </c>
      <c r="P2189" s="87" t="s">
        <v>372</v>
      </c>
    </row>
    <row r="2190" ht="15.75" customHeight="1">
      <c r="A2190" s="87" t="s">
        <v>6629</v>
      </c>
      <c r="B2190" s="88">
        <v>1.22E18</v>
      </c>
      <c r="C2190" s="87" t="s">
        <v>6630</v>
      </c>
      <c r="D2190" s="87" t="s">
        <v>262</v>
      </c>
      <c r="E2190" s="87" t="s">
        <v>267</v>
      </c>
      <c r="F2190" s="87" t="s">
        <v>6630</v>
      </c>
      <c r="I2190" s="87" t="s">
        <v>58</v>
      </c>
      <c r="J2190" s="87" t="s">
        <v>6631</v>
      </c>
      <c r="K2190" s="90">
        <v>0.0</v>
      </c>
      <c r="L2190" s="92"/>
      <c r="M2190" s="93"/>
      <c r="N2190" s="87" t="s">
        <v>6632</v>
      </c>
      <c r="O2190" s="87" t="s">
        <v>377</v>
      </c>
      <c r="P2190" s="87" t="s">
        <v>372</v>
      </c>
    </row>
    <row r="2191" ht="15.75" customHeight="1">
      <c r="A2191" s="87" t="s">
        <v>6633</v>
      </c>
      <c r="B2191" s="88">
        <v>1.22E18</v>
      </c>
      <c r="C2191" s="87" t="s">
        <v>6634</v>
      </c>
      <c r="D2191" s="87" t="s">
        <v>262</v>
      </c>
      <c r="E2191" s="87" t="s">
        <v>267</v>
      </c>
      <c r="F2191" s="118" t="s">
        <v>6634</v>
      </c>
      <c r="G2191" s="130"/>
      <c r="H2191" s="119"/>
      <c r="I2191" s="87" t="s">
        <v>58</v>
      </c>
      <c r="J2191" s="87" t="s">
        <v>6635</v>
      </c>
      <c r="K2191" s="90">
        <v>0.0</v>
      </c>
      <c r="L2191" s="92"/>
      <c r="M2191" s="93"/>
      <c r="N2191" s="87" t="s">
        <v>6632</v>
      </c>
      <c r="O2191" s="87" t="s">
        <v>377</v>
      </c>
      <c r="P2191" s="87" t="s">
        <v>372</v>
      </c>
    </row>
    <row r="2192" ht="15.75" customHeight="1">
      <c r="A2192" s="87" t="s">
        <v>6636</v>
      </c>
      <c r="B2192" s="88">
        <v>1.22E18</v>
      </c>
      <c r="C2192" s="87" t="s">
        <v>6637</v>
      </c>
      <c r="D2192" s="87" t="s">
        <v>87</v>
      </c>
      <c r="E2192" s="87" t="s">
        <v>88</v>
      </c>
      <c r="F2192" s="87" t="s">
        <v>6637</v>
      </c>
      <c r="I2192" s="87" t="s">
        <v>1742</v>
      </c>
      <c r="J2192" s="87" t="s">
        <v>4209</v>
      </c>
      <c r="K2192" s="90">
        <v>0.0</v>
      </c>
      <c r="L2192" s="92"/>
      <c r="M2192" s="93"/>
      <c r="N2192" s="87" t="s">
        <v>3095</v>
      </c>
      <c r="O2192" s="87" t="s">
        <v>377</v>
      </c>
      <c r="P2192" s="87" t="s">
        <v>372</v>
      </c>
    </row>
    <row r="2193" ht="15.75" customHeight="1">
      <c r="A2193" s="87" t="s">
        <v>6638</v>
      </c>
      <c r="B2193" s="88">
        <v>1.22E18</v>
      </c>
      <c r="C2193" s="87" t="s">
        <v>6639</v>
      </c>
      <c r="D2193" s="87" t="s">
        <v>87</v>
      </c>
      <c r="E2193" s="87" t="s">
        <v>88</v>
      </c>
      <c r="F2193" s="87" t="s">
        <v>6639</v>
      </c>
      <c r="I2193" s="87" t="s">
        <v>1742</v>
      </c>
      <c r="J2193" s="87" t="s">
        <v>2804</v>
      </c>
      <c r="K2193" s="90">
        <v>0.0</v>
      </c>
      <c r="L2193" s="92"/>
      <c r="M2193" s="93"/>
      <c r="N2193" s="87" t="s">
        <v>5093</v>
      </c>
      <c r="O2193" s="87" t="s">
        <v>377</v>
      </c>
      <c r="P2193" s="87" t="s">
        <v>372</v>
      </c>
    </row>
    <row r="2194" ht="15.75" customHeight="1">
      <c r="A2194" s="87" t="s">
        <v>6640</v>
      </c>
      <c r="B2194" s="88">
        <v>1.22E18</v>
      </c>
      <c r="C2194" s="87" t="s">
        <v>6641</v>
      </c>
      <c r="D2194" s="87" t="s">
        <v>262</v>
      </c>
      <c r="E2194" s="87" t="s">
        <v>278</v>
      </c>
      <c r="F2194" s="118" t="s">
        <v>6641</v>
      </c>
      <c r="G2194" s="130"/>
      <c r="H2194" s="119"/>
      <c r="I2194" s="87" t="s">
        <v>58</v>
      </c>
      <c r="J2194" s="87" t="s">
        <v>6642</v>
      </c>
      <c r="K2194" s="90">
        <v>0.0</v>
      </c>
      <c r="L2194" s="92"/>
      <c r="M2194" s="93"/>
      <c r="N2194" s="87" t="s">
        <v>6643</v>
      </c>
      <c r="O2194" s="87" t="s">
        <v>377</v>
      </c>
      <c r="P2194" s="87" t="s">
        <v>372</v>
      </c>
    </row>
    <row r="2195" ht="15.75" customHeight="1">
      <c r="A2195" s="87" t="s">
        <v>6644</v>
      </c>
      <c r="B2195" s="88">
        <v>1.22E18</v>
      </c>
      <c r="C2195" s="87" t="s">
        <v>6645</v>
      </c>
      <c r="D2195" s="87" t="s">
        <v>57</v>
      </c>
      <c r="E2195" s="87" t="s">
        <v>287</v>
      </c>
      <c r="F2195" s="87" t="s">
        <v>415</v>
      </c>
      <c r="G2195" s="93"/>
      <c r="H2195" s="93"/>
      <c r="I2195" s="87" t="s">
        <v>58</v>
      </c>
      <c r="J2195" s="87" t="s">
        <v>6646</v>
      </c>
      <c r="K2195" s="90">
        <v>1.0</v>
      </c>
      <c r="L2195" s="92"/>
      <c r="M2195" s="93"/>
      <c r="N2195" s="93"/>
      <c r="O2195" s="87" t="s">
        <v>377</v>
      </c>
      <c r="P2195" s="87" t="s">
        <v>372</v>
      </c>
    </row>
    <row r="2196" ht="15.75" customHeight="1">
      <c r="A2196" s="87" t="s">
        <v>6647</v>
      </c>
      <c r="B2196" s="88">
        <v>1.22E18</v>
      </c>
      <c r="C2196" s="87" t="s">
        <v>6648</v>
      </c>
      <c r="D2196" s="87" t="s">
        <v>57</v>
      </c>
      <c r="E2196" s="87" t="s">
        <v>287</v>
      </c>
      <c r="F2196" s="87" t="s">
        <v>415</v>
      </c>
      <c r="G2196" s="93"/>
      <c r="H2196" s="93"/>
      <c r="I2196" s="87" t="s">
        <v>58</v>
      </c>
      <c r="J2196" s="87" t="s">
        <v>6649</v>
      </c>
      <c r="K2196" s="90">
        <v>1.0</v>
      </c>
      <c r="L2196" s="92"/>
      <c r="M2196" s="93"/>
      <c r="N2196" s="87" t="s">
        <v>1772</v>
      </c>
      <c r="O2196" s="87" t="s">
        <v>377</v>
      </c>
      <c r="P2196" s="87" t="s">
        <v>372</v>
      </c>
    </row>
    <row r="2197" ht="15.75" customHeight="1">
      <c r="A2197" s="87" t="s">
        <v>6650</v>
      </c>
      <c r="B2197" s="88">
        <v>1.22E18</v>
      </c>
      <c r="C2197" s="87" t="s">
        <v>6651</v>
      </c>
      <c r="D2197" s="87" t="s">
        <v>87</v>
      </c>
      <c r="E2197" s="87" t="s">
        <v>88</v>
      </c>
      <c r="F2197" s="87" t="s">
        <v>6651</v>
      </c>
      <c r="I2197" s="87" t="s">
        <v>58</v>
      </c>
      <c r="J2197" s="87" t="s">
        <v>449</v>
      </c>
      <c r="K2197" s="90">
        <v>0.0</v>
      </c>
      <c r="L2197" s="92"/>
      <c r="M2197" s="93"/>
      <c r="N2197" s="93"/>
      <c r="O2197" s="87" t="s">
        <v>377</v>
      </c>
      <c r="P2197" s="87" t="s">
        <v>372</v>
      </c>
    </row>
    <row r="2198" ht="15.75" customHeight="1">
      <c r="A2198" s="87" t="s">
        <v>6652</v>
      </c>
      <c r="B2198" s="88">
        <v>1.22E18</v>
      </c>
      <c r="C2198" s="87" t="s">
        <v>6653</v>
      </c>
      <c r="D2198" s="87" t="s">
        <v>262</v>
      </c>
      <c r="E2198" s="87" t="s">
        <v>263</v>
      </c>
      <c r="F2198" s="87" t="s">
        <v>415</v>
      </c>
      <c r="G2198" s="93"/>
      <c r="H2198" s="93"/>
      <c r="I2198" s="87" t="s">
        <v>58</v>
      </c>
      <c r="J2198" s="87" t="s">
        <v>5205</v>
      </c>
      <c r="K2198" s="90">
        <v>1.0</v>
      </c>
      <c r="L2198" s="92"/>
      <c r="M2198" s="93"/>
      <c r="N2198" s="87" t="s">
        <v>6654</v>
      </c>
      <c r="O2198" s="87" t="s">
        <v>377</v>
      </c>
      <c r="P2198" s="87" t="s">
        <v>372</v>
      </c>
    </row>
    <row r="2199" ht="15.75" customHeight="1">
      <c r="A2199" s="87" t="s">
        <v>6655</v>
      </c>
      <c r="B2199" s="88">
        <v>1.22E18</v>
      </c>
      <c r="C2199" s="87" t="s">
        <v>6656</v>
      </c>
      <c r="D2199" s="87" t="s">
        <v>87</v>
      </c>
      <c r="E2199" s="87" t="s">
        <v>88</v>
      </c>
      <c r="F2199" s="118" t="s">
        <v>6656</v>
      </c>
      <c r="G2199" s="130"/>
      <c r="H2199" s="119"/>
      <c r="I2199" s="87" t="s">
        <v>58</v>
      </c>
      <c r="J2199" s="87" t="s">
        <v>6657</v>
      </c>
      <c r="K2199" s="90">
        <v>0.0</v>
      </c>
      <c r="L2199" s="92"/>
      <c r="M2199" s="93"/>
      <c r="N2199" s="87" t="s">
        <v>1772</v>
      </c>
      <c r="O2199" s="87" t="s">
        <v>377</v>
      </c>
      <c r="P2199" s="87" t="s">
        <v>372</v>
      </c>
    </row>
    <row r="2200" ht="15.75" customHeight="1">
      <c r="A2200" s="87" t="s">
        <v>6658</v>
      </c>
      <c r="B2200" s="88">
        <v>1.22E18</v>
      </c>
      <c r="C2200" s="87" t="s">
        <v>6659</v>
      </c>
      <c r="D2200" s="87" t="s">
        <v>87</v>
      </c>
      <c r="E2200" s="87" t="s">
        <v>88</v>
      </c>
      <c r="F2200" s="118" t="s">
        <v>6659</v>
      </c>
      <c r="G2200" s="130"/>
      <c r="H2200" s="119"/>
      <c r="I2200" s="87" t="s">
        <v>58</v>
      </c>
      <c r="J2200" s="87" t="s">
        <v>6660</v>
      </c>
      <c r="K2200" s="90">
        <v>0.0</v>
      </c>
      <c r="L2200" s="92"/>
      <c r="M2200" s="93"/>
      <c r="N2200" s="87" t="s">
        <v>1772</v>
      </c>
      <c r="O2200" s="87" t="s">
        <v>377</v>
      </c>
      <c r="P2200" s="87" t="s">
        <v>372</v>
      </c>
    </row>
    <row r="2201" ht="15.75" customHeight="1">
      <c r="A2201" s="87" t="s">
        <v>6661</v>
      </c>
      <c r="B2201" s="88">
        <v>1.22E18</v>
      </c>
      <c r="C2201" s="87" t="s">
        <v>6662</v>
      </c>
      <c r="D2201" s="87" t="s">
        <v>87</v>
      </c>
      <c r="E2201" s="87" t="s">
        <v>88</v>
      </c>
      <c r="F2201" s="87" t="s">
        <v>6662</v>
      </c>
      <c r="H2201" s="93"/>
      <c r="I2201" s="87" t="s">
        <v>58</v>
      </c>
      <c r="J2201" s="87" t="s">
        <v>6663</v>
      </c>
      <c r="K2201" s="90">
        <v>0.0</v>
      </c>
      <c r="L2201" s="92"/>
      <c r="M2201" s="93"/>
      <c r="N2201" s="87" t="s">
        <v>1772</v>
      </c>
      <c r="O2201" s="87" t="s">
        <v>377</v>
      </c>
      <c r="P2201" s="87" t="s">
        <v>372</v>
      </c>
    </row>
    <row r="2202" ht="15.75" customHeight="1">
      <c r="A2202" s="87" t="s">
        <v>6664</v>
      </c>
      <c r="B2202" s="88">
        <v>1.22E18</v>
      </c>
      <c r="C2202" s="87" t="s">
        <v>6665</v>
      </c>
      <c r="D2202" s="87" t="s">
        <v>262</v>
      </c>
      <c r="E2202" s="87" t="s">
        <v>267</v>
      </c>
      <c r="F2202" s="87" t="s">
        <v>1749</v>
      </c>
      <c r="H2202" s="93"/>
      <c r="I2202" s="87" t="s">
        <v>58</v>
      </c>
      <c r="J2202" s="87" t="s">
        <v>6666</v>
      </c>
      <c r="K2202" s="90">
        <v>0.0</v>
      </c>
      <c r="L2202" s="92"/>
      <c r="M2202" s="93"/>
      <c r="N2202" s="87" t="s">
        <v>3202</v>
      </c>
      <c r="O2202" s="87" t="s">
        <v>377</v>
      </c>
      <c r="P2202" s="87" t="s">
        <v>372</v>
      </c>
    </row>
    <row r="2203" ht="15.75" customHeight="1">
      <c r="A2203" s="87" t="s">
        <v>6667</v>
      </c>
      <c r="B2203" s="88">
        <v>1.22E18</v>
      </c>
      <c r="C2203" s="87" t="s">
        <v>6668</v>
      </c>
      <c r="D2203" s="87" t="s">
        <v>262</v>
      </c>
      <c r="E2203" s="87" t="s">
        <v>267</v>
      </c>
      <c r="F2203" s="87" t="s">
        <v>1749</v>
      </c>
      <c r="H2203" s="93"/>
      <c r="I2203" s="87" t="s">
        <v>58</v>
      </c>
      <c r="J2203" s="87" t="s">
        <v>6669</v>
      </c>
      <c r="K2203" s="90">
        <v>0.0</v>
      </c>
      <c r="L2203" s="92"/>
      <c r="M2203" s="93"/>
      <c r="N2203" s="87" t="s">
        <v>3202</v>
      </c>
      <c r="O2203" s="87" t="s">
        <v>377</v>
      </c>
      <c r="P2203" s="87" t="s">
        <v>372</v>
      </c>
    </row>
    <row r="2204" ht="15.75" customHeight="1">
      <c r="A2204" s="87" t="s">
        <v>6670</v>
      </c>
      <c r="B2204" s="88">
        <v>1.22E18</v>
      </c>
      <c r="C2204" s="87" t="s">
        <v>6671</v>
      </c>
      <c r="D2204" s="87" t="s">
        <v>262</v>
      </c>
      <c r="E2204" s="87" t="s">
        <v>267</v>
      </c>
      <c r="F2204" s="87" t="s">
        <v>6671</v>
      </c>
      <c r="I2204" s="87" t="s">
        <v>58</v>
      </c>
      <c r="J2204" s="87" t="s">
        <v>6672</v>
      </c>
      <c r="K2204" s="90">
        <v>0.0</v>
      </c>
      <c r="L2204" s="92"/>
      <c r="M2204" s="93"/>
      <c r="N2204" s="87" t="s">
        <v>3202</v>
      </c>
      <c r="O2204" s="87" t="s">
        <v>377</v>
      </c>
      <c r="P2204" s="87" t="s">
        <v>372</v>
      </c>
    </row>
    <row r="2205" ht="15.75" customHeight="1">
      <c r="A2205" s="87" t="s">
        <v>6673</v>
      </c>
      <c r="B2205" s="88">
        <v>1.22E18</v>
      </c>
      <c r="C2205" s="87" t="s">
        <v>6674</v>
      </c>
      <c r="D2205" s="87" t="s">
        <v>262</v>
      </c>
      <c r="E2205" s="87" t="s">
        <v>267</v>
      </c>
      <c r="F2205" s="87" t="s">
        <v>6674</v>
      </c>
      <c r="I2205" s="87" t="s">
        <v>58</v>
      </c>
      <c r="J2205" s="87" t="s">
        <v>6675</v>
      </c>
      <c r="K2205" s="90">
        <v>0.0</v>
      </c>
      <c r="L2205" s="92"/>
      <c r="M2205" s="93"/>
      <c r="N2205" s="87" t="s">
        <v>3202</v>
      </c>
      <c r="O2205" s="87" t="s">
        <v>377</v>
      </c>
      <c r="P2205" s="87" t="s">
        <v>372</v>
      </c>
    </row>
    <row r="2206" ht="15.75" customHeight="1">
      <c r="A2206" s="87" t="s">
        <v>6676</v>
      </c>
      <c r="B2206" s="88">
        <v>1.22E18</v>
      </c>
      <c r="C2206" s="87" t="s">
        <v>6677</v>
      </c>
      <c r="D2206" s="87" t="s">
        <v>262</v>
      </c>
      <c r="E2206" s="87" t="s">
        <v>267</v>
      </c>
      <c r="F2206" s="87" t="s">
        <v>6677</v>
      </c>
      <c r="I2206" s="87" t="s">
        <v>58</v>
      </c>
      <c r="J2206" s="87" t="s">
        <v>2348</v>
      </c>
      <c r="K2206" s="90">
        <v>0.0</v>
      </c>
      <c r="L2206" s="92"/>
      <c r="M2206" s="93"/>
      <c r="N2206" s="87" t="s">
        <v>3202</v>
      </c>
      <c r="O2206" s="87" t="s">
        <v>377</v>
      </c>
      <c r="P2206" s="87" t="s">
        <v>372</v>
      </c>
    </row>
    <row r="2207" ht="15.75" customHeight="1">
      <c r="A2207" s="87" t="s">
        <v>6678</v>
      </c>
      <c r="B2207" s="88">
        <v>1.22E18</v>
      </c>
      <c r="C2207" s="87" t="s">
        <v>6679</v>
      </c>
      <c r="D2207" s="87" t="s">
        <v>262</v>
      </c>
      <c r="E2207" s="87" t="s">
        <v>267</v>
      </c>
      <c r="F2207" s="87" t="s">
        <v>6679</v>
      </c>
      <c r="I2207" s="87" t="s">
        <v>58</v>
      </c>
      <c r="J2207" s="87" t="s">
        <v>6680</v>
      </c>
      <c r="K2207" s="90">
        <v>0.0</v>
      </c>
      <c r="L2207" s="92"/>
      <c r="M2207" s="93"/>
      <c r="N2207" s="87" t="s">
        <v>3202</v>
      </c>
      <c r="O2207" s="87" t="s">
        <v>377</v>
      </c>
      <c r="P2207" s="87" t="s">
        <v>372</v>
      </c>
    </row>
    <row r="2208" ht="15.75" customHeight="1">
      <c r="A2208" s="87" t="s">
        <v>6681</v>
      </c>
      <c r="B2208" s="88">
        <v>1.22E18</v>
      </c>
      <c r="C2208" s="87" t="s">
        <v>6682</v>
      </c>
      <c r="D2208" s="87" t="s">
        <v>87</v>
      </c>
      <c r="E2208" s="87" t="s">
        <v>102</v>
      </c>
      <c r="F2208" s="87" t="s">
        <v>6682</v>
      </c>
      <c r="I2208" s="87" t="s">
        <v>1742</v>
      </c>
      <c r="J2208" s="87" t="s">
        <v>6683</v>
      </c>
      <c r="K2208" s="90">
        <v>1.0</v>
      </c>
      <c r="L2208" s="92"/>
      <c r="M2208" s="93"/>
      <c r="N2208" s="87" t="s">
        <v>5018</v>
      </c>
      <c r="O2208" s="87" t="s">
        <v>377</v>
      </c>
      <c r="P2208" s="87" t="s">
        <v>372</v>
      </c>
    </row>
    <row r="2209" ht="15.75" customHeight="1">
      <c r="A2209" s="87" t="s">
        <v>6684</v>
      </c>
      <c r="B2209" s="88">
        <v>1.22E18</v>
      </c>
      <c r="C2209" s="87" t="s">
        <v>6685</v>
      </c>
      <c r="D2209" s="87" t="s">
        <v>262</v>
      </c>
      <c r="E2209" s="87" t="s">
        <v>267</v>
      </c>
      <c r="F2209" s="87" t="s">
        <v>6685</v>
      </c>
      <c r="I2209" s="87" t="s">
        <v>58</v>
      </c>
      <c r="J2209" s="87" t="s">
        <v>6686</v>
      </c>
      <c r="K2209" s="90">
        <v>0.0</v>
      </c>
      <c r="L2209" s="92"/>
      <c r="M2209" s="93"/>
      <c r="N2209" s="87" t="s">
        <v>3202</v>
      </c>
      <c r="O2209" s="87" t="s">
        <v>377</v>
      </c>
      <c r="P2209" s="87" t="s">
        <v>372</v>
      </c>
    </row>
    <row r="2210" ht="15.75" customHeight="1">
      <c r="A2210" s="87" t="s">
        <v>6687</v>
      </c>
      <c r="B2210" s="88">
        <v>1.22E18</v>
      </c>
      <c r="C2210" s="87" t="s">
        <v>6688</v>
      </c>
      <c r="D2210" s="87" t="s">
        <v>262</v>
      </c>
      <c r="E2210" s="87" t="s">
        <v>267</v>
      </c>
      <c r="F2210" s="87" t="s">
        <v>6688</v>
      </c>
      <c r="I2210" s="87" t="s">
        <v>58</v>
      </c>
      <c r="J2210" s="87" t="s">
        <v>6689</v>
      </c>
      <c r="K2210" s="90">
        <v>0.0</v>
      </c>
      <c r="L2210" s="92"/>
      <c r="M2210" s="93"/>
      <c r="N2210" s="87" t="s">
        <v>3202</v>
      </c>
      <c r="O2210" s="87" t="s">
        <v>377</v>
      </c>
      <c r="P2210" s="87" t="s">
        <v>372</v>
      </c>
    </row>
    <row r="2211" ht="15.75" customHeight="1">
      <c r="A2211" s="87" t="s">
        <v>6690</v>
      </c>
      <c r="B2211" s="88">
        <v>1.22E18</v>
      </c>
      <c r="C2211" s="87" t="s">
        <v>6691</v>
      </c>
      <c r="D2211" s="87" t="s">
        <v>87</v>
      </c>
      <c r="E2211" s="87" t="s">
        <v>88</v>
      </c>
      <c r="F2211" s="87" t="s">
        <v>6691</v>
      </c>
      <c r="I2211" s="87" t="s">
        <v>58</v>
      </c>
      <c r="J2211" s="87" t="s">
        <v>6692</v>
      </c>
      <c r="K2211" s="90">
        <v>0.0</v>
      </c>
      <c r="L2211" s="92"/>
      <c r="M2211" s="93"/>
      <c r="N2211" s="87" t="s">
        <v>1772</v>
      </c>
      <c r="O2211" s="87" t="s">
        <v>377</v>
      </c>
      <c r="P2211" s="87" t="s">
        <v>372</v>
      </c>
    </row>
    <row r="2212" ht="15.75" customHeight="1">
      <c r="A2212" s="87" t="s">
        <v>6693</v>
      </c>
      <c r="B2212" s="88">
        <v>1.22E18</v>
      </c>
      <c r="C2212" s="87" t="s">
        <v>6694</v>
      </c>
      <c r="D2212" s="87" t="s">
        <v>87</v>
      </c>
      <c r="E2212" s="87" t="s">
        <v>88</v>
      </c>
      <c r="F2212" s="87" t="s">
        <v>6694</v>
      </c>
      <c r="I2212" s="87" t="s">
        <v>58</v>
      </c>
      <c r="J2212" s="87" t="s">
        <v>6695</v>
      </c>
      <c r="K2212" s="90">
        <v>0.0</v>
      </c>
      <c r="L2212" s="92"/>
      <c r="M2212" s="93"/>
      <c r="N2212" s="87" t="s">
        <v>6459</v>
      </c>
      <c r="O2212" s="87" t="s">
        <v>377</v>
      </c>
      <c r="P2212" s="87" t="s">
        <v>372</v>
      </c>
    </row>
    <row r="2213" ht="15.75" customHeight="1">
      <c r="A2213" s="87" t="s">
        <v>6696</v>
      </c>
      <c r="B2213" s="88">
        <v>1.22E18</v>
      </c>
      <c r="C2213" s="87" t="s">
        <v>6697</v>
      </c>
      <c r="D2213" s="87" t="s">
        <v>56</v>
      </c>
      <c r="E2213" s="87" t="s">
        <v>248</v>
      </c>
      <c r="F2213" s="87" t="s">
        <v>2769</v>
      </c>
      <c r="G2213" s="93"/>
      <c r="H2213" s="93"/>
      <c r="I2213" s="87" t="s">
        <v>58</v>
      </c>
      <c r="J2213" s="87" t="s">
        <v>4159</v>
      </c>
      <c r="K2213" s="90">
        <v>0.0</v>
      </c>
      <c r="L2213" s="92"/>
      <c r="M2213" s="93"/>
      <c r="N2213" s="87" t="s">
        <v>6306</v>
      </c>
      <c r="O2213" s="87" t="s">
        <v>377</v>
      </c>
      <c r="P2213" s="87" t="s">
        <v>372</v>
      </c>
    </row>
    <row r="2214" ht="15.75" customHeight="1">
      <c r="A2214" s="87" t="s">
        <v>6698</v>
      </c>
      <c r="B2214" s="88">
        <v>1.22E18</v>
      </c>
      <c r="C2214" s="87" t="s">
        <v>6699</v>
      </c>
      <c r="D2214" s="87" t="s">
        <v>87</v>
      </c>
      <c r="E2214" s="87" t="s">
        <v>88</v>
      </c>
      <c r="F2214" s="87" t="s">
        <v>373</v>
      </c>
      <c r="H2214" s="93"/>
      <c r="I2214" s="87" t="s">
        <v>327</v>
      </c>
      <c r="J2214" s="87" t="s">
        <v>6700</v>
      </c>
      <c r="K2214" s="90">
        <v>2000.0</v>
      </c>
      <c r="L2214" s="92"/>
      <c r="M2214" s="93"/>
      <c r="N2214" s="87" t="s">
        <v>390</v>
      </c>
      <c r="O2214" s="87" t="s">
        <v>377</v>
      </c>
      <c r="P2214" s="87" t="s">
        <v>372</v>
      </c>
    </row>
    <row r="2215" ht="15.75" customHeight="1">
      <c r="A2215" s="87" t="s">
        <v>6701</v>
      </c>
      <c r="B2215" s="88">
        <v>1.22E18</v>
      </c>
      <c r="C2215" s="87" t="s">
        <v>6702</v>
      </c>
      <c r="D2215" s="87" t="s">
        <v>87</v>
      </c>
      <c r="E2215" s="87" t="s">
        <v>88</v>
      </c>
      <c r="F2215" s="87" t="s">
        <v>6702</v>
      </c>
      <c r="I2215" s="87" t="s">
        <v>2770</v>
      </c>
      <c r="J2215" s="87" t="s">
        <v>2595</v>
      </c>
      <c r="K2215" s="90">
        <v>0.0</v>
      </c>
      <c r="L2215" s="92"/>
      <c r="M2215" s="93"/>
      <c r="N2215" s="93"/>
      <c r="O2215" s="87" t="s">
        <v>377</v>
      </c>
      <c r="P2215" s="87" t="s">
        <v>372</v>
      </c>
    </row>
    <row r="2216" ht="15.75" customHeight="1">
      <c r="A2216" s="87" t="s">
        <v>6703</v>
      </c>
      <c r="B2216" s="88">
        <v>1.22E18</v>
      </c>
      <c r="C2216" s="87" t="s">
        <v>6704</v>
      </c>
      <c r="D2216" s="87" t="s">
        <v>87</v>
      </c>
      <c r="E2216" s="87" t="s">
        <v>88</v>
      </c>
      <c r="F2216" s="87" t="s">
        <v>379</v>
      </c>
      <c r="G2216" s="93"/>
      <c r="H2216" s="93"/>
      <c r="I2216" s="87" t="s">
        <v>58</v>
      </c>
      <c r="J2216" s="87" t="s">
        <v>6705</v>
      </c>
      <c r="K2216" s="90">
        <v>0.0</v>
      </c>
      <c r="L2216" s="92"/>
      <c r="M2216" s="93"/>
      <c r="N2216" s="93"/>
      <c r="O2216" s="87" t="s">
        <v>377</v>
      </c>
      <c r="P2216" s="87" t="s">
        <v>372</v>
      </c>
    </row>
    <row r="2217" ht="15.75" customHeight="1">
      <c r="A2217" s="87" t="s">
        <v>6706</v>
      </c>
      <c r="B2217" s="88">
        <v>1.22E18</v>
      </c>
      <c r="C2217" s="87" t="s">
        <v>6707</v>
      </c>
      <c r="D2217" s="87" t="s">
        <v>87</v>
      </c>
      <c r="E2217" s="87" t="s">
        <v>88</v>
      </c>
      <c r="F2217" s="87" t="s">
        <v>379</v>
      </c>
      <c r="G2217" s="93"/>
      <c r="H2217" s="93"/>
      <c r="I2217" s="93"/>
      <c r="J2217" s="87" t="s">
        <v>6708</v>
      </c>
      <c r="K2217" s="90">
        <v>0.0</v>
      </c>
      <c r="L2217" s="92"/>
      <c r="M2217" s="93"/>
      <c r="N2217" s="87" t="s">
        <v>6643</v>
      </c>
      <c r="O2217" s="87" t="s">
        <v>377</v>
      </c>
      <c r="P2217" s="87" t="s">
        <v>372</v>
      </c>
    </row>
    <row r="2218" ht="15.75" customHeight="1">
      <c r="A2218" s="87" t="s">
        <v>6709</v>
      </c>
      <c r="B2218" s="88">
        <v>1.22E18</v>
      </c>
      <c r="C2218" s="87" t="s">
        <v>6710</v>
      </c>
      <c r="D2218" s="87" t="s">
        <v>57</v>
      </c>
      <c r="E2218" s="87" t="s">
        <v>287</v>
      </c>
      <c r="F2218" s="87" t="s">
        <v>415</v>
      </c>
      <c r="G2218" s="93"/>
      <c r="H2218" s="93"/>
      <c r="I2218" s="87" t="s">
        <v>58</v>
      </c>
      <c r="J2218" s="87" t="s">
        <v>6711</v>
      </c>
      <c r="K2218" s="90">
        <v>1.0</v>
      </c>
      <c r="L2218" s="92"/>
      <c r="M2218" s="93"/>
      <c r="N2218" s="87" t="s">
        <v>1772</v>
      </c>
      <c r="O2218" s="87" t="s">
        <v>377</v>
      </c>
      <c r="P2218" s="87" t="s">
        <v>372</v>
      </c>
    </row>
    <row r="2219" ht="15.75" customHeight="1">
      <c r="A2219" s="87" t="s">
        <v>6712</v>
      </c>
      <c r="B2219" s="88">
        <v>1.22E18</v>
      </c>
      <c r="C2219" s="87" t="s">
        <v>6713</v>
      </c>
      <c r="D2219" s="87" t="s">
        <v>57</v>
      </c>
      <c r="E2219" s="87" t="s">
        <v>287</v>
      </c>
      <c r="F2219" s="87" t="s">
        <v>415</v>
      </c>
      <c r="G2219" s="93"/>
      <c r="H2219" s="93"/>
      <c r="I2219" s="87" t="s">
        <v>58</v>
      </c>
      <c r="J2219" s="87" t="s">
        <v>6714</v>
      </c>
      <c r="K2219" s="90">
        <v>1.0</v>
      </c>
      <c r="L2219" s="92"/>
      <c r="M2219" s="93"/>
      <c r="N2219" s="87" t="s">
        <v>1772</v>
      </c>
      <c r="O2219" s="87" t="s">
        <v>377</v>
      </c>
      <c r="P2219" s="87" t="s">
        <v>372</v>
      </c>
    </row>
    <row r="2220" ht="15.75" customHeight="1">
      <c r="A2220" s="87" t="s">
        <v>6715</v>
      </c>
      <c r="B2220" s="88">
        <v>1.22E18</v>
      </c>
      <c r="C2220" s="87" t="s">
        <v>6716</v>
      </c>
      <c r="D2220" s="87" t="s">
        <v>87</v>
      </c>
      <c r="E2220" s="87" t="s">
        <v>228</v>
      </c>
      <c r="F2220" s="87" t="s">
        <v>379</v>
      </c>
      <c r="G2220" s="93"/>
      <c r="H2220" s="93"/>
      <c r="I2220" s="87" t="s">
        <v>340</v>
      </c>
      <c r="J2220" s="87" t="s">
        <v>2379</v>
      </c>
      <c r="K2220" s="90">
        <v>0.0</v>
      </c>
      <c r="L2220" s="92"/>
      <c r="M2220" s="93"/>
      <c r="N2220" s="87" t="s">
        <v>6273</v>
      </c>
      <c r="O2220" s="87" t="s">
        <v>377</v>
      </c>
      <c r="P2220" s="87" t="s">
        <v>372</v>
      </c>
    </row>
    <row r="2221" ht="15.75" customHeight="1">
      <c r="A2221" s="87" t="s">
        <v>6717</v>
      </c>
      <c r="B2221" s="88">
        <v>1.22E18</v>
      </c>
      <c r="C2221" s="87" t="s">
        <v>6718</v>
      </c>
      <c r="D2221" s="87" t="s">
        <v>87</v>
      </c>
      <c r="E2221" s="87" t="s">
        <v>228</v>
      </c>
      <c r="F2221" s="87" t="s">
        <v>379</v>
      </c>
      <c r="G2221" s="93"/>
      <c r="H2221" s="93"/>
      <c r="I2221" s="87" t="s">
        <v>340</v>
      </c>
      <c r="J2221" s="87" t="s">
        <v>934</v>
      </c>
      <c r="K2221" s="90">
        <v>1000.0</v>
      </c>
      <c r="L2221" s="92"/>
      <c r="M2221" s="93"/>
      <c r="N2221" s="87" t="s">
        <v>6273</v>
      </c>
      <c r="O2221" s="87" t="s">
        <v>377</v>
      </c>
      <c r="P2221" s="87" t="s">
        <v>372</v>
      </c>
    </row>
    <row r="2222" ht="15.75" customHeight="1">
      <c r="A2222" s="87" t="s">
        <v>6719</v>
      </c>
      <c r="B2222" s="88">
        <v>1.22E18</v>
      </c>
      <c r="C2222" s="87" t="s">
        <v>6720</v>
      </c>
      <c r="D2222" s="87" t="s">
        <v>87</v>
      </c>
      <c r="E2222" s="87" t="s">
        <v>228</v>
      </c>
      <c r="F2222" s="87" t="s">
        <v>379</v>
      </c>
      <c r="G2222" s="93"/>
      <c r="H2222" s="93"/>
      <c r="I2222" s="87" t="s">
        <v>340</v>
      </c>
      <c r="J2222" s="87" t="s">
        <v>934</v>
      </c>
      <c r="K2222" s="90">
        <v>1000.0</v>
      </c>
      <c r="L2222" s="92"/>
      <c r="M2222" s="93"/>
      <c r="N2222" s="87" t="s">
        <v>6273</v>
      </c>
      <c r="O2222" s="87" t="s">
        <v>377</v>
      </c>
      <c r="P2222" s="87" t="s">
        <v>372</v>
      </c>
    </row>
    <row r="2223" ht="15.75" customHeight="1">
      <c r="A2223" s="87" t="s">
        <v>6721</v>
      </c>
      <c r="B2223" s="88">
        <v>1.22E18</v>
      </c>
      <c r="C2223" s="87" t="s">
        <v>6722</v>
      </c>
      <c r="D2223" s="87" t="s">
        <v>87</v>
      </c>
      <c r="E2223" s="87" t="s">
        <v>228</v>
      </c>
      <c r="F2223" s="87" t="s">
        <v>379</v>
      </c>
      <c r="G2223" s="93"/>
      <c r="H2223" s="93"/>
      <c r="I2223" s="87" t="s">
        <v>340</v>
      </c>
      <c r="J2223" s="87" t="s">
        <v>934</v>
      </c>
      <c r="K2223" s="90">
        <v>1000.0</v>
      </c>
      <c r="L2223" s="92"/>
      <c r="M2223" s="93"/>
      <c r="N2223" s="87" t="s">
        <v>6273</v>
      </c>
      <c r="O2223" s="87" t="s">
        <v>377</v>
      </c>
      <c r="P2223" s="87" t="s">
        <v>372</v>
      </c>
    </row>
    <row r="2224" ht="15.75" customHeight="1">
      <c r="A2224" s="87" t="s">
        <v>6723</v>
      </c>
      <c r="B2224" s="88">
        <v>1.22E18</v>
      </c>
      <c r="C2224" s="87" t="s">
        <v>6724</v>
      </c>
      <c r="D2224" s="87" t="s">
        <v>87</v>
      </c>
      <c r="E2224" s="87" t="s">
        <v>228</v>
      </c>
      <c r="F2224" s="87" t="s">
        <v>379</v>
      </c>
      <c r="G2224" s="93"/>
      <c r="H2224" s="93"/>
      <c r="I2224" s="87" t="s">
        <v>340</v>
      </c>
      <c r="J2224" s="87" t="s">
        <v>2998</v>
      </c>
      <c r="K2224" s="90">
        <v>1400.0</v>
      </c>
      <c r="L2224" s="92"/>
      <c r="M2224" s="93"/>
      <c r="N2224" s="87" t="s">
        <v>6725</v>
      </c>
      <c r="O2224" s="87" t="s">
        <v>377</v>
      </c>
      <c r="P2224" s="87" t="s">
        <v>372</v>
      </c>
    </row>
    <row r="2225" ht="15.75" customHeight="1">
      <c r="A2225" s="87" t="s">
        <v>6726</v>
      </c>
      <c r="B2225" s="88">
        <v>1.22E18</v>
      </c>
      <c r="C2225" s="87" t="s">
        <v>6727</v>
      </c>
      <c r="D2225" s="87" t="s">
        <v>87</v>
      </c>
      <c r="E2225" s="87" t="s">
        <v>88</v>
      </c>
      <c r="F2225" s="87" t="s">
        <v>6727</v>
      </c>
      <c r="H2225" s="93"/>
      <c r="I2225" s="87" t="s">
        <v>340</v>
      </c>
      <c r="J2225" s="87" t="s">
        <v>2998</v>
      </c>
      <c r="K2225" s="90">
        <v>2000.0</v>
      </c>
      <c r="L2225" s="92"/>
      <c r="M2225" s="93"/>
      <c r="N2225" s="87" t="s">
        <v>6725</v>
      </c>
      <c r="O2225" s="87" t="s">
        <v>377</v>
      </c>
      <c r="P2225" s="87" t="s">
        <v>372</v>
      </c>
    </row>
    <row r="2226" ht="15.75" customHeight="1">
      <c r="A2226" s="87" t="s">
        <v>6728</v>
      </c>
      <c r="B2226" s="88">
        <v>1.22E18</v>
      </c>
      <c r="C2226" s="87" t="s">
        <v>6729</v>
      </c>
      <c r="D2226" s="87" t="s">
        <v>87</v>
      </c>
      <c r="E2226" s="87" t="s">
        <v>88</v>
      </c>
      <c r="F2226" s="87" t="s">
        <v>6729</v>
      </c>
      <c r="I2226" s="87" t="s">
        <v>315</v>
      </c>
      <c r="J2226" s="87" t="s">
        <v>6730</v>
      </c>
      <c r="K2226" s="90">
        <v>1500000.0</v>
      </c>
      <c r="L2226" s="92"/>
      <c r="M2226" s="93"/>
      <c r="N2226" s="87" t="s">
        <v>6725</v>
      </c>
      <c r="O2226" s="87" t="s">
        <v>377</v>
      </c>
      <c r="P2226" s="87" t="s">
        <v>372</v>
      </c>
    </row>
    <row r="2227" ht="15.75" customHeight="1">
      <c r="A2227" s="87" t="s">
        <v>6731</v>
      </c>
      <c r="B2227" s="88">
        <v>1.22E18</v>
      </c>
      <c r="C2227" s="87" t="s">
        <v>6732</v>
      </c>
      <c r="D2227" s="87" t="s">
        <v>87</v>
      </c>
      <c r="E2227" s="87" t="s">
        <v>228</v>
      </c>
      <c r="F2227" s="87" t="s">
        <v>6732</v>
      </c>
      <c r="I2227" s="87" t="s">
        <v>340</v>
      </c>
      <c r="J2227" s="87" t="s">
        <v>6733</v>
      </c>
      <c r="K2227" s="90">
        <v>4000.0</v>
      </c>
      <c r="L2227" s="92"/>
      <c r="M2227" s="93"/>
      <c r="N2227" s="87" t="s">
        <v>6725</v>
      </c>
      <c r="O2227" s="87" t="s">
        <v>377</v>
      </c>
      <c r="P2227" s="87" t="s">
        <v>372</v>
      </c>
    </row>
    <row r="2228" ht="15.75" customHeight="1">
      <c r="A2228" s="87" t="s">
        <v>6734</v>
      </c>
      <c r="B2228" s="88">
        <v>1.22E18</v>
      </c>
      <c r="C2228" s="87" t="s">
        <v>6735</v>
      </c>
      <c r="D2228" s="87" t="s">
        <v>87</v>
      </c>
      <c r="E2228" s="87" t="s">
        <v>228</v>
      </c>
      <c r="F2228" s="87" t="s">
        <v>373</v>
      </c>
      <c r="H2228" s="93"/>
      <c r="I2228" s="87" t="s">
        <v>340</v>
      </c>
      <c r="J2228" s="87" t="s">
        <v>6736</v>
      </c>
      <c r="K2228" s="90">
        <v>750.0</v>
      </c>
      <c r="L2228" s="92"/>
      <c r="M2228" s="93"/>
      <c r="N2228" s="87" t="s">
        <v>838</v>
      </c>
      <c r="O2228" s="87" t="s">
        <v>377</v>
      </c>
      <c r="P2228" s="87" t="s">
        <v>372</v>
      </c>
    </row>
    <row r="2229" ht="15.75" customHeight="1">
      <c r="A2229" s="87" t="s">
        <v>6737</v>
      </c>
      <c r="B2229" s="88">
        <v>1.22E18</v>
      </c>
      <c r="C2229" s="87" t="s">
        <v>6738</v>
      </c>
      <c r="D2229" s="87" t="s">
        <v>87</v>
      </c>
      <c r="E2229" s="87" t="s">
        <v>228</v>
      </c>
      <c r="F2229" s="87" t="s">
        <v>373</v>
      </c>
      <c r="H2229" s="93"/>
      <c r="I2229" s="87" t="s">
        <v>340</v>
      </c>
      <c r="J2229" s="87" t="s">
        <v>2998</v>
      </c>
      <c r="K2229" s="90">
        <v>500.0</v>
      </c>
      <c r="L2229" s="92"/>
      <c r="M2229" s="93"/>
      <c r="N2229" s="93"/>
      <c r="O2229" s="87" t="s">
        <v>377</v>
      </c>
      <c r="P2229" s="87" t="s">
        <v>372</v>
      </c>
    </row>
    <row r="2230" ht="15.75" customHeight="1">
      <c r="A2230" s="87" t="s">
        <v>6739</v>
      </c>
      <c r="B2230" s="88">
        <v>1.22E18</v>
      </c>
      <c r="C2230" s="87" t="s">
        <v>6740</v>
      </c>
      <c r="D2230" s="87" t="s">
        <v>87</v>
      </c>
      <c r="E2230" s="87" t="s">
        <v>228</v>
      </c>
      <c r="F2230" s="87" t="s">
        <v>373</v>
      </c>
      <c r="H2230" s="93"/>
      <c r="I2230" s="87" t="s">
        <v>340</v>
      </c>
      <c r="J2230" s="87" t="s">
        <v>2998</v>
      </c>
      <c r="K2230" s="90">
        <v>750.0</v>
      </c>
      <c r="L2230" s="92"/>
      <c r="M2230" s="93"/>
      <c r="N2230" s="87" t="s">
        <v>6725</v>
      </c>
      <c r="O2230" s="87" t="s">
        <v>377</v>
      </c>
      <c r="P2230" s="87" t="s">
        <v>372</v>
      </c>
    </row>
    <row r="2231" ht="15.75" customHeight="1">
      <c r="A2231" s="87" t="s">
        <v>6741</v>
      </c>
      <c r="B2231" s="88">
        <v>1.22E18</v>
      </c>
      <c r="C2231" s="87" t="s">
        <v>6742</v>
      </c>
      <c r="D2231" s="87" t="s">
        <v>87</v>
      </c>
      <c r="E2231" s="87" t="s">
        <v>228</v>
      </c>
      <c r="F2231" s="87" t="s">
        <v>373</v>
      </c>
      <c r="H2231" s="93"/>
      <c r="I2231" s="87" t="s">
        <v>340</v>
      </c>
      <c r="J2231" s="87" t="s">
        <v>2998</v>
      </c>
      <c r="K2231" s="90">
        <v>750.0</v>
      </c>
      <c r="L2231" s="92"/>
      <c r="M2231" s="93"/>
      <c r="N2231" s="87" t="s">
        <v>6725</v>
      </c>
      <c r="O2231" s="87" t="s">
        <v>377</v>
      </c>
      <c r="P2231" s="87" t="s">
        <v>372</v>
      </c>
    </row>
    <row r="2232" ht="15.75" customHeight="1">
      <c r="A2232" s="87" t="s">
        <v>6743</v>
      </c>
      <c r="B2232" s="88">
        <v>1.22E18</v>
      </c>
      <c r="C2232" s="87" t="s">
        <v>6744</v>
      </c>
      <c r="D2232" s="87" t="s">
        <v>87</v>
      </c>
      <c r="E2232" s="87" t="s">
        <v>88</v>
      </c>
      <c r="F2232" s="87" t="s">
        <v>373</v>
      </c>
      <c r="H2232" s="93"/>
      <c r="I2232" s="87" t="s">
        <v>340</v>
      </c>
      <c r="J2232" s="87" t="s">
        <v>2998</v>
      </c>
      <c r="K2232" s="90">
        <v>800.0</v>
      </c>
      <c r="L2232" s="92"/>
      <c r="M2232" s="93"/>
      <c r="N2232" s="87" t="s">
        <v>6725</v>
      </c>
      <c r="O2232" s="87" t="s">
        <v>377</v>
      </c>
      <c r="P2232" s="87" t="s">
        <v>372</v>
      </c>
    </row>
    <row r="2233" ht="15.75" customHeight="1">
      <c r="A2233" s="87" t="s">
        <v>6745</v>
      </c>
      <c r="B2233" s="88">
        <v>1.22E18</v>
      </c>
      <c r="C2233" s="87" t="s">
        <v>6746</v>
      </c>
      <c r="D2233" s="87" t="s">
        <v>87</v>
      </c>
      <c r="E2233" s="87" t="s">
        <v>228</v>
      </c>
      <c r="F2233" s="87" t="s">
        <v>373</v>
      </c>
      <c r="H2233" s="93"/>
      <c r="I2233" s="87" t="s">
        <v>340</v>
      </c>
      <c r="J2233" s="87" t="s">
        <v>2998</v>
      </c>
      <c r="K2233" s="90">
        <v>1600.0</v>
      </c>
      <c r="L2233" s="92"/>
      <c r="M2233" s="93"/>
      <c r="N2233" s="87" t="s">
        <v>6725</v>
      </c>
      <c r="O2233" s="87" t="s">
        <v>377</v>
      </c>
      <c r="P2233" s="87" t="s">
        <v>372</v>
      </c>
    </row>
    <row r="2234" ht="15.75" customHeight="1">
      <c r="A2234" s="87" t="s">
        <v>6747</v>
      </c>
      <c r="B2234" s="88">
        <v>1.22E18</v>
      </c>
      <c r="C2234" s="87" t="s">
        <v>6748</v>
      </c>
      <c r="D2234" s="87" t="s">
        <v>87</v>
      </c>
      <c r="E2234" s="87" t="s">
        <v>88</v>
      </c>
      <c r="F2234" s="87" t="s">
        <v>373</v>
      </c>
      <c r="H2234" s="93"/>
      <c r="I2234" s="87" t="s">
        <v>340</v>
      </c>
      <c r="J2234" s="87" t="s">
        <v>2998</v>
      </c>
      <c r="K2234" s="90">
        <v>100.0</v>
      </c>
      <c r="L2234" s="92"/>
      <c r="M2234" s="93"/>
      <c r="N2234" s="87" t="s">
        <v>2483</v>
      </c>
      <c r="O2234" s="87" t="s">
        <v>377</v>
      </c>
      <c r="P2234" s="87" t="s">
        <v>372</v>
      </c>
    </row>
    <row r="2235" ht="15.75" customHeight="1">
      <c r="A2235" s="87" t="s">
        <v>6749</v>
      </c>
      <c r="B2235" s="88">
        <v>1.22E18</v>
      </c>
      <c r="C2235" s="87" t="s">
        <v>6750</v>
      </c>
      <c r="D2235" s="87" t="s">
        <v>87</v>
      </c>
      <c r="E2235" s="87" t="s">
        <v>228</v>
      </c>
      <c r="F2235" s="87" t="s">
        <v>373</v>
      </c>
      <c r="H2235" s="93"/>
      <c r="I2235" s="87" t="s">
        <v>340</v>
      </c>
      <c r="J2235" s="87" t="s">
        <v>2998</v>
      </c>
      <c r="K2235" s="90">
        <v>0.0</v>
      </c>
      <c r="L2235" s="92"/>
      <c r="M2235" s="93"/>
      <c r="N2235" s="87" t="s">
        <v>6725</v>
      </c>
      <c r="O2235" s="87" t="s">
        <v>377</v>
      </c>
      <c r="P2235" s="87" t="s">
        <v>372</v>
      </c>
    </row>
    <row r="2236" ht="15.75" customHeight="1">
      <c r="A2236" s="87" t="s">
        <v>6751</v>
      </c>
      <c r="B2236" s="88">
        <v>1.22E18</v>
      </c>
      <c r="C2236" s="87" t="s">
        <v>6752</v>
      </c>
      <c r="D2236" s="87" t="s">
        <v>87</v>
      </c>
      <c r="E2236" s="87" t="s">
        <v>228</v>
      </c>
      <c r="F2236" s="87" t="s">
        <v>373</v>
      </c>
      <c r="H2236" s="93"/>
      <c r="I2236" s="87" t="s">
        <v>340</v>
      </c>
      <c r="J2236" s="87" t="s">
        <v>2998</v>
      </c>
      <c r="K2236" s="90">
        <v>0.0</v>
      </c>
      <c r="L2236" s="92"/>
      <c r="M2236" s="93"/>
      <c r="N2236" s="87" t="s">
        <v>6725</v>
      </c>
      <c r="O2236" s="87" t="s">
        <v>377</v>
      </c>
      <c r="P2236" s="87" t="s">
        <v>372</v>
      </c>
    </row>
    <row r="2237" ht="15.75" customHeight="1">
      <c r="A2237" s="87" t="s">
        <v>6753</v>
      </c>
      <c r="B2237" s="88">
        <v>1.22E18</v>
      </c>
      <c r="C2237" s="87" t="s">
        <v>6754</v>
      </c>
      <c r="D2237" s="87" t="s">
        <v>87</v>
      </c>
      <c r="E2237" s="87" t="s">
        <v>228</v>
      </c>
      <c r="F2237" s="87" t="s">
        <v>373</v>
      </c>
      <c r="H2237" s="93"/>
      <c r="I2237" s="87" t="s">
        <v>340</v>
      </c>
      <c r="J2237" s="87" t="s">
        <v>6736</v>
      </c>
      <c r="K2237" s="90">
        <v>750.0</v>
      </c>
      <c r="L2237" s="92"/>
      <c r="M2237" s="93"/>
      <c r="N2237" s="87" t="s">
        <v>838</v>
      </c>
      <c r="O2237" s="87" t="s">
        <v>377</v>
      </c>
      <c r="P2237" s="87" t="s">
        <v>372</v>
      </c>
    </row>
    <row r="2238" ht="15.75" customHeight="1">
      <c r="A2238" s="87" t="s">
        <v>6755</v>
      </c>
      <c r="B2238" s="88">
        <v>1.22E18</v>
      </c>
      <c r="C2238" s="87" t="s">
        <v>6756</v>
      </c>
      <c r="D2238" s="87" t="s">
        <v>87</v>
      </c>
      <c r="E2238" s="87" t="s">
        <v>228</v>
      </c>
      <c r="F2238" s="87" t="s">
        <v>373</v>
      </c>
      <c r="H2238" s="93"/>
      <c r="I2238" s="87" t="s">
        <v>340</v>
      </c>
      <c r="J2238" s="87" t="s">
        <v>6736</v>
      </c>
      <c r="K2238" s="90">
        <v>500.0</v>
      </c>
      <c r="L2238" s="92"/>
      <c r="M2238" s="93"/>
      <c r="N2238" s="93"/>
      <c r="O2238" s="87" t="s">
        <v>377</v>
      </c>
      <c r="P2238" s="87" t="s">
        <v>372</v>
      </c>
    </row>
    <row r="2239" ht="15.75" customHeight="1">
      <c r="A2239" s="87" t="s">
        <v>6757</v>
      </c>
      <c r="B2239" s="88">
        <v>1.22E18</v>
      </c>
      <c r="C2239" s="87" t="s">
        <v>6758</v>
      </c>
      <c r="D2239" s="87" t="s">
        <v>87</v>
      </c>
      <c r="E2239" s="87" t="s">
        <v>228</v>
      </c>
      <c r="F2239" s="87" t="s">
        <v>373</v>
      </c>
      <c r="H2239" s="93"/>
      <c r="I2239" s="87" t="s">
        <v>340</v>
      </c>
      <c r="J2239" s="87" t="s">
        <v>2998</v>
      </c>
      <c r="K2239" s="90">
        <v>0.0</v>
      </c>
      <c r="L2239" s="92"/>
      <c r="M2239" s="93"/>
      <c r="N2239" s="93"/>
      <c r="O2239" s="87" t="s">
        <v>377</v>
      </c>
      <c r="P2239" s="87" t="s">
        <v>372</v>
      </c>
    </row>
    <row r="2240" ht="15.75" customHeight="1">
      <c r="A2240" s="87" t="s">
        <v>6759</v>
      </c>
      <c r="B2240" s="88">
        <v>1.22E18</v>
      </c>
      <c r="C2240" s="87" t="s">
        <v>6760</v>
      </c>
      <c r="D2240" s="87" t="s">
        <v>87</v>
      </c>
      <c r="E2240" s="87" t="s">
        <v>88</v>
      </c>
      <c r="F2240" s="87" t="s">
        <v>379</v>
      </c>
      <c r="G2240" s="93"/>
      <c r="H2240" s="93"/>
      <c r="I2240" s="93"/>
      <c r="J2240" s="87" t="s">
        <v>6761</v>
      </c>
      <c r="K2240" s="90">
        <v>0.0</v>
      </c>
      <c r="L2240" s="92"/>
      <c r="M2240" s="93"/>
      <c r="N2240" s="87" t="s">
        <v>6762</v>
      </c>
      <c r="O2240" s="87" t="s">
        <v>377</v>
      </c>
      <c r="P2240" s="87" t="s">
        <v>372</v>
      </c>
    </row>
    <row r="2241" ht="15.75" customHeight="1">
      <c r="A2241" s="87" t="s">
        <v>6763</v>
      </c>
      <c r="B2241" s="88">
        <v>1.22E18</v>
      </c>
      <c r="C2241" s="87" t="s">
        <v>6764</v>
      </c>
      <c r="D2241" s="87" t="s">
        <v>87</v>
      </c>
      <c r="E2241" s="87" t="s">
        <v>88</v>
      </c>
      <c r="F2241" s="87" t="s">
        <v>379</v>
      </c>
      <c r="G2241" s="93"/>
      <c r="H2241" s="93"/>
      <c r="I2241" s="93"/>
      <c r="J2241" s="87" t="s">
        <v>6765</v>
      </c>
      <c r="K2241" s="90">
        <v>0.0</v>
      </c>
      <c r="L2241" s="92"/>
      <c r="M2241" s="93"/>
      <c r="N2241" s="87" t="s">
        <v>5737</v>
      </c>
      <c r="O2241" s="87" t="s">
        <v>377</v>
      </c>
      <c r="P2241" s="87" t="s">
        <v>372</v>
      </c>
    </row>
    <row r="2242" ht="15.75" customHeight="1">
      <c r="A2242" s="87" t="s">
        <v>6766</v>
      </c>
      <c r="B2242" s="88">
        <v>1.22E18</v>
      </c>
      <c r="C2242" s="87" t="s">
        <v>6767</v>
      </c>
      <c r="D2242" s="87" t="s">
        <v>87</v>
      </c>
      <c r="E2242" s="87" t="s">
        <v>88</v>
      </c>
      <c r="F2242" s="87" t="s">
        <v>379</v>
      </c>
      <c r="G2242" s="93"/>
      <c r="H2242" s="93"/>
      <c r="I2242" s="93"/>
      <c r="J2242" s="87" t="s">
        <v>6765</v>
      </c>
      <c r="K2242" s="90">
        <v>0.0</v>
      </c>
      <c r="L2242" s="92"/>
      <c r="M2242" s="93"/>
      <c r="N2242" s="87" t="s">
        <v>5737</v>
      </c>
      <c r="O2242" s="87" t="s">
        <v>377</v>
      </c>
      <c r="P2242" s="87" t="s">
        <v>372</v>
      </c>
    </row>
    <row r="2243" ht="15.75" customHeight="1">
      <c r="A2243" s="87" t="s">
        <v>6768</v>
      </c>
      <c r="B2243" s="88">
        <v>1.22E18</v>
      </c>
      <c r="C2243" s="87" t="s">
        <v>6769</v>
      </c>
      <c r="D2243" s="87" t="s">
        <v>87</v>
      </c>
      <c r="E2243" s="87" t="s">
        <v>102</v>
      </c>
      <c r="F2243" s="87" t="s">
        <v>379</v>
      </c>
      <c r="G2243" s="93"/>
      <c r="H2243" s="93"/>
      <c r="I2243" s="93"/>
      <c r="J2243" s="87" t="s">
        <v>6770</v>
      </c>
      <c r="K2243" s="90">
        <v>0.0</v>
      </c>
      <c r="L2243" s="92"/>
      <c r="M2243" s="93"/>
      <c r="N2243" s="93"/>
      <c r="O2243" s="87" t="s">
        <v>377</v>
      </c>
      <c r="P2243" s="87" t="s">
        <v>372</v>
      </c>
    </row>
    <row r="2244" ht="15.75" customHeight="1">
      <c r="A2244" s="87" t="s">
        <v>6771</v>
      </c>
      <c r="B2244" s="88">
        <v>1.22E18</v>
      </c>
      <c r="C2244" s="87" t="s">
        <v>6772</v>
      </c>
      <c r="D2244" s="87" t="s">
        <v>87</v>
      </c>
      <c r="E2244" s="87" t="s">
        <v>102</v>
      </c>
      <c r="F2244" s="87" t="s">
        <v>379</v>
      </c>
      <c r="G2244" s="93"/>
      <c r="H2244" s="93"/>
      <c r="I2244" s="93"/>
      <c r="J2244" s="87" t="s">
        <v>6773</v>
      </c>
      <c r="K2244" s="90">
        <v>0.0</v>
      </c>
      <c r="L2244" s="92"/>
      <c r="M2244" s="93"/>
      <c r="N2244" s="93"/>
      <c r="O2244" s="87" t="s">
        <v>377</v>
      </c>
      <c r="P2244" s="87" t="s">
        <v>372</v>
      </c>
    </row>
    <row r="2245" ht="15.75" customHeight="1">
      <c r="A2245" s="87" t="s">
        <v>6774</v>
      </c>
      <c r="B2245" s="88">
        <v>1.22E18</v>
      </c>
      <c r="C2245" s="87" t="s">
        <v>6775</v>
      </c>
      <c r="D2245" s="87" t="s">
        <v>87</v>
      </c>
      <c r="E2245" s="87" t="s">
        <v>102</v>
      </c>
      <c r="F2245" s="87" t="s">
        <v>379</v>
      </c>
      <c r="G2245" s="93"/>
      <c r="H2245" s="93"/>
      <c r="I2245" s="93"/>
      <c r="J2245" s="87" t="s">
        <v>6776</v>
      </c>
      <c r="K2245" s="90">
        <v>0.0</v>
      </c>
      <c r="L2245" s="92"/>
      <c r="M2245" s="93"/>
      <c r="N2245" s="93"/>
      <c r="O2245" s="87" t="s">
        <v>377</v>
      </c>
      <c r="P2245" s="87" t="s">
        <v>372</v>
      </c>
    </row>
    <row r="2246" ht="15.75" customHeight="1">
      <c r="A2246" s="87" t="s">
        <v>6777</v>
      </c>
      <c r="B2246" s="88">
        <v>1.22E18</v>
      </c>
      <c r="C2246" s="87" t="s">
        <v>6778</v>
      </c>
      <c r="D2246" s="87" t="s">
        <v>87</v>
      </c>
      <c r="E2246" s="87" t="s">
        <v>102</v>
      </c>
      <c r="F2246" s="87" t="s">
        <v>379</v>
      </c>
      <c r="G2246" s="93"/>
      <c r="H2246" s="93"/>
      <c r="I2246" s="87" t="s">
        <v>5180</v>
      </c>
      <c r="J2246" s="87" t="s">
        <v>6779</v>
      </c>
      <c r="K2246" s="90">
        <v>0.0</v>
      </c>
      <c r="L2246" s="92"/>
      <c r="M2246" s="93"/>
      <c r="N2246" s="87" t="s">
        <v>6780</v>
      </c>
      <c r="O2246" s="87" t="s">
        <v>377</v>
      </c>
      <c r="P2246" s="87" t="s">
        <v>372</v>
      </c>
    </row>
    <row r="2247" ht="15.75" customHeight="1">
      <c r="A2247" s="87" t="s">
        <v>6781</v>
      </c>
      <c r="B2247" s="88">
        <v>1.22E18</v>
      </c>
      <c r="C2247" s="87" t="s">
        <v>6782</v>
      </c>
      <c r="D2247" s="87" t="s">
        <v>87</v>
      </c>
      <c r="E2247" s="87" t="s">
        <v>102</v>
      </c>
      <c r="F2247" s="87" t="s">
        <v>379</v>
      </c>
      <c r="G2247" s="93"/>
      <c r="H2247" s="93"/>
      <c r="I2247" s="87" t="s">
        <v>5180</v>
      </c>
      <c r="J2247" s="87" t="s">
        <v>6783</v>
      </c>
      <c r="K2247" s="90">
        <v>0.0</v>
      </c>
      <c r="L2247" s="92"/>
      <c r="M2247" s="93"/>
      <c r="N2247" s="87" t="s">
        <v>6780</v>
      </c>
      <c r="O2247" s="87" t="s">
        <v>377</v>
      </c>
      <c r="P2247" s="87" t="s">
        <v>372</v>
      </c>
    </row>
    <row r="2248" ht="15.75" customHeight="1">
      <c r="A2248" s="87" t="s">
        <v>6784</v>
      </c>
      <c r="B2248" s="88">
        <v>1.22E18</v>
      </c>
      <c r="C2248" s="87" t="s">
        <v>6785</v>
      </c>
      <c r="D2248" s="87" t="s">
        <v>87</v>
      </c>
      <c r="E2248" s="87" t="s">
        <v>88</v>
      </c>
      <c r="F2248" s="87" t="s">
        <v>379</v>
      </c>
      <c r="G2248" s="93"/>
      <c r="H2248" s="93"/>
      <c r="I2248" s="93"/>
      <c r="J2248" s="87" t="s">
        <v>5013</v>
      </c>
      <c r="K2248" s="90">
        <v>0.0</v>
      </c>
      <c r="L2248" s="92"/>
      <c r="M2248" s="93"/>
      <c r="N2248" s="93"/>
      <c r="O2248" s="87" t="s">
        <v>377</v>
      </c>
      <c r="P2248" s="87" t="s">
        <v>372</v>
      </c>
    </row>
    <row r="2249" ht="15.75" customHeight="1">
      <c r="A2249" s="87" t="s">
        <v>6786</v>
      </c>
      <c r="B2249" s="88">
        <v>1.22E18</v>
      </c>
      <c r="C2249" s="87" t="s">
        <v>6787</v>
      </c>
      <c r="D2249" s="87" t="s">
        <v>87</v>
      </c>
      <c r="E2249" s="87" t="s">
        <v>233</v>
      </c>
      <c r="F2249" s="87" t="s">
        <v>379</v>
      </c>
      <c r="G2249" s="93"/>
      <c r="H2249" s="93"/>
      <c r="I2249" s="93"/>
      <c r="J2249" s="87" t="s">
        <v>405</v>
      </c>
      <c r="K2249" s="90">
        <v>500.0</v>
      </c>
      <c r="L2249" s="92"/>
      <c r="M2249" s="93"/>
      <c r="N2249" s="87" t="s">
        <v>6725</v>
      </c>
      <c r="O2249" s="87" t="s">
        <v>377</v>
      </c>
      <c r="P2249" s="87" t="s">
        <v>372</v>
      </c>
    </row>
    <row r="2250" ht="15.75" customHeight="1">
      <c r="A2250" s="87" t="s">
        <v>6788</v>
      </c>
      <c r="B2250" s="88">
        <v>1.22E18</v>
      </c>
      <c r="C2250" s="87" t="s">
        <v>6789</v>
      </c>
      <c r="D2250" s="87" t="s">
        <v>87</v>
      </c>
      <c r="E2250" s="87" t="s">
        <v>233</v>
      </c>
      <c r="F2250" s="87" t="s">
        <v>379</v>
      </c>
      <c r="G2250" s="93"/>
      <c r="H2250" s="93"/>
      <c r="I2250" s="93"/>
      <c r="J2250" s="87" t="s">
        <v>405</v>
      </c>
      <c r="K2250" s="90">
        <v>10.0</v>
      </c>
      <c r="L2250" s="92"/>
      <c r="M2250" s="93"/>
      <c r="N2250" s="87" t="s">
        <v>6725</v>
      </c>
      <c r="O2250" s="87" t="s">
        <v>377</v>
      </c>
      <c r="P2250" s="87" t="s">
        <v>372</v>
      </c>
    </row>
    <row r="2251" ht="15.75" customHeight="1">
      <c r="A2251" s="87" t="s">
        <v>6790</v>
      </c>
      <c r="B2251" s="88">
        <v>1.22E18</v>
      </c>
      <c r="C2251" s="87" t="s">
        <v>6791</v>
      </c>
      <c r="D2251" s="87" t="s">
        <v>87</v>
      </c>
      <c r="E2251" s="87" t="s">
        <v>102</v>
      </c>
      <c r="F2251" s="87" t="s">
        <v>6791</v>
      </c>
      <c r="I2251" s="87" t="s">
        <v>58</v>
      </c>
      <c r="J2251" s="87" t="s">
        <v>6792</v>
      </c>
      <c r="K2251" s="90">
        <v>0.0</v>
      </c>
      <c r="L2251" s="92"/>
      <c r="M2251" s="93"/>
      <c r="N2251" s="87" t="s">
        <v>4427</v>
      </c>
      <c r="O2251" s="87" t="s">
        <v>377</v>
      </c>
      <c r="P2251" s="87" t="s">
        <v>372</v>
      </c>
    </row>
    <row r="2252" ht="15.75" customHeight="1">
      <c r="A2252" s="87" t="s">
        <v>6793</v>
      </c>
      <c r="B2252" s="88">
        <v>1.22E18</v>
      </c>
      <c r="C2252" s="87" t="s">
        <v>6794</v>
      </c>
      <c r="D2252" s="87" t="s">
        <v>262</v>
      </c>
      <c r="E2252" s="87" t="s">
        <v>278</v>
      </c>
      <c r="F2252" s="87" t="s">
        <v>6794</v>
      </c>
      <c r="I2252" s="87" t="s">
        <v>58</v>
      </c>
      <c r="J2252" s="87" t="s">
        <v>6795</v>
      </c>
      <c r="L2252" s="92"/>
      <c r="M2252" s="93"/>
      <c r="N2252" s="87" t="s">
        <v>3315</v>
      </c>
      <c r="O2252" s="87" t="s">
        <v>377</v>
      </c>
      <c r="P2252" s="87" t="s">
        <v>2565</v>
      </c>
    </row>
    <row r="2253" ht="15.75" customHeight="1">
      <c r="A2253" s="87" t="s">
        <v>6796</v>
      </c>
      <c r="B2253" s="88">
        <v>1.22E18</v>
      </c>
      <c r="C2253" s="87" t="s">
        <v>6797</v>
      </c>
      <c r="D2253" s="87" t="s">
        <v>56</v>
      </c>
      <c r="E2253" s="87" t="s">
        <v>248</v>
      </c>
      <c r="F2253" s="87" t="s">
        <v>2769</v>
      </c>
      <c r="G2253" s="93"/>
      <c r="H2253" s="93"/>
      <c r="I2253" s="93"/>
      <c r="J2253" s="87" t="s">
        <v>2041</v>
      </c>
      <c r="K2253" s="90">
        <v>0.0</v>
      </c>
      <c r="L2253" s="92"/>
      <c r="M2253" s="93"/>
      <c r="N2253" s="87" t="s">
        <v>5364</v>
      </c>
      <c r="O2253" s="87" t="s">
        <v>377</v>
      </c>
      <c r="P2253" s="87" t="s">
        <v>372</v>
      </c>
    </row>
    <row r="2254" ht="15.75" customHeight="1">
      <c r="A2254" s="87" t="s">
        <v>6798</v>
      </c>
      <c r="B2254" s="88">
        <v>1.22E18</v>
      </c>
      <c r="C2254" s="87" t="s">
        <v>6799</v>
      </c>
      <c r="D2254" s="87" t="s">
        <v>56</v>
      </c>
      <c r="E2254" s="87" t="s">
        <v>248</v>
      </c>
      <c r="F2254" s="87" t="s">
        <v>2769</v>
      </c>
      <c r="G2254" s="93"/>
      <c r="H2254" s="93"/>
      <c r="I2254" s="87" t="s">
        <v>58</v>
      </c>
      <c r="J2254" s="87" t="s">
        <v>2011</v>
      </c>
      <c r="K2254" s="90">
        <v>0.0</v>
      </c>
      <c r="L2254" s="92"/>
      <c r="M2254" s="93"/>
      <c r="N2254" s="87" t="s">
        <v>5364</v>
      </c>
      <c r="O2254" s="87" t="s">
        <v>377</v>
      </c>
      <c r="P2254" s="87" t="s">
        <v>372</v>
      </c>
    </row>
    <row r="2255" ht="15.75" customHeight="1">
      <c r="A2255" s="87" t="s">
        <v>6800</v>
      </c>
      <c r="B2255" s="88">
        <v>1.22E18</v>
      </c>
      <c r="C2255" s="87" t="s">
        <v>6801</v>
      </c>
      <c r="D2255" s="87" t="s">
        <v>56</v>
      </c>
      <c r="E2255" s="87" t="s">
        <v>248</v>
      </c>
      <c r="F2255" s="87" t="s">
        <v>2769</v>
      </c>
      <c r="G2255" s="93"/>
      <c r="H2255" s="93"/>
      <c r="I2255" s="87" t="s">
        <v>58</v>
      </c>
      <c r="J2255" s="87" t="s">
        <v>3787</v>
      </c>
      <c r="K2255" s="90">
        <v>0.0</v>
      </c>
      <c r="L2255" s="92"/>
      <c r="M2255" s="93"/>
      <c r="N2255" s="87" t="s">
        <v>5364</v>
      </c>
      <c r="O2255" s="87" t="s">
        <v>377</v>
      </c>
      <c r="P2255" s="87" t="s">
        <v>372</v>
      </c>
    </row>
    <row r="2256" ht="15.75" customHeight="1">
      <c r="A2256" s="87" t="s">
        <v>6802</v>
      </c>
      <c r="B2256" s="88">
        <v>1.22E18</v>
      </c>
      <c r="C2256" s="87" t="s">
        <v>6803</v>
      </c>
      <c r="D2256" s="87" t="s">
        <v>56</v>
      </c>
      <c r="E2256" s="87" t="s">
        <v>248</v>
      </c>
      <c r="F2256" s="87" t="s">
        <v>2769</v>
      </c>
      <c r="G2256" s="93"/>
      <c r="H2256" s="93"/>
      <c r="I2256" s="87" t="s">
        <v>58</v>
      </c>
      <c r="J2256" s="87" t="s">
        <v>2112</v>
      </c>
      <c r="K2256" s="90">
        <v>0.0</v>
      </c>
      <c r="L2256" s="92"/>
      <c r="M2256" s="93"/>
      <c r="N2256" s="87" t="s">
        <v>5364</v>
      </c>
      <c r="O2256" s="87" t="s">
        <v>377</v>
      </c>
      <c r="P2256" s="87" t="s">
        <v>372</v>
      </c>
    </row>
    <row r="2257" ht="15.75" customHeight="1">
      <c r="A2257" s="87" t="s">
        <v>6804</v>
      </c>
      <c r="B2257" s="88">
        <v>1.22E18</v>
      </c>
      <c r="C2257" s="87" t="s">
        <v>6805</v>
      </c>
      <c r="D2257" s="87" t="s">
        <v>262</v>
      </c>
      <c r="E2257" s="87" t="s">
        <v>270</v>
      </c>
      <c r="F2257" s="87" t="s">
        <v>1749</v>
      </c>
      <c r="H2257" s="93"/>
      <c r="I2257" s="87" t="s">
        <v>58</v>
      </c>
      <c r="J2257" s="87" t="s">
        <v>4535</v>
      </c>
      <c r="K2257" s="90">
        <v>0.0</v>
      </c>
      <c r="L2257" s="92"/>
      <c r="M2257" s="93"/>
      <c r="N2257" s="87" t="s">
        <v>5364</v>
      </c>
      <c r="O2257" s="87" t="s">
        <v>377</v>
      </c>
      <c r="P2257" s="87" t="s">
        <v>372</v>
      </c>
    </row>
    <row r="2258" ht="15.75" customHeight="1">
      <c r="A2258" s="87" t="s">
        <v>6806</v>
      </c>
      <c r="B2258" s="88">
        <v>1.22E18</v>
      </c>
      <c r="C2258" s="87" t="s">
        <v>6807</v>
      </c>
      <c r="D2258" s="87" t="s">
        <v>262</v>
      </c>
      <c r="E2258" s="87" t="s">
        <v>270</v>
      </c>
      <c r="F2258" s="87" t="s">
        <v>1749</v>
      </c>
      <c r="H2258" s="93"/>
      <c r="I2258" s="87" t="s">
        <v>58</v>
      </c>
      <c r="J2258" s="87" t="s">
        <v>3518</v>
      </c>
      <c r="K2258" s="90">
        <v>0.0</v>
      </c>
      <c r="L2258" s="92"/>
      <c r="M2258" s="93"/>
      <c r="N2258" s="87" t="s">
        <v>5364</v>
      </c>
      <c r="O2258" s="87" t="s">
        <v>377</v>
      </c>
      <c r="P2258" s="87" t="s">
        <v>372</v>
      </c>
    </row>
    <row r="2259" ht="15.75" customHeight="1">
      <c r="A2259" s="87" t="s">
        <v>6808</v>
      </c>
      <c r="B2259" s="88">
        <v>1.22E18</v>
      </c>
      <c r="C2259" s="87" t="s">
        <v>6809</v>
      </c>
      <c r="D2259" s="87" t="s">
        <v>56</v>
      </c>
      <c r="E2259" s="87" t="s">
        <v>248</v>
      </c>
      <c r="F2259" s="87" t="s">
        <v>2769</v>
      </c>
      <c r="G2259" s="93"/>
      <c r="H2259" s="93"/>
      <c r="I2259" s="87" t="s">
        <v>58</v>
      </c>
      <c r="J2259" s="87" t="s">
        <v>6810</v>
      </c>
      <c r="K2259" s="90">
        <v>0.0</v>
      </c>
      <c r="L2259" s="92"/>
      <c r="M2259" s="93"/>
      <c r="N2259" s="87" t="s">
        <v>5364</v>
      </c>
      <c r="O2259" s="87" t="s">
        <v>377</v>
      </c>
      <c r="P2259" s="87" t="s">
        <v>372</v>
      </c>
    </row>
    <row r="2260" ht="15.75" customHeight="1">
      <c r="A2260" s="87" t="s">
        <v>6811</v>
      </c>
      <c r="B2260" s="88">
        <v>1.22E18</v>
      </c>
      <c r="C2260" s="87" t="s">
        <v>6812</v>
      </c>
      <c r="D2260" s="87" t="s">
        <v>57</v>
      </c>
      <c r="E2260" s="87" t="s">
        <v>290</v>
      </c>
      <c r="F2260" s="87" t="s">
        <v>6812</v>
      </c>
      <c r="I2260" s="87" t="s">
        <v>58</v>
      </c>
      <c r="J2260" s="87" t="s">
        <v>6813</v>
      </c>
      <c r="K2260" s="90">
        <v>0.0</v>
      </c>
      <c r="L2260" s="92"/>
      <c r="M2260" s="93"/>
      <c r="N2260" s="93"/>
      <c r="O2260" s="87" t="s">
        <v>377</v>
      </c>
      <c r="P2260" s="87" t="s">
        <v>372</v>
      </c>
    </row>
    <row r="2261" ht="15.75" customHeight="1">
      <c r="A2261" s="87" t="s">
        <v>6814</v>
      </c>
      <c r="B2261" s="88">
        <v>1.22E18</v>
      </c>
      <c r="C2261" s="87" t="s">
        <v>6815</v>
      </c>
      <c r="D2261" s="87" t="s">
        <v>57</v>
      </c>
      <c r="E2261" s="87" t="s">
        <v>290</v>
      </c>
      <c r="F2261" s="87" t="s">
        <v>6815</v>
      </c>
      <c r="I2261" s="87" t="s">
        <v>58</v>
      </c>
      <c r="J2261" s="87" t="s">
        <v>6816</v>
      </c>
      <c r="K2261" s="90">
        <v>0.0</v>
      </c>
      <c r="L2261" s="92"/>
      <c r="M2261" s="93"/>
      <c r="N2261" s="93"/>
      <c r="O2261" s="87" t="s">
        <v>377</v>
      </c>
      <c r="P2261" s="87" t="s">
        <v>372</v>
      </c>
    </row>
    <row r="2262" ht="15.75" customHeight="1">
      <c r="A2262" s="87" t="s">
        <v>6817</v>
      </c>
      <c r="B2262" s="88">
        <v>1.22E18</v>
      </c>
      <c r="C2262" s="87" t="s">
        <v>6818</v>
      </c>
      <c r="D2262" s="87" t="s">
        <v>57</v>
      </c>
      <c r="E2262" s="87" t="s">
        <v>290</v>
      </c>
      <c r="F2262" s="87" t="s">
        <v>6818</v>
      </c>
      <c r="I2262" s="87" t="s">
        <v>58</v>
      </c>
      <c r="J2262" s="87" t="s">
        <v>6819</v>
      </c>
      <c r="K2262" s="90">
        <v>0.0</v>
      </c>
      <c r="L2262" s="92"/>
      <c r="M2262" s="93"/>
      <c r="N2262" s="93"/>
      <c r="O2262" s="87" t="s">
        <v>377</v>
      </c>
      <c r="P2262" s="87" t="s">
        <v>372</v>
      </c>
    </row>
    <row r="2263" ht="15.75" customHeight="1">
      <c r="A2263" s="87" t="s">
        <v>6820</v>
      </c>
      <c r="B2263" s="88">
        <v>1.22E18</v>
      </c>
      <c r="C2263" s="87" t="s">
        <v>6821</v>
      </c>
      <c r="D2263" s="87" t="s">
        <v>87</v>
      </c>
      <c r="E2263" s="87" t="s">
        <v>88</v>
      </c>
      <c r="F2263" s="87" t="s">
        <v>6821</v>
      </c>
      <c r="I2263" s="87" t="s">
        <v>58</v>
      </c>
      <c r="J2263" s="87" t="s">
        <v>6822</v>
      </c>
      <c r="K2263" s="90">
        <v>0.0</v>
      </c>
      <c r="L2263" s="92"/>
      <c r="M2263" s="93"/>
      <c r="N2263" s="93"/>
      <c r="O2263" s="87" t="s">
        <v>377</v>
      </c>
      <c r="P2263" s="87" t="s">
        <v>372</v>
      </c>
    </row>
    <row r="2264" ht="15.75" customHeight="1">
      <c r="A2264" s="87" t="s">
        <v>6823</v>
      </c>
      <c r="B2264" s="88">
        <v>1.22E18</v>
      </c>
      <c r="C2264" s="87" t="s">
        <v>6824</v>
      </c>
      <c r="D2264" s="87" t="s">
        <v>57</v>
      </c>
      <c r="E2264" s="87" t="s">
        <v>290</v>
      </c>
      <c r="F2264" s="87" t="s">
        <v>6824</v>
      </c>
      <c r="I2264" s="87" t="s">
        <v>58</v>
      </c>
      <c r="J2264" s="87" t="s">
        <v>6825</v>
      </c>
      <c r="K2264" s="90">
        <v>0.0</v>
      </c>
      <c r="L2264" s="92"/>
      <c r="M2264" s="93"/>
      <c r="N2264" s="93"/>
      <c r="O2264" s="87" t="s">
        <v>377</v>
      </c>
      <c r="P2264" s="87" t="s">
        <v>372</v>
      </c>
    </row>
    <row r="2265" ht="15.75" customHeight="1">
      <c r="A2265" s="87" t="s">
        <v>6826</v>
      </c>
      <c r="B2265" s="88">
        <v>1.22E18</v>
      </c>
      <c r="C2265" s="87" t="s">
        <v>6827</v>
      </c>
      <c r="D2265" s="87" t="s">
        <v>57</v>
      </c>
      <c r="E2265" s="87" t="s">
        <v>290</v>
      </c>
      <c r="F2265" s="87" t="s">
        <v>6827</v>
      </c>
      <c r="I2265" s="87" t="s">
        <v>58</v>
      </c>
      <c r="J2265" s="87" t="s">
        <v>6828</v>
      </c>
      <c r="K2265" s="90">
        <v>0.0</v>
      </c>
      <c r="L2265" s="92"/>
      <c r="M2265" s="93"/>
      <c r="N2265" s="93"/>
      <c r="O2265" s="87" t="s">
        <v>377</v>
      </c>
      <c r="P2265" s="87" t="s">
        <v>372</v>
      </c>
    </row>
    <row r="2266" ht="15.75" customHeight="1">
      <c r="A2266" s="87" t="s">
        <v>6829</v>
      </c>
      <c r="B2266" s="88">
        <v>1.22E18</v>
      </c>
      <c r="C2266" s="87" t="s">
        <v>6830</v>
      </c>
      <c r="D2266" s="87" t="s">
        <v>262</v>
      </c>
      <c r="E2266" s="87" t="s">
        <v>275</v>
      </c>
      <c r="F2266" s="87" t="s">
        <v>6830</v>
      </c>
      <c r="I2266" s="87" t="s">
        <v>58</v>
      </c>
      <c r="J2266" s="87" t="s">
        <v>6831</v>
      </c>
      <c r="K2266" s="90">
        <v>0.0</v>
      </c>
      <c r="L2266" s="92"/>
      <c r="M2266" s="93"/>
      <c r="N2266" s="87" t="s">
        <v>6832</v>
      </c>
      <c r="O2266" s="87" t="s">
        <v>377</v>
      </c>
      <c r="P2266" s="87" t="s">
        <v>372</v>
      </c>
    </row>
    <row r="2267" ht="15.75" customHeight="1">
      <c r="A2267" s="87" t="s">
        <v>6833</v>
      </c>
      <c r="B2267" s="88">
        <v>1.22E18</v>
      </c>
      <c r="C2267" s="87" t="s">
        <v>6834</v>
      </c>
      <c r="D2267" s="87" t="s">
        <v>87</v>
      </c>
      <c r="E2267" s="87" t="s">
        <v>236</v>
      </c>
      <c r="F2267" s="118" t="s">
        <v>6834</v>
      </c>
      <c r="G2267" s="130"/>
      <c r="H2267" s="119"/>
      <c r="I2267" s="87" t="s">
        <v>58</v>
      </c>
      <c r="J2267" s="87" t="s">
        <v>6835</v>
      </c>
      <c r="K2267" s="90">
        <v>2.0</v>
      </c>
      <c r="L2267" s="92"/>
      <c r="M2267" s="93"/>
      <c r="N2267" s="87" t="s">
        <v>1015</v>
      </c>
      <c r="O2267" s="87" t="s">
        <v>377</v>
      </c>
      <c r="P2267" s="87" t="s">
        <v>372</v>
      </c>
    </row>
    <row r="2268" ht="15.75" customHeight="1">
      <c r="A2268" s="87" t="s">
        <v>6836</v>
      </c>
      <c r="B2268" s="88">
        <v>1.22E18</v>
      </c>
      <c r="C2268" s="87" t="s">
        <v>6837</v>
      </c>
      <c r="D2268" s="87" t="s">
        <v>87</v>
      </c>
      <c r="E2268" s="87" t="s">
        <v>236</v>
      </c>
      <c r="F2268" s="118" t="s">
        <v>6837</v>
      </c>
      <c r="G2268" s="130"/>
      <c r="H2268" s="119"/>
      <c r="I2268" s="87" t="s">
        <v>58</v>
      </c>
      <c r="J2268" s="87" t="s">
        <v>6835</v>
      </c>
      <c r="K2268" s="90">
        <v>2.0</v>
      </c>
      <c r="L2268" s="92"/>
      <c r="M2268" s="93"/>
      <c r="N2268" s="93"/>
      <c r="O2268" s="87" t="s">
        <v>377</v>
      </c>
      <c r="P2268" s="87" t="s">
        <v>372</v>
      </c>
    </row>
    <row r="2269" ht="15.75" customHeight="1">
      <c r="A2269" s="87" t="s">
        <v>6838</v>
      </c>
      <c r="B2269" s="88">
        <v>1.22E18</v>
      </c>
      <c r="C2269" s="87" t="s">
        <v>6839</v>
      </c>
      <c r="D2269" s="87" t="s">
        <v>87</v>
      </c>
      <c r="E2269" s="87" t="s">
        <v>236</v>
      </c>
      <c r="F2269" s="118" t="s">
        <v>6839</v>
      </c>
      <c r="G2269" s="130"/>
      <c r="H2269" s="119"/>
      <c r="I2269" s="87" t="s">
        <v>58</v>
      </c>
      <c r="J2269" s="87" t="s">
        <v>6835</v>
      </c>
      <c r="K2269" s="90">
        <v>0.0</v>
      </c>
      <c r="L2269" s="92"/>
      <c r="M2269" s="93"/>
      <c r="N2269" s="93"/>
      <c r="O2269" s="87" t="s">
        <v>377</v>
      </c>
      <c r="P2269" s="87" t="s">
        <v>372</v>
      </c>
    </row>
    <row r="2270" ht="15.75" customHeight="1">
      <c r="A2270" s="87" t="s">
        <v>6840</v>
      </c>
      <c r="B2270" s="88">
        <v>1.22E18</v>
      </c>
      <c r="C2270" s="87" t="s">
        <v>6841</v>
      </c>
      <c r="D2270" s="87" t="s">
        <v>87</v>
      </c>
      <c r="E2270" s="87" t="s">
        <v>88</v>
      </c>
      <c r="F2270" s="87" t="s">
        <v>6841</v>
      </c>
      <c r="I2270" s="87" t="s">
        <v>58</v>
      </c>
      <c r="J2270" s="87" t="s">
        <v>6842</v>
      </c>
      <c r="K2270" s="90">
        <v>0.0</v>
      </c>
      <c r="L2270" s="92"/>
      <c r="M2270" s="93"/>
      <c r="N2270" s="87" t="s">
        <v>474</v>
      </c>
      <c r="O2270" s="87" t="s">
        <v>377</v>
      </c>
      <c r="P2270" s="87" t="s">
        <v>372</v>
      </c>
    </row>
    <row r="2271" ht="15.75" customHeight="1">
      <c r="A2271" s="87" t="s">
        <v>6843</v>
      </c>
      <c r="B2271" s="88">
        <v>1.22E18</v>
      </c>
      <c r="C2271" s="87" t="s">
        <v>6844</v>
      </c>
      <c r="D2271" s="87" t="s">
        <v>56</v>
      </c>
      <c r="E2271" s="87" t="s">
        <v>102</v>
      </c>
      <c r="F2271" s="87" t="s">
        <v>1763</v>
      </c>
      <c r="I2271" s="93"/>
      <c r="J2271" s="87" t="s">
        <v>6845</v>
      </c>
      <c r="K2271" s="90">
        <v>0.0</v>
      </c>
      <c r="L2271" s="92"/>
      <c r="M2271" s="93"/>
      <c r="N2271" s="93"/>
      <c r="O2271" s="87" t="s">
        <v>377</v>
      </c>
      <c r="P2271" s="87" t="s">
        <v>372</v>
      </c>
    </row>
    <row r="2272" ht="15.75" customHeight="1">
      <c r="A2272" s="87" t="s">
        <v>6846</v>
      </c>
      <c r="B2272" s="88">
        <v>1.22E18</v>
      </c>
      <c r="C2272" s="87" t="s">
        <v>6847</v>
      </c>
      <c r="D2272" s="87" t="s">
        <v>57</v>
      </c>
      <c r="E2272" s="87" t="s">
        <v>290</v>
      </c>
      <c r="F2272" s="118" t="s">
        <v>6847</v>
      </c>
      <c r="G2272" s="130"/>
      <c r="H2272" s="119"/>
      <c r="I2272" s="87" t="s">
        <v>58</v>
      </c>
      <c r="J2272" s="87" t="s">
        <v>6848</v>
      </c>
      <c r="K2272" s="90">
        <v>0.0</v>
      </c>
      <c r="L2272" s="92"/>
      <c r="M2272" s="93"/>
      <c r="N2272" s="87" t="s">
        <v>1772</v>
      </c>
      <c r="O2272" s="87" t="s">
        <v>377</v>
      </c>
      <c r="P2272" s="87" t="s">
        <v>372</v>
      </c>
    </row>
    <row r="2273" ht="15.75" customHeight="1">
      <c r="A2273" s="87" t="s">
        <v>6849</v>
      </c>
      <c r="B2273" s="88">
        <v>1.22E18</v>
      </c>
      <c r="C2273" s="87" t="s">
        <v>6850</v>
      </c>
      <c r="D2273" s="87" t="s">
        <v>87</v>
      </c>
      <c r="E2273" s="87" t="s">
        <v>88</v>
      </c>
      <c r="F2273" s="118" t="s">
        <v>6850</v>
      </c>
      <c r="G2273" s="130"/>
      <c r="H2273" s="119"/>
      <c r="I2273" s="87" t="s">
        <v>58</v>
      </c>
      <c r="J2273" s="87" t="s">
        <v>6851</v>
      </c>
      <c r="K2273" s="90">
        <v>0.0</v>
      </c>
      <c r="L2273" s="92"/>
      <c r="M2273" s="93"/>
      <c r="N2273" s="87" t="s">
        <v>1772</v>
      </c>
      <c r="O2273" s="87" t="s">
        <v>377</v>
      </c>
      <c r="P2273" s="87" t="s">
        <v>372</v>
      </c>
    </row>
    <row r="2274" ht="15.75" customHeight="1">
      <c r="A2274" s="87" t="s">
        <v>6852</v>
      </c>
      <c r="B2274" s="88">
        <v>1.22E18</v>
      </c>
      <c r="C2274" s="87" t="s">
        <v>6853</v>
      </c>
      <c r="D2274" s="87" t="s">
        <v>87</v>
      </c>
      <c r="E2274" s="87" t="s">
        <v>88</v>
      </c>
      <c r="F2274" s="87" t="s">
        <v>6853</v>
      </c>
      <c r="I2274" s="87" t="s">
        <v>58</v>
      </c>
      <c r="J2274" s="87" t="s">
        <v>6854</v>
      </c>
      <c r="K2274" s="90">
        <v>0.0</v>
      </c>
      <c r="L2274" s="92"/>
      <c r="M2274" s="93"/>
      <c r="N2274" s="87" t="s">
        <v>1772</v>
      </c>
      <c r="O2274" s="87" t="s">
        <v>377</v>
      </c>
      <c r="P2274" s="87" t="s">
        <v>372</v>
      </c>
    </row>
    <row r="2275" ht="15.75" customHeight="1">
      <c r="A2275" s="87" t="s">
        <v>6855</v>
      </c>
      <c r="B2275" s="88">
        <v>1.22E18</v>
      </c>
      <c r="C2275" s="87" t="s">
        <v>6856</v>
      </c>
      <c r="D2275" s="87" t="s">
        <v>87</v>
      </c>
      <c r="E2275" s="87" t="s">
        <v>88</v>
      </c>
      <c r="F2275" s="87" t="s">
        <v>373</v>
      </c>
      <c r="H2275" s="93"/>
      <c r="I2275" s="87" t="s">
        <v>340</v>
      </c>
      <c r="J2275" s="87" t="s">
        <v>6857</v>
      </c>
      <c r="K2275" s="90">
        <v>4.0</v>
      </c>
      <c r="L2275" s="92"/>
      <c r="M2275" s="93"/>
      <c r="N2275" s="87" t="s">
        <v>390</v>
      </c>
      <c r="O2275" s="87" t="s">
        <v>377</v>
      </c>
      <c r="P2275" s="87" t="s">
        <v>372</v>
      </c>
    </row>
    <row r="2276" ht="15.75" customHeight="1">
      <c r="A2276" s="87" t="s">
        <v>6858</v>
      </c>
      <c r="B2276" s="88">
        <v>1.22E18</v>
      </c>
      <c r="C2276" s="87" t="s">
        <v>6859</v>
      </c>
      <c r="D2276" s="87" t="s">
        <v>87</v>
      </c>
      <c r="E2276" s="87" t="s">
        <v>88</v>
      </c>
      <c r="F2276" s="87" t="s">
        <v>6859</v>
      </c>
      <c r="I2276" s="87" t="s">
        <v>340</v>
      </c>
      <c r="J2276" s="87" t="s">
        <v>6860</v>
      </c>
      <c r="K2276" s="90">
        <v>10.0</v>
      </c>
      <c r="L2276" s="92"/>
      <c r="M2276" s="93"/>
      <c r="N2276" s="87" t="s">
        <v>390</v>
      </c>
      <c r="O2276" s="87" t="s">
        <v>377</v>
      </c>
      <c r="P2276" s="87" t="s">
        <v>372</v>
      </c>
    </row>
    <row r="2277" ht="15.75" customHeight="1">
      <c r="A2277" s="87" t="s">
        <v>6861</v>
      </c>
      <c r="B2277" s="88">
        <v>1.22E18</v>
      </c>
      <c r="C2277" s="87" t="s">
        <v>6862</v>
      </c>
      <c r="D2277" s="87" t="s">
        <v>87</v>
      </c>
      <c r="E2277" s="87" t="s">
        <v>88</v>
      </c>
      <c r="F2277" s="87" t="s">
        <v>6862</v>
      </c>
      <c r="I2277" s="87" t="s">
        <v>340</v>
      </c>
      <c r="J2277" s="87" t="s">
        <v>6863</v>
      </c>
      <c r="K2277" s="90">
        <v>5.0</v>
      </c>
      <c r="L2277" s="92"/>
      <c r="M2277" s="93"/>
      <c r="N2277" s="87" t="s">
        <v>390</v>
      </c>
      <c r="O2277" s="87" t="s">
        <v>377</v>
      </c>
      <c r="P2277" s="87" t="s">
        <v>372</v>
      </c>
    </row>
    <row r="2278" ht="15.75" customHeight="1">
      <c r="A2278" s="87" t="s">
        <v>6864</v>
      </c>
      <c r="B2278" s="88">
        <v>1.22E18</v>
      </c>
      <c r="C2278" s="87" t="s">
        <v>6865</v>
      </c>
      <c r="D2278" s="87" t="s">
        <v>87</v>
      </c>
      <c r="E2278" s="87" t="s">
        <v>88</v>
      </c>
      <c r="F2278" s="118" t="s">
        <v>6865</v>
      </c>
      <c r="G2278" s="130"/>
      <c r="H2278" s="119"/>
      <c r="I2278" s="87" t="s">
        <v>340</v>
      </c>
      <c r="J2278" s="87" t="s">
        <v>6866</v>
      </c>
      <c r="K2278" s="90">
        <v>100.0</v>
      </c>
      <c r="L2278" s="92"/>
      <c r="M2278" s="93"/>
      <c r="N2278" s="87" t="s">
        <v>6867</v>
      </c>
      <c r="O2278" s="87" t="s">
        <v>377</v>
      </c>
      <c r="P2278" s="87" t="s">
        <v>372</v>
      </c>
    </row>
    <row r="2279" ht="15.75" customHeight="1">
      <c r="A2279" s="87" t="s">
        <v>6868</v>
      </c>
      <c r="B2279" s="88">
        <v>1.22E18</v>
      </c>
      <c r="C2279" s="87" t="s">
        <v>6869</v>
      </c>
      <c r="D2279" s="87" t="s">
        <v>87</v>
      </c>
      <c r="E2279" s="87" t="s">
        <v>88</v>
      </c>
      <c r="F2279" s="87" t="s">
        <v>6869</v>
      </c>
      <c r="H2279" s="93"/>
      <c r="I2279" s="87" t="s">
        <v>58</v>
      </c>
      <c r="J2279" s="87" t="s">
        <v>6870</v>
      </c>
      <c r="K2279" s="90">
        <v>0.0</v>
      </c>
      <c r="L2279" s="92"/>
      <c r="M2279" s="93"/>
      <c r="N2279" s="87" t="s">
        <v>5849</v>
      </c>
      <c r="O2279" s="87" t="s">
        <v>377</v>
      </c>
      <c r="P2279" s="87" t="s">
        <v>372</v>
      </c>
    </row>
    <row r="2280" ht="15.75" customHeight="1">
      <c r="A2280" s="87" t="s">
        <v>6871</v>
      </c>
      <c r="B2280" s="88">
        <v>1.22E18</v>
      </c>
      <c r="C2280" s="87" t="s">
        <v>6872</v>
      </c>
      <c r="D2280" s="87" t="s">
        <v>87</v>
      </c>
      <c r="E2280" s="87" t="s">
        <v>88</v>
      </c>
      <c r="F2280" s="87" t="s">
        <v>6872</v>
      </c>
      <c r="H2280" s="93"/>
      <c r="I2280" s="87" t="s">
        <v>58</v>
      </c>
      <c r="J2280" s="87" t="s">
        <v>6873</v>
      </c>
      <c r="K2280" s="90">
        <v>0.0</v>
      </c>
      <c r="L2280" s="92"/>
      <c r="M2280" s="93"/>
      <c r="N2280" s="87" t="s">
        <v>5849</v>
      </c>
      <c r="O2280" s="87" t="s">
        <v>377</v>
      </c>
      <c r="P2280" s="87" t="s">
        <v>372</v>
      </c>
    </row>
    <row r="2281" ht="15.75" customHeight="1">
      <c r="A2281" s="87" t="s">
        <v>6874</v>
      </c>
      <c r="B2281" s="88">
        <v>1.22E18</v>
      </c>
      <c r="C2281" s="87" t="s">
        <v>6875</v>
      </c>
      <c r="D2281" s="87" t="s">
        <v>87</v>
      </c>
      <c r="E2281" s="87" t="s">
        <v>88</v>
      </c>
      <c r="F2281" s="87" t="s">
        <v>6875</v>
      </c>
      <c r="I2281" s="87" t="s">
        <v>58</v>
      </c>
      <c r="J2281" s="87" t="s">
        <v>6876</v>
      </c>
      <c r="K2281" s="90">
        <v>0.0</v>
      </c>
      <c r="L2281" s="92"/>
      <c r="M2281" s="93"/>
      <c r="N2281" s="93"/>
      <c r="O2281" s="87" t="s">
        <v>377</v>
      </c>
      <c r="P2281" s="87" t="s">
        <v>372</v>
      </c>
    </row>
    <row r="2282" ht="15.75" customHeight="1">
      <c r="A2282" s="87" t="s">
        <v>6877</v>
      </c>
      <c r="B2282" s="88">
        <v>1.22E18</v>
      </c>
      <c r="C2282" s="87" t="s">
        <v>6878</v>
      </c>
      <c r="D2282" s="87" t="s">
        <v>87</v>
      </c>
      <c r="E2282" s="87" t="s">
        <v>88</v>
      </c>
      <c r="F2282" s="87" t="s">
        <v>6878</v>
      </c>
      <c r="I2282" s="87" t="s">
        <v>327</v>
      </c>
      <c r="J2282" s="87" t="s">
        <v>6879</v>
      </c>
      <c r="K2282" s="90">
        <v>0.0</v>
      </c>
      <c r="L2282" s="92"/>
      <c r="M2282" s="93"/>
      <c r="N2282" s="87" t="s">
        <v>390</v>
      </c>
      <c r="O2282" s="87" t="s">
        <v>377</v>
      </c>
      <c r="P2282" s="87" t="s">
        <v>372</v>
      </c>
    </row>
    <row r="2283" ht="15.75" customHeight="1">
      <c r="A2283" s="87" t="s">
        <v>6880</v>
      </c>
      <c r="B2283" s="88">
        <v>1.22E18</v>
      </c>
      <c r="C2283" s="87" t="s">
        <v>6881</v>
      </c>
      <c r="D2283" s="87" t="s">
        <v>87</v>
      </c>
      <c r="E2283" s="87" t="s">
        <v>88</v>
      </c>
      <c r="F2283" s="87" t="s">
        <v>6881</v>
      </c>
      <c r="H2283" s="87" t="s">
        <v>369</v>
      </c>
      <c r="I2283" s="87" t="s">
        <v>315</v>
      </c>
      <c r="J2283" s="87" t="s">
        <v>6882</v>
      </c>
      <c r="K2283" s="90">
        <v>0.0</v>
      </c>
      <c r="L2283" s="92"/>
      <c r="M2283" s="93"/>
      <c r="N2283" s="87" t="s">
        <v>390</v>
      </c>
      <c r="O2283" s="87" t="s">
        <v>377</v>
      </c>
      <c r="P2283" s="87" t="s">
        <v>372</v>
      </c>
    </row>
    <row r="2284" ht="15.75" customHeight="1">
      <c r="A2284" s="87" t="s">
        <v>6883</v>
      </c>
      <c r="B2284" s="88">
        <v>1.22E18</v>
      </c>
      <c r="C2284" s="87" t="s">
        <v>6884</v>
      </c>
      <c r="D2284" s="87" t="s">
        <v>87</v>
      </c>
      <c r="E2284" s="87" t="s">
        <v>88</v>
      </c>
      <c r="F2284" s="87" t="s">
        <v>6884</v>
      </c>
      <c r="I2284" s="87" t="s">
        <v>327</v>
      </c>
      <c r="J2284" s="87" t="s">
        <v>6885</v>
      </c>
      <c r="K2284" s="90">
        <v>100000.0</v>
      </c>
      <c r="L2284" s="92"/>
      <c r="M2284" s="93"/>
      <c r="N2284" s="87" t="s">
        <v>4427</v>
      </c>
      <c r="O2284" s="87" t="s">
        <v>377</v>
      </c>
      <c r="P2284" s="87" t="s">
        <v>372</v>
      </c>
    </row>
    <row r="2285" ht="15.75" customHeight="1">
      <c r="A2285" s="87" t="s">
        <v>6886</v>
      </c>
      <c r="B2285" s="88">
        <v>1.22E18</v>
      </c>
      <c r="C2285" s="87" t="s">
        <v>6887</v>
      </c>
      <c r="D2285" s="87" t="s">
        <v>56</v>
      </c>
      <c r="E2285" s="87" t="s">
        <v>102</v>
      </c>
      <c r="F2285" s="87" t="s">
        <v>1763</v>
      </c>
      <c r="I2285" s="93"/>
      <c r="J2285" s="87" t="s">
        <v>6888</v>
      </c>
      <c r="K2285" s="90">
        <v>5.0</v>
      </c>
      <c r="L2285" s="92"/>
      <c r="M2285" s="93"/>
      <c r="N2285" s="87" t="s">
        <v>4427</v>
      </c>
      <c r="O2285" s="87" t="s">
        <v>377</v>
      </c>
      <c r="P2285" s="87" t="s">
        <v>372</v>
      </c>
    </row>
    <row r="2286" ht="15.75" customHeight="1">
      <c r="A2286" s="87" t="s">
        <v>6889</v>
      </c>
      <c r="B2286" s="88">
        <v>1.22E18</v>
      </c>
      <c r="C2286" s="87" t="s">
        <v>6890</v>
      </c>
      <c r="D2286" s="87" t="s">
        <v>87</v>
      </c>
      <c r="E2286" s="87" t="s">
        <v>88</v>
      </c>
      <c r="F2286" s="87" t="s">
        <v>6890</v>
      </c>
      <c r="H2286" s="93"/>
      <c r="I2286" s="87" t="s">
        <v>58</v>
      </c>
      <c r="J2286" s="87" t="s">
        <v>717</v>
      </c>
      <c r="K2286" s="90">
        <v>0.0</v>
      </c>
      <c r="L2286" s="92"/>
      <c r="M2286" s="93"/>
      <c r="N2286" s="87" t="s">
        <v>3095</v>
      </c>
      <c r="O2286" s="87" t="s">
        <v>377</v>
      </c>
      <c r="P2286" s="87" t="s">
        <v>372</v>
      </c>
    </row>
    <row r="2287" ht="15.75" customHeight="1">
      <c r="A2287" s="87" t="s">
        <v>6891</v>
      </c>
      <c r="B2287" s="88">
        <v>1.22E18</v>
      </c>
      <c r="C2287" s="87" t="s">
        <v>6892</v>
      </c>
      <c r="D2287" s="87" t="s">
        <v>87</v>
      </c>
      <c r="E2287" s="87" t="s">
        <v>88</v>
      </c>
      <c r="F2287" s="87" t="s">
        <v>6892</v>
      </c>
      <c r="I2287" s="87" t="s">
        <v>58</v>
      </c>
      <c r="J2287" s="87" t="s">
        <v>6893</v>
      </c>
      <c r="K2287" s="90">
        <v>0.0</v>
      </c>
      <c r="L2287" s="92"/>
      <c r="M2287" s="93"/>
      <c r="N2287" s="87" t="s">
        <v>474</v>
      </c>
      <c r="O2287" s="87" t="s">
        <v>377</v>
      </c>
      <c r="P2287" s="87" t="s">
        <v>372</v>
      </c>
    </row>
    <row r="2288" ht="15.75" customHeight="1">
      <c r="A2288" s="87" t="s">
        <v>6894</v>
      </c>
      <c r="B2288" s="88">
        <v>1.22E18</v>
      </c>
      <c r="C2288" s="87" t="s">
        <v>6895</v>
      </c>
      <c r="D2288" s="87" t="s">
        <v>57</v>
      </c>
      <c r="E2288" s="87" t="s">
        <v>281</v>
      </c>
      <c r="F2288" s="87" t="s">
        <v>6895</v>
      </c>
      <c r="H2288" s="93"/>
      <c r="I2288" s="87" t="s">
        <v>5012</v>
      </c>
      <c r="J2288" s="87" t="s">
        <v>4948</v>
      </c>
      <c r="K2288" s="90">
        <v>0.0</v>
      </c>
      <c r="L2288" s="92"/>
      <c r="M2288" s="93"/>
      <c r="N2288" s="87" t="s">
        <v>6896</v>
      </c>
      <c r="O2288" s="87" t="s">
        <v>377</v>
      </c>
      <c r="P2288" s="87" t="s">
        <v>372</v>
      </c>
    </row>
    <row r="2289" ht="15.75" customHeight="1">
      <c r="A2289" s="87" t="s">
        <v>6897</v>
      </c>
      <c r="B2289" s="88">
        <v>1.22E18</v>
      </c>
      <c r="C2289" s="87" t="s">
        <v>6898</v>
      </c>
      <c r="D2289" s="87" t="s">
        <v>87</v>
      </c>
      <c r="E2289" s="87" t="s">
        <v>88</v>
      </c>
      <c r="F2289" s="87" t="s">
        <v>6898</v>
      </c>
      <c r="I2289" s="87" t="s">
        <v>58</v>
      </c>
      <c r="J2289" s="87" t="s">
        <v>3081</v>
      </c>
      <c r="K2289" s="90">
        <v>0.0</v>
      </c>
      <c r="L2289" s="92"/>
      <c r="M2289" s="93"/>
      <c r="N2289" s="87" t="s">
        <v>6896</v>
      </c>
      <c r="O2289" s="87" t="s">
        <v>377</v>
      </c>
      <c r="P2289" s="87" t="s">
        <v>372</v>
      </c>
    </row>
    <row r="2290" ht="15.75" customHeight="1">
      <c r="A2290" s="87" t="s">
        <v>6899</v>
      </c>
      <c r="B2290" s="88">
        <v>1.22E18</v>
      </c>
      <c r="C2290" s="87" t="s">
        <v>6900</v>
      </c>
      <c r="D2290" s="87" t="s">
        <v>87</v>
      </c>
      <c r="E2290" s="87" t="s">
        <v>102</v>
      </c>
      <c r="F2290" s="87" t="s">
        <v>1763</v>
      </c>
      <c r="I2290" s="93"/>
      <c r="J2290" s="87" t="s">
        <v>6901</v>
      </c>
      <c r="K2290" s="90">
        <v>0.0</v>
      </c>
      <c r="L2290" s="92"/>
      <c r="M2290" s="93"/>
      <c r="N2290" s="87" t="s">
        <v>6902</v>
      </c>
      <c r="O2290" s="87" t="s">
        <v>377</v>
      </c>
      <c r="P2290" s="87" t="s">
        <v>372</v>
      </c>
    </row>
    <row r="2291" ht="15.75" customHeight="1">
      <c r="A2291" s="87" t="s">
        <v>6903</v>
      </c>
      <c r="B2291" s="88">
        <v>1.22E18</v>
      </c>
      <c r="C2291" s="87" t="s">
        <v>6904</v>
      </c>
      <c r="D2291" s="87" t="s">
        <v>56</v>
      </c>
      <c r="E2291" s="87" t="s">
        <v>102</v>
      </c>
      <c r="F2291" s="87" t="s">
        <v>1763</v>
      </c>
      <c r="I2291" s="93"/>
      <c r="J2291" s="87" t="s">
        <v>6905</v>
      </c>
      <c r="K2291" s="90">
        <v>0.0</v>
      </c>
      <c r="L2291" s="92"/>
      <c r="M2291" s="93"/>
      <c r="N2291" s="87" t="s">
        <v>6902</v>
      </c>
      <c r="O2291" s="87" t="s">
        <v>377</v>
      </c>
      <c r="P2291" s="87" t="s">
        <v>372</v>
      </c>
    </row>
    <row r="2292" ht="15.75" customHeight="1">
      <c r="A2292" s="87" t="s">
        <v>6906</v>
      </c>
      <c r="B2292" s="88">
        <v>1.22E18</v>
      </c>
      <c r="C2292" s="87" t="s">
        <v>6907</v>
      </c>
      <c r="D2292" s="87" t="s">
        <v>56</v>
      </c>
      <c r="E2292" s="87" t="s">
        <v>102</v>
      </c>
      <c r="F2292" s="87" t="s">
        <v>1763</v>
      </c>
      <c r="I2292" s="93"/>
      <c r="J2292" s="87" t="s">
        <v>6908</v>
      </c>
      <c r="K2292" s="90">
        <v>0.0</v>
      </c>
      <c r="L2292" s="92"/>
      <c r="M2292" s="93"/>
      <c r="N2292" s="87" t="s">
        <v>6902</v>
      </c>
      <c r="O2292" s="87" t="s">
        <v>377</v>
      </c>
      <c r="P2292" s="87" t="s">
        <v>372</v>
      </c>
    </row>
    <row r="2293" ht="15.75" customHeight="1">
      <c r="A2293" s="87" t="s">
        <v>6909</v>
      </c>
      <c r="B2293" s="88">
        <v>1.22E18</v>
      </c>
      <c r="C2293" s="87" t="s">
        <v>6910</v>
      </c>
      <c r="D2293" s="87" t="s">
        <v>56</v>
      </c>
      <c r="E2293" s="87" t="s">
        <v>102</v>
      </c>
      <c r="F2293" s="87" t="s">
        <v>1763</v>
      </c>
      <c r="I2293" s="93"/>
      <c r="J2293" s="87" t="s">
        <v>6911</v>
      </c>
      <c r="K2293" s="90">
        <v>0.0</v>
      </c>
      <c r="L2293" s="92"/>
      <c r="M2293" s="93"/>
      <c r="N2293" s="87" t="s">
        <v>6902</v>
      </c>
      <c r="O2293" s="87" t="s">
        <v>377</v>
      </c>
      <c r="P2293" s="87" t="s">
        <v>372</v>
      </c>
    </row>
    <row r="2294" ht="15.75" customHeight="1">
      <c r="A2294" s="87" t="s">
        <v>6912</v>
      </c>
      <c r="B2294" s="88">
        <v>1.22E18</v>
      </c>
      <c r="C2294" s="87" t="s">
        <v>6913</v>
      </c>
      <c r="D2294" s="87" t="s">
        <v>56</v>
      </c>
      <c r="E2294" s="87" t="s">
        <v>102</v>
      </c>
      <c r="F2294" s="87" t="s">
        <v>1763</v>
      </c>
      <c r="I2294" s="93"/>
      <c r="J2294" s="87" t="s">
        <v>6914</v>
      </c>
      <c r="K2294" s="90">
        <v>0.0</v>
      </c>
      <c r="L2294" s="92"/>
      <c r="M2294" s="93"/>
      <c r="N2294" s="87" t="s">
        <v>6902</v>
      </c>
      <c r="O2294" s="87" t="s">
        <v>377</v>
      </c>
      <c r="P2294" s="87" t="s">
        <v>372</v>
      </c>
    </row>
    <row r="2295" ht="15.75" customHeight="1">
      <c r="A2295" s="87" t="s">
        <v>6915</v>
      </c>
      <c r="B2295" s="88">
        <v>1.22E18</v>
      </c>
      <c r="C2295" s="87" t="s">
        <v>6916</v>
      </c>
      <c r="D2295" s="87" t="s">
        <v>56</v>
      </c>
      <c r="E2295" s="87" t="s">
        <v>102</v>
      </c>
      <c r="F2295" s="87" t="s">
        <v>1763</v>
      </c>
      <c r="I2295" s="93"/>
      <c r="J2295" s="87" t="s">
        <v>6917</v>
      </c>
      <c r="K2295" s="90">
        <v>0.0</v>
      </c>
      <c r="L2295" s="92"/>
      <c r="M2295" s="93"/>
      <c r="N2295" s="87" t="s">
        <v>6902</v>
      </c>
      <c r="O2295" s="87" t="s">
        <v>377</v>
      </c>
      <c r="P2295" s="87" t="s">
        <v>372</v>
      </c>
    </row>
    <row r="2296" ht="15.75" customHeight="1">
      <c r="A2296" s="87" t="s">
        <v>6918</v>
      </c>
      <c r="B2296" s="88">
        <v>1.22E18</v>
      </c>
      <c r="C2296" s="87" t="s">
        <v>6919</v>
      </c>
      <c r="D2296" s="87" t="s">
        <v>56</v>
      </c>
      <c r="E2296" s="87" t="s">
        <v>102</v>
      </c>
      <c r="F2296" s="87" t="s">
        <v>1763</v>
      </c>
      <c r="I2296" s="93"/>
      <c r="J2296" s="87" t="s">
        <v>6920</v>
      </c>
      <c r="K2296" s="90">
        <v>0.0</v>
      </c>
      <c r="L2296" s="92"/>
      <c r="M2296" s="93"/>
      <c r="N2296" s="87" t="s">
        <v>6902</v>
      </c>
      <c r="O2296" s="87" t="s">
        <v>377</v>
      </c>
      <c r="P2296" s="87" t="s">
        <v>372</v>
      </c>
    </row>
    <row r="2297" ht="15.75" customHeight="1">
      <c r="A2297" s="87" t="s">
        <v>6921</v>
      </c>
      <c r="B2297" s="88">
        <v>1.22E18</v>
      </c>
      <c r="C2297" s="87" t="s">
        <v>6922</v>
      </c>
      <c r="D2297" s="87" t="s">
        <v>87</v>
      </c>
      <c r="E2297" s="87" t="s">
        <v>102</v>
      </c>
      <c r="F2297" s="87" t="s">
        <v>1763</v>
      </c>
      <c r="I2297" s="93"/>
      <c r="J2297" s="87" t="s">
        <v>6923</v>
      </c>
      <c r="K2297" s="90">
        <v>0.0</v>
      </c>
      <c r="L2297" s="92"/>
      <c r="M2297" s="93"/>
      <c r="N2297" s="87" t="s">
        <v>6902</v>
      </c>
      <c r="O2297" s="87" t="s">
        <v>377</v>
      </c>
      <c r="P2297" s="87" t="s">
        <v>372</v>
      </c>
    </row>
    <row r="2298" ht="15.75" customHeight="1">
      <c r="A2298" s="87" t="s">
        <v>6924</v>
      </c>
      <c r="B2298" s="88">
        <v>1.22E18</v>
      </c>
      <c r="C2298" s="87" t="s">
        <v>6925</v>
      </c>
      <c r="D2298" s="87" t="s">
        <v>87</v>
      </c>
      <c r="E2298" s="87" t="s">
        <v>102</v>
      </c>
      <c r="F2298" s="87" t="s">
        <v>6925</v>
      </c>
      <c r="I2298" s="87" t="s">
        <v>58</v>
      </c>
      <c r="J2298" s="87" t="s">
        <v>3391</v>
      </c>
      <c r="K2298" s="90">
        <v>0.0</v>
      </c>
      <c r="L2298" s="92"/>
      <c r="M2298" s="93"/>
      <c r="N2298" s="87" t="s">
        <v>6902</v>
      </c>
      <c r="O2298" s="87" t="s">
        <v>377</v>
      </c>
      <c r="P2298" s="87" t="s">
        <v>372</v>
      </c>
    </row>
    <row r="2299" ht="15.75" customHeight="1">
      <c r="A2299" s="87" t="s">
        <v>6926</v>
      </c>
      <c r="B2299" s="88">
        <v>1.22E18</v>
      </c>
      <c r="C2299" s="87" t="s">
        <v>6927</v>
      </c>
      <c r="D2299" s="87" t="s">
        <v>87</v>
      </c>
      <c r="E2299" s="87" t="s">
        <v>102</v>
      </c>
      <c r="F2299" s="87" t="s">
        <v>6927</v>
      </c>
      <c r="I2299" s="87" t="s">
        <v>58</v>
      </c>
      <c r="J2299" s="87" t="s">
        <v>6928</v>
      </c>
      <c r="K2299" s="90">
        <v>0.0</v>
      </c>
      <c r="L2299" s="92"/>
      <c r="M2299" s="93"/>
      <c r="N2299" s="87" t="s">
        <v>6902</v>
      </c>
      <c r="O2299" s="87" t="s">
        <v>377</v>
      </c>
      <c r="P2299" s="87" t="s">
        <v>372</v>
      </c>
    </row>
    <row r="2300" ht="15.75" customHeight="1">
      <c r="A2300" s="87" t="s">
        <v>6929</v>
      </c>
      <c r="B2300" s="88">
        <v>1.22E18</v>
      </c>
      <c r="C2300" s="87" t="s">
        <v>6930</v>
      </c>
      <c r="D2300" s="87" t="s">
        <v>87</v>
      </c>
      <c r="E2300" s="87" t="s">
        <v>102</v>
      </c>
      <c r="F2300" s="87" t="s">
        <v>1763</v>
      </c>
      <c r="I2300" s="93"/>
      <c r="J2300" s="87" t="s">
        <v>6705</v>
      </c>
      <c r="K2300" s="90">
        <v>0.0</v>
      </c>
      <c r="L2300" s="92"/>
      <c r="M2300" s="93"/>
      <c r="N2300" s="87" t="s">
        <v>6902</v>
      </c>
      <c r="O2300" s="87" t="s">
        <v>377</v>
      </c>
      <c r="P2300" s="87" t="s">
        <v>372</v>
      </c>
    </row>
    <row r="2301" ht="15.75" customHeight="1">
      <c r="A2301" s="87" t="s">
        <v>6931</v>
      </c>
      <c r="B2301" s="88">
        <v>1.22E18</v>
      </c>
      <c r="C2301" s="87" t="s">
        <v>6932</v>
      </c>
      <c r="D2301" s="87" t="s">
        <v>87</v>
      </c>
      <c r="E2301" s="87" t="s">
        <v>88</v>
      </c>
      <c r="F2301" s="118" t="s">
        <v>6932</v>
      </c>
      <c r="G2301" s="130"/>
      <c r="H2301" s="119"/>
      <c r="I2301" s="87" t="s">
        <v>58</v>
      </c>
      <c r="J2301" s="87" t="s">
        <v>3277</v>
      </c>
      <c r="K2301" s="90">
        <v>5.0</v>
      </c>
      <c r="L2301" s="92"/>
      <c r="M2301" s="93"/>
      <c r="N2301" s="87" t="s">
        <v>1772</v>
      </c>
      <c r="O2301" s="87" t="s">
        <v>377</v>
      </c>
      <c r="P2301" s="87" t="s">
        <v>372</v>
      </c>
    </row>
    <row r="2302" ht="15.75" customHeight="1">
      <c r="A2302" s="87" t="s">
        <v>6933</v>
      </c>
      <c r="B2302" s="88">
        <v>1.22E18</v>
      </c>
      <c r="C2302" s="87" t="s">
        <v>6934</v>
      </c>
      <c r="D2302" s="87" t="s">
        <v>87</v>
      </c>
      <c r="E2302" s="87" t="s">
        <v>88</v>
      </c>
      <c r="F2302" s="87" t="s">
        <v>373</v>
      </c>
      <c r="H2302" s="93"/>
      <c r="I2302" s="87" t="s">
        <v>58</v>
      </c>
      <c r="J2302" s="87" t="s">
        <v>5372</v>
      </c>
      <c r="K2302" s="90">
        <v>0.0</v>
      </c>
      <c r="L2302" s="92"/>
      <c r="M2302" s="93"/>
      <c r="N2302" s="87" t="s">
        <v>1772</v>
      </c>
      <c r="O2302" s="87" t="s">
        <v>377</v>
      </c>
      <c r="P2302" s="87" t="s">
        <v>372</v>
      </c>
    </row>
    <row r="2303" ht="15.75" customHeight="1">
      <c r="A2303" s="87" t="s">
        <v>6935</v>
      </c>
      <c r="B2303" s="88">
        <v>1.22E18</v>
      </c>
      <c r="C2303" s="87" t="s">
        <v>6936</v>
      </c>
      <c r="D2303" s="87" t="s">
        <v>57</v>
      </c>
      <c r="E2303" s="87" t="s">
        <v>287</v>
      </c>
      <c r="F2303" s="118" t="s">
        <v>6936</v>
      </c>
      <c r="G2303" s="130"/>
      <c r="H2303" s="119"/>
      <c r="I2303" s="87" t="s">
        <v>58</v>
      </c>
      <c r="J2303" s="87" t="s">
        <v>5372</v>
      </c>
      <c r="K2303" s="90">
        <v>0.0</v>
      </c>
      <c r="L2303" s="92"/>
      <c r="M2303" s="93"/>
      <c r="N2303" s="87" t="s">
        <v>1772</v>
      </c>
      <c r="O2303" s="87" t="s">
        <v>377</v>
      </c>
      <c r="P2303" s="87" t="s">
        <v>372</v>
      </c>
    </row>
    <row r="2304" ht="15.75" customHeight="1">
      <c r="A2304" s="87" t="s">
        <v>6937</v>
      </c>
      <c r="B2304" s="88">
        <v>1.22E18</v>
      </c>
      <c r="C2304" s="87" t="s">
        <v>6938</v>
      </c>
      <c r="D2304" s="87" t="s">
        <v>56</v>
      </c>
      <c r="E2304" s="87" t="s">
        <v>102</v>
      </c>
      <c r="F2304" s="87" t="s">
        <v>1763</v>
      </c>
      <c r="I2304" s="93"/>
      <c r="J2304" s="87" t="s">
        <v>6939</v>
      </c>
      <c r="K2304" s="90">
        <v>0.0</v>
      </c>
      <c r="L2304" s="92"/>
      <c r="M2304" s="93"/>
      <c r="N2304" s="87" t="s">
        <v>6940</v>
      </c>
      <c r="O2304" s="87" t="s">
        <v>377</v>
      </c>
      <c r="P2304" s="87" t="s">
        <v>372</v>
      </c>
    </row>
    <row r="2305" ht="15.75" customHeight="1">
      <c r="A2305" s="87" t="s">
        <v>6941</v>
      </c>
      <c r="B2305" s="88">
        <v>1.22E18</v>
      </c>
      <c r="C2305" s="87" t="s">
        <v>6942</v>
      </c>
      <c r="D2305" s="87" t="s">
        <v>87</v>
      </c>
      <c r="E2305" s="87" t="s">
        <v>88</v>
      </c>
      <c r="F2305" s="87" t="s">
        <v>379</v>
      </c>
      <c r="G2305" s="93"/>
      <c r="H2305" s="93"/>
      <c r="I2305" s="93"/>
      <c r="J2305" s="87" t="s">
        <v>6943</v>
      </c>
      <c r="K2305" s="90">
        <v>0.0</v>
      </c>
      <c r="L2305" s="92"/>
      <c r="M2305" s="93"/>
      <c r="N2305" s="93"/>
      <c r="O2305" s="87" t="s">
        <v>377</v>
      </c>
      <c r="P2305" s="87" t="s">
        <v>372</v>
      </c>
    </row>
    <row r="2306" ht="15.75" customHeight="1">
      <c r="A2306" s="87" t="s">
        <v>6944</v>
      </c>
      <c r="B2306" s="88">
        <v>1.22E18</v>
      </c>
      <c r="C2306" s="87" t="s">
        <v>6945</v>
      </c>
      <c r="D2306" s="87" t="s">
        <v>87</v>
      </c>
      <c r="E2306" s="87" t="s">
        <v>88</v>
      </c>
      <c r="F2306" s="87" t="s">
        <v>373</v>
      </c>
      <c r="H2306" s="93"/>
      <c r="I2306" s="93"/>
      <c r="J2306" s="87" t="s">
        <v>3391</v>
      </c>
      <c r="K2306" s="90">
        <v>0.0</v>
      </c>
      <c r="L2306" s="92"/>
      <c r="M2306" s="93"/>
      <c r="N2306" s="87" t="s">
        <v>5619</v>
      </c>
      <c r="O2306" s="87" t="s">
        <v>377</v>
      </c>
      <c r="P2306" s="87" t="s">
        <v>372</v>
      </c>
    </row>
    <row r="2307" ht="15.75" customHeight="1">
      <c r="A2307" s="87" t="s">
        <v>6946</v>
      </c>
      <c r="B2307" s="88">
        <v>1.22E18</v>
      </c>
      <c r="C2307" s="87" t="s">
        <v>6947</v>
      </c>
      <c r="D2307" s="87" t="s">
        <v>87</v>
      </c>
      <c r="E2307" s="87" t="s">
        <v>88</v>
      </c>
      <c r="F2307" s="87" t="s">
        <v>379</v>
      </c>
      <c r="G2307" s="93"/>
      <c r="H2307" s="93"/>
      <c r="I2307" s="93"/>
      <c r="J2307" s="87" t="s">
        <v>6948</v>
      </c>
      <c r="K2307" s="90">
        <v>180000.0</v>
      </c>
      <c r="L2307" s="92"/>
      <c r="M2307" s="93"/>
      <c r="N2307" s="87" t="s">
        <v>2370</v>
      </c>
      <c r="O2307" s="87" t="s">
        <v>377</v>
      </c>
      <c r="P2307" s="87" t="s">
        <v>372</v>
      </c>
    </row>
    <row r="2308" ht="15.75" customHeight="1">
      <c r="A2308" s="87" t="s">
        <v>6949</v>
      </c>
      <c r="B2308" s="88">
        <v>1.22E18</v>
      </c>
      <c r="C2308" s="87" t="s">
        <v>6950</v>
      </c>
      <c r="D2308" s="87" t="s">
        <v>262</v>
      </c>
      <c r="E2308" s="87" t="s">
        <v>270</v>
      </c>
      <c r="F2308" s="87" t="s">
        <v>1749</v>
      </c>
      <c r="H2308" s="93"/>
      <c r="I2308" s="87" t="s">
        <v>58</v>
      </c>
      <c r="J2308" s="87" t="s">
        <v>6951</v>
      </c>
      <c r="K2308" s="90">
        <v>0.0</v>
      </c>
      <c r="L2308" s="92"/>
      <c r="M2308" s="93"/>
      <c r="N2308" s="87" t="s">
        <v>5364</v>
      </c>
      <c r="O2308" s="87" t="s">
        <v>377</v>
      </c>
      <c r="P2308" s="87" t="s">
        <v>372</v>
      </c>
    </row>
    <row r="2309" ht="15.75" customHeight="1">
      <c r="A2309" s="87" t="s">
        <v>6952</v>
      </c>
      <c r="B2309" s="88">
        <v>1.22E18</v>
      </c>
      <c r="C2309" s="87" t="s">
        <v>6953</v>
      </c>
      <c r="D2309" s="87" t="s">
        <v>262</v>
      </c>
      <c r="E2309" s="87" t="s">
        <v>270</v>
      </c>
      <c r="F2309" s="87" t="s">
        <v>1749</v>
      </c>
      <c r="H2309" s="93"/>
      <c r="I2309" s="87" t="s">
        <v>58</v>
      </c>
      <c r="J2309" s="87" t="s">
        <v>4240</v>
      </c>
      <c r="K2309" s="90">
        <v>0.0</v>
      </c>
      <c r="L2309" s="92"/>
      <c r="M2309" s="93"/>
      <c r="N2309" s="87" t="s">
        <v>5364</v>
      </c>
      <c r="O2309" s="87" t="s">
        <v>377</v>
      </c>
      <c r="P2309" s="87" t="s">
        <v>372</v>
      </c>
    </row>
    <row r="2310" ht="15.75" customHeight="1">
      <c r="A2310" s="87" t="s">
        <v>6954</v>
      </c>
      <c r="B2310" s="88">
        <v>1.22E18</v>
      </c>
      <c r="C2310" s="87" t="s">
        <v>6955</v>
      </c>
      <c r="D2310" s="87" t="s">
        <v>56</v>
      </c>
      <c r="E2310" s="87" t="s">
        <v>102</v>
      </c>
      <c r="F2310" s="87" t="s">
        <v>1763</v>
      </c>
      <c r="I2310" s="93"/>
      <c r="J2310" s="87" t="s">
        <v>2852</v>
      </c>
      <c r="K2310" s="90">
        <v>0.0</v>
      </c>
      <c r="L2310" s="92"/>
      <c r="M2310" s="93"/>
      <c r="N2310" s="87" t="s">
        <v>3095</v>
      </c>
      <c r="O2310" s="87" t="s">
        <v>377</v>
      </c>
      <c r="P2310" s="87" t="s">
        <v>372</v>
      </c>
    </row>
    <row r="2311" ht="15.75" customHeight="1">
      <c r="A2311" s="87" t="s">
        <v>6956</v>
      </c>
      <c r="B2311" s="88">
        <v>1.22E18</v>
      </c>
      <c r="C2311" s="87" t="s">
        <v>6957</v>
      </c>
      <c r="D2311" s="87" t="s">
        <v>87</v>
      </c>
      <c r="E2311" s="87" t="s">
        <v>102</v>
      </c>
      <c r="F2311" s="87" t="s">
        <v>6957</v>
      </c>
      <c r="I2311" s="87" t="s">
        <v>58</v>
      </c>
      <c r="J2311" s="87" t="s">
        <v>941</v>
      </c>
      <c r="K2311" s="90">
        <v>1000.0</v>
      </c>
      <c r="L2311" s="92"/>
      <c r="M2311" s="93"/>
      <c r="N2311" s="87" t="s">
        <v>4427</v>
      </c>
      <c r="O2311" s="87" t="s">
        <v>377</v>
      </c>
      <c r="P2311" s="87" t="s">
        <v>372</v>
      </c>
    </row>
    <row r="2312" ht="15.75" customHeight="1">
      <c r="A2312" s="87" t="s">
        <v>6958</v>
      </c>
      <c r="B2312" s="88">
        <v>1.22E18</v>
      </c>
      <c r="C2312" s="87" t="s">
        <v>6959</v>
      </c>
      <c r="D2312" s="87" t="s">
        <v>262</v>
      </c>
      <c r="E2312" s="87" t="s">
        <v>263</v>
      </c>
      <c r="F2312" s="87" t="s">
        <v>415</v>
      </c>
      <c r="G2312" s="93"/>
      <c r="H2312" s="93"/>
      <c r="I2312" s="87" t="s">
        <v>58</v>
      </c>
      <c r="J2312" s="87" t="s">
        <v>6960</v>
      </c>
      <c r="K2312" s="90">
        <v>1.0</v>
      </c>
      <c r="L2312" s="92"/>
      <c r="M2312" s="93"/>
      <c r="N2312" s="87" t="s">
        <v>6961</v>
      </c>
      <c r="O2312" s="87" t="s">
        <v>377</v>
      </c>
      <c r="P2312" s="87" t="s">
        <v>372</v>
      </c>
    </row>
    <row r="2313" ht="15.75" customHeight="1">
      <c r="A2313" s="87" t="s">
        <v>6962</v>
      </c>
      <c r="B2313" s="88">
        <v>1.22E18</v>
      </c>
      <c r="C2313" s="87" t="s">
        <v>6963</v>
      </c>
      <c r="D2313" s="87" t="s">
        <v>87</v>
      </c>
      <c r="E2313" s="87" t="s">
        <v>88</v>
      </c>
      <c r="F2313" s="87" t="s">
        <v>6963</v>
      </c>
      <c r="H2313" s="93"/>
      <c r="I2313" s="87" t="s">
        <v>58</v>
      </c>
      <c r="J2313" s="87" t="s">
        <v>2041</v>
      </c>
      <c r="K2313" s="90">
        <v>0.0</v>
      </c>
      <c r="L2313" s="92"/>
      <c r="M2313" s="93"/>
      <c r="N2313" s="87" t="s">
        <v>3095</v>
      </c>
      <c r="O2313" s="87" t="s">
        <v>377</v>
      </c>
      <c r="P2313" s="87" t="s">
        <v>372</v>
      </c>
    </row>
    <row r="2314" ht="15.75" customHeight="1">
      <c r="A2314" s="87" t="s">
        <v>6964</v>
      </c>
      <c r="B2314" s="88">
        <v>1.22E18</v>
      </c>
      <c r="C2314" s="87" t="s">
        <v>6965</v>
      </c>
      <c r="D2314" s="87" t="s">
        <v>87</v>
      </c>
      <c r="E2314" s="87" t="s">
        <v>228</v>
      </c>
      <c r="F2314" s="87" t="s">
        <v>379</v>
      </c>
      <c r="G2314" s="93"/>
      <c r="H2314" s="93"/>
      <c r="I2314" s="93"/>
      <c r="J2314" s="87" t="s">
        <v>6966</v>
      </c>
      <c r="K2314" s="90">
        <v>2000.0</v>
      </c>
      <c r="L2314" s="92"/>
      <c r="M2314" s="93"/>
      <c r="N2314" s="87" t="s">
        <v>6386</v>
      </c>
      <c r="O2314" s="87" t="s">
        <v>377</v>
      </c>
      <c r="P2314" s="87" t="s">
        <v>372</v>
      </c>
    </row>
    <row r="2315" ht="15.75" customHeight="1">
      <c r="A2315" s="87" t="s">
        <v>6967</v>
      </c>
      <c r="B2315" s="88">
        <v>1.22E18</v>
      </c>
      <c r="C2315" s="87" t="s">
        <v>6968</v>
      </c>
      <c r="D2315" s="87" t="s">
        <v>87</v>
      </c>
      <c r="E2315" s="87" t="s">
        <v>228</v>
      </c>
      <c r="F2315" s="87" t="s">
        <v>379</v>
      </c>
      <c r="G2315" s="93"/>
      <c r="H2315" s="93"/>
      <c r="I2315" s="93"/>
      <c r="J2315" s="87" t="s">
        <v>6966</v>
      </c>
      <c r="K2315" s="90">
        <v>2000.0</v>
      </c>
      <c r="L2315" s="92"/>
      <c r="M2315" s="93"/>
      <c r="N2315" s="87" t="s">
        <v>6386</v>
      </c>
      <c r="O2315" s="87" t="s">
        <v>377</v>
      </c>
      <c r="P2315" s="87" t="s">
        <v>372</v>
      </c>
    </row>
    <row r="2316" ht="15.75" customHeight="1">
      <c r="A2316" s="87" t="s">
        <v>6969</v>
      </c>
      <c r="B2316" s="88">
        <v>1.22E18</v>
      </c>
      <c r="C2316" s="87" t="s">
        <v>6970</v>
      </c>
      <c r="D2316" s="87" t="s">
        <v>87</v>
      </c>
      <c r="E2316" s="87" t="s">
        <v>228</v>
      </c>
      <c r="F2316" s="87" t="s">
        <v>379</v>
      </c>
      <c r="G2316" s="93"/>
      <c r="H2316" s="93"/>
      <c r="I2316" s="93"/>
      <c r="J2316" s="87" t="s">
        <v>6966</v>
      </c>
      <c r="K2316" s="90">
        <v>2000.0</v>
      </c>
      <c r="L2316" s="92"/>
      <c r="M2316" s="93"/>
      <c r="N2316" s="87" t="s">
        <v>6386</v>
      </c>
      <c r="O2316" s="87" t="s">
        <v>377</v>
      </c>
      <c r="P2316" s="87" t="s">
        <v>372</v>
      </c>
    </row>
    <row r="2317" ht="15.75" customHeight="1">
      <c r="A2317" s="87" t="s">
        <v>6971</v>
      </c>
      <c r="B2317" s="88">
        <v>1.22E18</v>
      </c>
      <c r="C2317" s="87" t="s">
        <v>6972</v>
      </c>
      <c r="D2317" s="87" t="s">
        <v>87</v>
      </c>
      <c r="E2317" s="87" t="s">
        <v>228</v>
      </c>
      <c r="F2317" s="87" t="s">
        <v>379</v>
      </c>
      <c r="G2317" s="93"/>
      <c r="H2317" s="93"/>
      <c r="I2317" s="93"/>
      <c r="J2317" s="87" t="s">
        <v>6966</v>
      </c>
      <c r="K2317" s="90">
        <v>2000.0</v>
      </c>
      <c r="L2317" s="92"/>
      <c r="M2317" s="93"/>
      <c r="N2317" s="87" t="s">
        <v>6386</v>
      </c>
      <c r="O2317" s="87" t="s">
        <v>377</v>
      </c>
      <c r="P2317" s="87" t="s">
        <v>372</v>
      </c>
    </row>
    <row r="2318" ht="15.75" customHeight="1">
      <c r="A2318" s="87" t="s">
        <v>6973</v>
      </c>
      <c r="B2318" s="88">
        <v>1.22E18</v>
      </c>
      <c r="C2318" s="87" t="s">
        <v>6974</v>
      </c>
      <c r="D2318" s="87" t="s">
        <v>87</v>
      </c>
      <c r="E2318" s="87" t="s">
        <v>228</v>
      </c>
      <c r="F2318" s="87" t="s">
        <v>379</v>
      </c>
      <c r="G2318" s="93"/>
      <c r="H2318" s="93"/>
      <c r="I2318" s="93"/>
      <c r="J2318" s="87" t="s">
        <v>6966</v>
      </c>
      <c r="K2318" s="90">
        <v>2000.0</v>
      </c>
      <c r="L2318" s="92"/>
      <c r="M2318" s="93"/>
      <c r="N2318" s="87" t="s">
        <v>6386</v>
      </c>
      <c r="O2318" s="87" t="s">
        <v>377</v>
      </c>
      <c r="P2318" s="87" t="s">
        <v>372</v>
      </c>
    </row>
    <row r="2319" ht="15.75" customHeight="1">
      <c r="A2319" s="87" t="s">
        <v>6975</v>
      </c>
      <c r="B2319" s="88">
        <v>1.22E18</v>
      </c>
      <c r="C2319" s="87" t="s">
        <v>6976</v>
      </c>
      <c r="D2319" s="87" t="s">
        <v>87</v>
      </c>
      <c r="E2319" s="87" t="s">
        <v>228</v>
      </c>
      <c r="F2319" s="87" t="s">
        <v>379</v>
      </c>
      <c r="G2319" s="93"/>
      <c r="H2319" s="93"/>
      <c r="I2319" s="93"/>
      <c r="J2319" s="87" t="s">
        <v>6966</v>
      </c>
      <c r="K2319" s="90">
        <v>0.0</v>
      </c>
      <c r="L2319" s="92"/>
      <c r="M2319" s="93"/>
      <c r="N2319" s="87" t="s">
        <v>6386</v>
      </c>
      <c r="O2319" s="87" t="s">
        <v>377</v>
      </c>
      <c r="P2319" s="87" t="s">
        <v>372</v>
      </c>
    </row>
    <row r="2320" ht="15.75" customHeight="1">
      <c r="A2320" s="87" t="s">
        <v>6977</v>
      </c>
      <c r="B2320" s="88">
        <v>1.22E18</v>
      </c>
      <c r="C2320" s="87" t="s">
        <v>6978</v>
      </c>
      <c r="D2320" s="87" t="s">
        <v>87</v>
      </c>
      <c r="E2320" s="87" t="s">
        <v>88</v>
      </c>
      <c r="F2320" s="87" t="s">
        <v>379</v>
      </c>
      <c r="G2320" s="93"/>
      <c r="H2320" s="93"/>
      <c r="I2320" s="93"/>
      <c r="J2320" s="87" t="s">
        <v>6979</v>
      </c>
      <c r="K2320" s="90">
        <v>0.0</v>
      </c>
      <c r="L2320" s="92"/>
      <c r="M2320" s="93"/>
      <c r="N2320" s="87" t="s">
        <v>6386</v>
      </c>
      <c r="O2320" s="87" t="s">
        <v>377</v>
      </c>
      <c r="P2320" s="87" t="s">
        <v>372</v>
      </c>
    </row>
    <row r="2321" ht="15.75" customHeight="1">
      <c r="A2321" s="87" t="s">
        <v>6980</v>
      </c>
      <c r="B2321" s="88">
        <v>1.22E18</v>
      </c>
      <c r="C2321" s="87" t="s">
        <v>6981</v>
      </c>
      <c r="D2321" s="87" t="s">
        <v>87</v>
      </c>
      <c r="E2321" s="87" t="s">
        <v>228</v>
      </c>
      <c r="F2321" s="87" t="s">
        <v>379</v>
      </c>
      <c r="G2321" s="93"/>
      <c r="H2321" s="93"/>
      <c r="I2321" s="93"/>
      <c r="J2321" s="87" t="s">
        <v>6966</v>
      </c>
      <c r="K2321" s="90">
        <v>0.0</v>
      </c>
      <c r="L2321" s="92"/>
      <c r="M2321" s="93"/>
      <c r="N2321" s="87" t="s">
        <v>6386</v>
      </c>
      <c r="O2321" s="87" t="s">
        <v>377</v>
      </c>
      <c r="P2321" s="87" t="s">
        <v>372</v>
      </c>
    </row>
    <row r="2322" ht="15.75" customHeight="1">
      <c r="A2322" s="87" t="s">
        <v>6982</v>
      </c>
      <c r="B2322" s="88">
        <v>1.22E18</v>
      </c>
      <c r="C2322" s="87" t="s">
        <v>6983</v>
      </c>
      <c r="D2322" s="87" t="s">
        <v>87</v>
      </c>
      <c r="E2322" s="87" t="s">
        <v>228</v>
      </c>
      <c r="F2322" s="87" t="s">
        <v>379</v>
      </c>
      <c r="G2322" s="93"/>
      <c r="H2322" s="93"/>
      <c r="I2322" s="93"/>
      <c r="J2322" s="87" t="s">
        <v>6966</v>
      </c>
      <c r="K2322" s="90">
        <v>0.0</v>
      </c>
      <c r="L2322" s="92"/>
      <c r="M2322" s="93"/>
      <c r="N2322" s="87" t="s">
        <v>6386</v>
      </c>
      <c r="O2322" s="87" t="s">
        <v>377</v>
      </c>
      <c r="P2322" s="87" t="s">
        <v>372</v>
      </c>
    </row>
    <row r="2323" ht="15.75" customHeight="1">
      <c r="A2323" s="87" t="s">
        <v>6984</v>
      </c>
      <c r="B2323" s="88">
        <v>1.22E18</v>
      </c>
      <c r="C2323" s="87" t="s">
        <v>6985</v>
      </c>
      <c r="D2323" s="87" t="s">
        <v>87</v>
      </c>
      <c r="E2323" s="87" t="s">
        <v>228</v>
      </c>
      <c r="F2323" s="87" t="s">
        <v>379</v>
      </c>
      <c r="G2323" s="93"/>
      <c r="H2323" s="93"/>
      <c r="I2323" s="93"/>
      <c r="J2323" s="87" t="s">
        <v>6966</v>
      </c>
      <c r="K2323" s="90">
        <v>720.0</v>
      </c>
      <c r="L2323" s="92"/>
      <c r="M2323" s="93"/>
      <c r="N2323" s="87" t="s">
        <v>6386</v>
      </c>
      <c r="O2323" s="87" t="s">
        <v>377</v>
      </c>
      <c r="P2323" s="87" t="s">
        <v>372</v>
      </c>
    </row>
    <row r="2324" ht="15.75" customHeight="1">
      <c r="A2324" s="87" t="s">
        <v>6986</v>
      </c>
      <c r="B2324" s="88">
        <v>1.22E18</v>
      </c>
      <c r="C2324" s="87" t="s">
        <v>6987</v>
      </c>
      <c r="D2324" s="87" t="s">
        <v>87</v>
      </c>
      <c r="E2324" s="87" t="s">
        <v>228</v>
      </c>
      <c r="F2324" s="87" t="s">
        <v>379</v>
      </c>
      <c r="G2324" s="93"/>
      <c r="H2324" s="93"/>
      <c r="I2324" s="93"/>
      <c r="J2324" s="87" t="s">
        <v>6966</v>
      </c>
      <c r="K2324" s="90">
        <v>650.0</v>
      </c>
      <c r="L2324" s="92"/>
      <c r="M2324" s="93"/>
      <c r="N2324" s="87" t="s">
        <v>6386</v>
      </c>
      <c r="O2324" s="87" t="s">
        <v>377</v>
      </c>
      <c r="P2324" s="87" t="s">
        <v>372</v>
      </c>
    </row>
    <row r="2325" ht="15.75" customHeight="1">
      <c r="A2325" s="87" t="s">
        <v>6988</v>
      </c>
      <c r="B2325" s="88">
        <v>1.22E18</v>
      </c>
      <c r="C2325" s="87" t="s">
        <v>6989</v>
      </c>
      <c r="D2325" s="87" t="s">
        <v>87</v>
      </c>
      <c r="E2325" s="87" t="s">
        <v>228</v>
      </c>
      <c r="F2325" s="87" t="s">
        <v>379</v>
      </c>
      <c r="G2325" s="93"/>
      <c r="H2325" s="93"/>
      <c r="I2325" s="93"/>
      <c r="J2325" s="87" t="s">
        <v>6966</v>
      </c>
      <c r="K2325" s="90">
        <v>0.0</v>
      </c>
      <c r="L2325" s="92"/>
      <c r="M2325" s="93"/>
      <c r="N2325" s="87" t="s">
        <v>6386</v>
      </c>
      <c r="O2325" s="87" t="s">
        <v>377</v>
      </c>
      <c r="P2325" s="87" t="s">
        <v>372</v>
      </c>
    </row>
    <row r="2326" ht="15.75" customHeight="1">
      <c r="A2326" s="87" t="s">
        <v>6990</v>
      </c>
      <c r="B2326" s="88">
        <v>1.22E18</v>
      </c>
      <c r="C2326" s="87" t="s">
        <v>6991</v>
      </c>
      <c r="D2326" s="87" t="s">
        <v>87</v>
      </c>
      <c r="E2326" s="87" t="s">
        <v>88</v>
      </c>
      <c r="F2326" s="87" t="s">
        <v>379</v>
      </c>
      <c r="G2326" s="93"/>
      <c r="H2326" s="93"/>
      <c r="I2326" s="93"/>
      <c r="J2326" s="87" t="s">
        <v>6966</v>
      </c>
      <c r="K2326" s="90">
        <v>0.0</v>
      </c>
      <c r="L2326" s="92"/>
      <c r="M2326" s="93"/>
      <c r="N2326" s="87" t="s">
        <v>6386</v>
      </c>
      <c r="O2326" s="87" t="s">
        <v>377</v>
      </c>
      <c r="P2326" s="87" t="s">
        <v>372</v>
      </c>
    </row>
    <row r="2327" ht="15.75" customHeight="1">
      <c r="A2327" s="87" t="s">
        <v>6992</v>
      </c>
      <c r="B2327" s="88">
        <v>1.22E18</v>
      </c>
      <c r="C2327" s="87" t="s">
        <v>6993</v>
      </c>
      <c r="D2327" s="87" t="s">
        <v>87</v>
      </c>
      <c r="E2327" s="87" t="s">
        <v>228</v>
      </c>
      <c r="F2327" s="87" t="s">
        <v>379</v>
      </c>
      <c r="G2327" s="93"/>
      <c r="H2327" s="93"/>
      <c r="I2327" s="93"/>
      <c r="J2327" s="87" t="s">
        <v>6966</v>
      </c>
      <c r="K2327" s="90">
        <v>800.0</v>
      </c>
      <c r="L2327" s="92"/>
      <c r="M2327" s="93"/>
      <c r="N2327" s="87" t="s">
        <v>6386</v>
      </c>
      <c r="O2327" s="87" t="s">
        <v>377</v>
      </c>
      <c r="P2327" s="87" t="s">
        <v>372</v>
      </c>
    </row>
    <row r="2328" ht="15.75" customHeight="1">
      <c r="A2328" s="87" t="s">
        <v>6994</v>
      </c>
      <c r="B2328" s="88">
        <v>1.22E18</v>
      </c>
      <c r="C2328" s="87" t="s">
        <v>6995</v>
      </c>
      <c r="D2328" s="87" t="s">
        <v>87</v>
      </c>
      <c r="E2328" s="87" t="s">
        <v>228</v>
      </c>
      <c r="F2328" s="87" t="s">
        <v>379</v>
      </c>
      <c r="G2328" s="93"/>
      <c r="H2328" s="93"/>
      <c r="I2328" s="93"/>
      <c r="J2328" s="87" t="s">
        <v>6966</v>
      </c>
      <c r="K2328" s="90">
        <v>880.0</v>
      </c>
      <c r="L2328" s="92"/>
      <c r="M2328" s="93"/>
      <c r="N2328" s="87" t="s">
        <v>6386</v>
      </c>
      <c r="O2328" s="87" t="s">
        <v>377</v>
      </c>
      <c r="P2328" s="87" t="s">
        <v>372</v>
      </c>
    </row>
    <row r="2329" ht="15.75" customHeight="1">
      <c r="A2329" s="87" t="s">
        <v>6996</v>
      </c>
      <c r="B2329" s="88">
        <v>1.22E18</v>
      </c>
      <c r="C2329" s="87" t="s">
        <v>6997</v>
      </c>
      <c r="D2329" s="87" t="s">
        <v>87</v>
      </c>
      <c r="E2329" s="87" t="s">
        <v>88</v>
      </c>
      <c r="F2329" s="87" t="s">
        <v>379</v>
      </c>
      <c r="G2329" s="93"/>
      <c r="H2329" s="93"/>
      <c r="I2329" s="93"/>
      <c r="J2329" s="87" t="s">
        <v>6966</v>
      </c>
      <c r="K2329" s="90">
        <v>0.0</v>
      </c>
      <c r="L2329" s="92"/>
      <c r="M2329" s="93"/>
      <c r="N2329" s="87" t="s">
        <v>6386</v>
      </c>
      <c r="O2329" s="87" t="s">
        <v>377</v>
      </c>
      <c r="P2329" s="87" t="s">
        <v>372</v>
      </c>
    </row>
    <row r="2330" ht="15.75" customHeight="1">
      <c r="A2330" s="87" t="s">
        <v>6998</v>
      </c>
      <c r="B2330" s="88">
        <v>1.22E18</v>
      </c>
      <c r="C2330" s="87" t="s">
        <v>6999</v>
      </c>
      <c r="D2330" s="87" t="s">
        <v>87</v>
      </c>
      <c r="E2330" s="87" t="s">
        <v>88</v>
      </c>
      <c r="F2330" s="87" t="s">
        <v>379</v>
      </c>
      <c r="G2330" s="93"/>
      <c r="H2330" s="93"/>
      <c r="I2330" s="93"/>
      <c r="J2330" s="87" t="s">
        <v>6966</v>
      </c>
      <c r="K2330" s="90">
        <v>20030.0</v>
      </c>
      <c r="L2330" s="92"/>
      <c r="M2330" s="93"/>
      <c r="N2330" s="87" t="s">
        <v>6386</v>
      </c>
      <c r="O2330" s="87" t="s">
        <v>377</v>
      </c>
      <c r="P2330" s="87" t="s">
        <v>372</v>
      </c>
    </row>
    <row r="2331" ht="15.75" customHeight="1">
      <c r="A2331" s="87" t="s">
        <v>7000</v>
      </c>
      <c r="B2331" s="88">
        <v>1.22E18</v>
      </c>
      <c r="C2331" s="87" t="s">
        <v>7001</v>
      </c>
      <c r="D2331" s="87" t="s">
        <v>87</v>
      </c>
      <c r="E2331" s="87" t="s">
        <v>88</v>
      </c>
      <c r="F2331" s="87" t="s">
        <v>379</v>
      </c>
      <c r="G2331" s="93"/>
      <c r="H2331" s="93"/>
      <c r="I2331" s="93"/>
      <c r="J2331" s="87" t="s">
        <v>6966</v>
      </c>
      <c r="K2331" s="90">
        <v>5000.0</v>
      </c>
      <c r="L2331" s="92"/>
      <c r="M2331" s="93"/>
      <c r="N2331" s="87" t="s">
        <v>6386</v>
      </c>
      <c r="O2331" s="87" t="s">
        <v>377</v>
      </c>
      <c r="P2331" s="87" t="s">
        <v>372</v>
      </c>
    </row>
    <row r="2332" ht="15.75" customHeight="1">
      <c r="A2332" s="87" t="s">
        <v>7002</v>
      </c>
      <c r="B2332" s="88">
        <v>1.22E18</v>
      </c>
      <c r="C2332" s="87" t="s">
        <v>7003</v>
      </c>
      <c r="D2332" s="87" t="s">
        <v>87</v>
      </c>
      <c r="E2332" s="87" t="s">
        <v>88</v>
      </c>
      <c r="F2332" s="87" t="s">
        <v>379</v>
      </c>
      <c r="G2332" s="93"/>
      <c r="H2332" s="93"/>
      <c r="I2332" s="93"/>
      <c r="J2332" s="87" t="s">
        <v>6966</v>
      </c>
      <c r="K2332" s="90">
        <v>3000.0</v>
      </c>
      <c r="L2332" s="92"/>
      <c r="M2332" s="93"/>
      <c r="N2332" s="87" t="s">
        <v>6386</v>
      </c>
      <c r="O2332" s="87" t="s">
        <v>377</v>
      </c>
      <c r="P2332" s="87" t="s">
        <v>372</v>
      </c>
    </row>
    <row r="2333" ht="15.75" customHeight="1">
      <c r="A2333" s="87" t="s">
        <v>7004</v>
      </c>
      <c r="B2333" s="88">
        <v>1.22E18</v>
      </c>
      <c r="C2333" s="87" t="s">
        <v>7005</v>
      </c>
      <c r="D2333" s="87" t="s">
        <v>87</v>
      </c>
      <c r="E2333" s="87" t="s">
        <v>88</v>
      </c>
      <c r="F2333" s="87" t="s">
        <v>379</v>
      </c>
      <c r="G2333" s="93"/>
      <c r="H2333" s="93"/>
      <c r="I2333" s="93"/>
      <c r="J2333" s="87" t="s">
        <v>6966</v>
      </c>
      <c r="K2333" s="90">
        <v>100980.0</v>
      </c>
      <c r="L2333" s="92"/>
      <c r="M2333" s="93"/>
      <c r="N2333" s="87" t="s">
        <v>6386</v>
      </c>
      <c r="O2333" s="87" t="s">
        <v>377</v>
      </c>
      <c r="P2333" s="87" t="s">
        <v>372</v>
      </c>
    </row>
    <row r="2334" ht="15.75" customHeight="1">
      <c r="A2334" s="87" t="s">
        <v>7006</v>
      </c>
      <c r="B2334" s="88">
        <v>1.22E18</v>
      </c>
      <c r="C2334" s="87" t="s">
        <v>7007</v>
      </c>
      <c r="D2334" s="87" t="s">
        <v>87</v>
      </c>
      <c r="E2334" s="87" t="s">
        <v>88</v>
      </c>
      <c r="F2334" s="118" t="s">
        <v>7007</v>
      </c>
      <c r="G2334" s="130"/>
      <c r="H2334" s="119"/>
      <c r="I2334" s="87" t="s">
        <v>58</v>
      </c>
      <c r="J2334" s="87" t="s">
        <v>7008</v>
      </c>
      <c r="K2334" s="90">
        <v>0.0</v>
      </c>
      <c r="L2334" s="92"/>
      <c r="M2334" s="93"/>
      <c r="N2334" s="87" t="s">
        <v>1772</v>
      </c>
      <c r="O2334" s="87" t="s">
        <v>377</v>
      </c>
      <c r="P2334" s="87" t="s">
        <v>372</v>
      </c>
    </row>
    <row r="2335" ht="15.75" customHeight="1">
      <c r="A2335" s="87" t="s">
        <v>7009</v>
      </c>
      <c r="B2335" s="88">
        <v>1.22E18</v>
      </c>
      <c r="C2335" s="87" t="s">
        <v>7010</v>
      </c>
      <c r="D2335" s="87" t="s">
        <v>87</v>
      </c>
      <c r="E2335" s="87" t="s">
        <v>88</v>
      </c>
      <c r="F2335" s="87" t="s">
        <v>379</v>
      </c>
      <c r="G2335" s="93"/>
      <c r="H2335" s="93"/>
      <c r="I2335" s="93"/>
      <c r="J2335" s="87" t="s">
        <v>7011</v>
      </c>
      <c r="K2335" s="90">
        <v>0.0</v>
      </c>
      <c r="L2335" s="92"/>
      <c r="M2335" s="93"/>
      <c r="N2335" s="87" t="s">
        <v>390</v>
      </c>
      <c r="O2335" s="87" t="s">
        <v>377</v>
      </c>
      <c r="P2335" s="87" t="s">
        <v>372</v>
      </c>
    </row>
    <row r="2336" ht="15.75" customHeight="1">
      <c r="A2336" s="87" t="s">
        <v>7012</v>
      </c>
      <c r="B2336" s="88">
        <v>1.22E18</v>
      </c>
      <c r="C2336" s="87" t="s">
        <v>7013</v>
      </c>
      <c r="D2336" s="87" t="s">
        <v>262</v>
      </c>
      <c r="E2336" s="87" t="s">
        <v>270</v>
      </c>
      <c r="F2336" s="87" t="s">
        <v>1749</v>
      </c>
      <c r="H2336" s="93"/>
      <c r="I2336" s="87" t="s">
        <v>58</v>
      </c>
      <c r="J2336" s="87" t="s">
        <v>7014</v>
      </c>
      <c r="K2336" s="90">
        <v>0.0</v>
      </c>
      <c r="L2336" s="92"/>
      <c r="M2336" s="93"/>
      <c r="N2336" s="87" t="s">
        <v>6102</v>
      </c>
      <c r="O2336" s="87" t="s">
        <v>377</v>
      </c>
      <c r="P2336" s="87" t="s">
        <v>372</v>
      </c>
    </row>
    <row r="2337" ht="15.75" customHeight="1">
      <c r="A2337" s="87" t="s">
        <v>7015</v>
      </c>
      <c r="B2337" s="88">
        <v>1.22E18</v>
      </c>
      <c r="C2337" s="87" t="s">
        <v>7016</v>
      </c>
      <c r="D2337" s="87" t="s">
        <v>57</v>
      </c>
      <c r="E2337" s="87" t="s">
        <v>287</v>
      </c>
      <c r="F2337" s="118" t="s">
        <v>7016</v>
      </c>
      <c r="G2337" s="130"/>
      <c r="H2337" s="119"/>
      <c r="I2337" s="87" t="s">
        <v>58</v>
      </c>
      <c r="J2337" s="87" t="s">
        <v>7017</v>
      </c>
      <c r="K2337" s="90">
        <v>0.0</v>
      </c>
      <c r="L2337" s="92"/>
      <c r="M2337" s="93"/>
      <c r="N2337" s="87" t="s">
        <v>1772</v>
      </c>
      <c r="O2337" s="87" t="s">
        <v>377</v>
      </c>
      <c r="P2337" s="87" t="s">
        <v>372</v>
      </c>
    </row>
    <row r="2338" ht="15.75" customHeight="1">
      <c r="A2338" s="87" t="s">
        <v>7018</v>
      </c>
      <c r="B2338" s="88">
        <v>1.22E18</v>
      </c>
      <c r="C2338" s="87" t="s">
        <v>7019</v>
      </c>
      <c r="D2338" s="87" t="s">
        <v>87</v>
      </c>
      <c r="E2338" s="87" t="s">
        <v>228</v>
      </c>
      <c r="F2338" s="87" t="s">
        <v>7019</v>
      </c>
      <c r="I2338" s="87" t="s">
        <v>340</v>
      </c>
      <c r="J2338" s="87" t="s">
        <v>7020</v>
      </c>
      <c r="K2338" s="90">
        <v>200.0</v>
      </c>
      <c r="L2338" s="92"/>
      <c r="M2338" s="93"/>
      <c r="N2338" s="87" t="s">
        <v>617</v>
      </c>
      <c r="O2338" s="87" t="s">
        <v>377</v>
      </c>
      <c r="P2338" s="87" t="s">
        <v>372</v>
      </c>
    </row>
    <row r="2339" ht="15.75" customHeight="1">
      <c r="A2339" s="87" t="s">
        <v>7021</v>
      </c>
      <c r="B2339" s="88">
        <v>1.22E18</v>
      </c>
      <c r="C2339" s="87" t="s">
        <v>7022</v>
      </c>
      <c r="D2339" s="87" t="s">
        <v>87</v>
      </c>
      <c r="E2339" s="87" t="s">
        <v>233</v>
      </c>
      <c r="F2339" s="87" t="s">
        <v>373</v>
      </c>
      <c r="H2339" s="93"/>
      <c r="I2339" s="87" t="s">
        <v>340</v>
      </c>
      <c r="J2339" s="87" t="s">
        <v>7023</v>
      </c>
      <c r="K2339" s="90">
        <v>1000.0</v>
      </c>
      <c r="L2339" s="92"/>
      <c r="M2339" s="93"/>
      <c r="N2339" s="87" t="s">
        <v>1844</v>
      </c>
      <c r="O2339" s="87" t="s">
        <v>377</v>
      </c>
      <c r="P2339" s="87" t="s">
        <v>372</v>
      </c>
    </row>
    <row r="2340" ht="15.75" customHeight="1">
      <c r="A2340" s="87" t="s">
        <v>7024</v>
      </c>
      <c r="B2340" s="88">
        <v>1.22E18</v>
      </c>
      <c r="C2340" s="87" t="s">
        <v>7025</v>
      </c>
      <c r="D2340" s="87" t="s">
        <v>87</v>
      </c>
      <c r="E2340" s="87" t="s">
        <v>228</v>
      </c>
      <c r="F2340" s="87" t="s">
        <v>379</v>
      </c>
      <c r="G2340" s="93"/>
      <c r="H2340" s="93"/>
      <c r="I2340" s="93"/>
      <c r="J2340" s="87" t="s">
        <v>7026</v>
      </c>
      <c r="K2340" s="90">
        <v>2000.0</v>
      </c>
      <c r="L2340" s="92"/>
      <c r="M2340" s="93"/>
      <c r="N2340" s="87" t="s">
        <v>6386</v>
      </c>
      <c r="O2340" s="87" t="s">
        <v>377</v>
      </c>
      <c r="P2340" s="87" t="s">
        <v>372</v>
      </c>
    </row>
    <row r="2341" ht="15.75" customHeight="1">
      <c r="A2341" s="87" t="s">
        <v>7027</v>
      </c>
      <c r="B2341" s="88">
        <v>1.22E18</v>
      </c>
      <c r="C2341" s="87" t="s">
        <v>7028</v>
      </c>
      <c r="D2341" s="87" t="s">
        <v>87</v>
      </c>
      <c r="E2341" s="87" t="s">
        <v>228</v>
      </c>
      <c r="F2341" s="87" t="s">
        <v>379</v>
      </c>
      <c r="G2341" s="93"/>
      <c r="H2341" s="93"/>
      <c r="I2341" s="93"/>
      <c r="J2341" s="87" t="s">
        <v>7026</v>
      </c>
      <c r="K2341" s="90">
        <v>2000.0</v>
      </c>
      <c r="L2341" s="92"/>
      <c r="M2341" s="93"/>
      <c r="N2341" s="87" t="s">
        <v>6386</v>
      </c>
      <c r="O2341" s="87" t="s">
        <v>377</v>
      </c>
      <c r="P2341" s="87" t="s">
        <v>372</v>
      </c>
    </row>
    <row r="2342" ht="15.75" customHeight="1">
      <c r="A2342" s="87" t="s">
        <v>7029</v>
      </c>
      <c r="B2342" s="88">
        <v>1.22E18</v>
      </c>
      <c r="C2342" s="87" t="s">
        <v>7030</v>
      </c>
      <c r="D2342" s="87" t="s">
        <v>87</v>
      </c>
      <c r="E2342" s="87" t="s">
        <v>228</v>
      </c>
      <c r="F2342" s="87" t="s">
        <v>379</v>
      </c>
      <c r="G2342" s="93"/>
      <c r="H2342" s="93"/>
      <c r="I2342" s="93"/>
      <c r="J2342" s="87" t="s">
        <v>7026</v>
      </c>
      <c r="K2342" s="90">
        <v>2000.0</v>
      </c>
      <c r="L2342" s="92"/>
      <c r="M2342" s="93"/>
      <c r="N2342" s="87" t="s">
        <v>6386</v>
      </c>
      <c r="O2342" s="87" t="s">
        <v>377</v>
      </c>
      <c r="P2342" s="87" t="s">
        <v>372</v>
      </c>
    </row>
    <row r="2343" ht="15.75" customHeight="1">
      <c r="A2343" s="87" t="s">
        <v>7031</v>
      </c>
      <c r="B2343" s="88">
        <v>1.22E18</v>
      </c>
      <c r="C2343" s="87" t="s">
        <v>7032</v>
      </c>
      <c r="D2343" s="87" t="s">
        <v>87</v>
      </c>
      <c r="E2343" s="87" t="s">
        <v>228</v>
      </c>
      <c r="F2343" s="87" t="s">
        <v>379</v>
      </c>
      <c r="G2343" s="93"/>
      <c r="H2343" s="93"/>
      <c r="I2343" s="93"/>
      <c r="J2343" s="87" t="s">
        <v>7026</v>
      </c>
      <c r="K2343" s="90">
        <v>2000.0</v>
      </c>
      <c r="L2343" s="92"/>
      <c r="M2343" s="93"/>
      <c r="N2343" s="87" t="s">
        <v>6386</v>
      </c>
      <c r="O2343" s="87" t="s">
        <v>377</v>
      </c>
      <c r="P2343" s="87" t="s">
        <v>372</v>
      </c>
    </row>
    <row r="2344" ht="15.75" customHeight="1">
      <c r="A2344" s="87" t="s">
        <v>7033</v>
      </c>
      <c r="B2344" s="88">
        <v>1.22E18</v>
      </c>
      <c r="C2344" s="87" t="s">
        <v>7034</v>
      </c>
      <c r="D2344" s="87" t="s">
        <v>87</v>
      </c>
      <c r="E2344" s="87" t="s">
        <v>228</v>
      </c>
      <c r="F2344" s="87" t="s">
        <v>379</v>
      </c>
      <c r="G2344" s="93"/>
      <c r="H2344" s="93"/>
      <c r="I2344" s="93"/>
      <c r="J2344" s="87" t="s">
        <v>7026</v>
      </c>
      <c r="K2344" s="90">
        <v>2000.0</v>
      </c>
      <c r="L2344" s="92"/>
      <c r="M2344" s="93"/>
      <c r="N2344" s="87" t="s">
        <v>6386</v>
      </c>
      <c r="O2344" s="87" t="s">
        <v>377</v>
      </c>
      <c r="P2344" s="87" t="s">
        <v>372</v>
      </c>
    </row>
    <row r="2345" ht="15.75" customHeight="1">
      <c r="A2345" s="87" t="s">
        <v>7035</v>
      </c>
      <c r="B2345" s="88">
        <v>1.22E18</v>
      </c>
      <c r="C2345" s="87" t="s">
        <v>7036</v>
      </c>
      <c r="D2345" s="87" t="s">
        <v>87</v>
      </c>
      <c r="E2345" s="87" t="s">
        <v>228</v>
      </c>
      <c r="F2345" s="87" t="s">
        <v>379</v>
      </c>
      <c r="G2345" s="93"/>
      <c r="H2345" s="87" t="s">
        <v>665</v>
      </c>
      <c r="J2345" s="87" t="s">
        <v>7026</v>
      </c>
      <c r="K2345" s="90">
        <v>2000.0</v>
      </c>
      <c r="L2345" s="92"/>
      <c r="M2345" s="93"/>
      <c r="N2345" s="87" t="s">
        <v>6386</v>
      </c>
      <c r="O2345" s="87" t="s">
        <v>377</v>
      </c>
      <c r="P2345" s="87" t="s">
        <v>372</v>
      </c>
    </row>
    <row r="2346" ht="15.75" customHeight="1">
      <c r="A2346" s="87" t="s">
        <v>7037</v>
      </c>
      <c r="B2346" s="88">
        <v>1.22E18</v>
      </c>
      <c r="C2346" s="87" t="s">
        <v>7038</v>
      </c>
      <c r="D2346" s="87" t="s">
        <v>87</v>
      </c>
      <c r="E2346" s="87" t="s">
        <v>228</v>
      </c>
      <c r="F2346" s="87" t="s">
        <v>379</v>
      </c>
      <c r="G2346" s="93"/>
      <c r="H2346" s="93"/>
      <c r="I2346" s="93"/>
      <c r="J2346" s="87" t="s">
        <v>7026</v>
      </c>
      <c r="K2346" s="90">
        <v>2000.0</v>
      </c>
      <c r="L2346" s="92"/>
      <c r="M2346" s="93"/>
      <c r="N2346" s="87" t="s">
        <v>6386</v>
      </c>
      <c r="O2346" s="87" t="s">
        <v>377</v>
      </c>
      <c r="P2346" s="87" t="s">
        <v>372</v>
      </c>
    </row>
    <row r="2347" ht="15.75" customHeight="1">
      <c r="A2347" s="87" t="s">
        <v>7039</v>
      </c>
      <c r="B2347" s="88">
        <v>1.22E18</v>
      </c>
      <c r="C2347" s="87" t="s">
        <v>7040</v>
      </c>
      <c r="D2347" s="87" t="s">
        <v>87</v>
      </c>
      <c r="E2347" s="87" t="s">
        <v>228</v>
      </c>
      <c r="F2347" s="87" t="s">
        <v>379</v>
      </c>
      <c r="G2347" s="93"/>
      <c r="H2347" s="93"/>
      <c r="I2347" s="93"/>
      <c r="J2347" s="87" t="s">
        <v>7026</v>
      </c>
      <c r="K2347" s="90">
        <v>2000.0</v>
      </c>
      <c r="L2347" s="92"/>
      <c r="M2347" s="93"/>
      <c r="N2347" s="87" t="s">
        <v>6386</v>
      </c>
      <c r="O2347" s="87" t="s">
        <v>377</v>
      </c>
      <c r="P2347" s="87" t="s">
        <v>372</v>
      </c>
    </row>
    <row r="2348" ht="15.75" customHeight="1">
      <c r="A2348" s="87" t="s">
        <v>7041</v>
      </c>
      <c r="B2348" s="88">
        <v>1.22E18</v>
      </c>
      <c r="C2348" s="87" t="s">
        <v>7042</v>
      </c>
      <c r="D2348" s="87" t="s">
        <v>87</v>
      </c>
      <c r="E2348" s="87" t="s">
        <v>228</v>
      </c>
      <c r="F2348" s="87" t="s">
        <v>379</v>
      </c>
      <c r="G2348" s="93"/>
      <c r="H2348" s="93"/>
      <c r="I2348" s="93"/>
      <c r="J2348" s="87" t="s">
        <v>7026</v>
      </c>
      <c r="K2348" s="90">
        <v>100.0</v>
      </c>
      <c r="L2348" s="92"/>
      <c r="M2348" s="93"/>
      <c r="N2348" s="87" t="s">
        <v>6386</v>
      </c>
      <c r="O2348" s="87" t="s">
        <v>377</v>
      </c>
      <c r="P2348" s="87" t="s">
        <v>372</v>
      </c>
    </row>
    <row r="2349" ht="15.75" customHeight="1">
      <c r="A2349" s="87" t="s">
        <v>7043</v>
      </c>
      <c r="B2349" s="88">
        <v>1.22E18</v>
      </c>
      <c r="C2349" s="87" t="s">
        <v>7044</v>
      </c>
      <c r="D2349" s="87" t="s">
        <v>87</v>
      </c>
      <c r="E2349" s="87" t="s">
        <v>88</v>
      </c>
      <c r="F2349" s="87" t="s">
        <v>379</v>
      </c>
      <c r="G2349" s="93"/>
      <c r="H2349" s="93"/>
      <c r="I2349" s="93"/>
      <c r="J2349" s="87" t="s">
        <v>7026</v>
      </c>
      <c r="K2349" s="90">
        <v>0.0</v>
      </c>
      <c r="L2349" s="92"/>
      <c r="M2349" s="93"/>
      <c r="N2349" s="87" t="s">
        <v>6386</v>
      </c>
      <c r="O2349" s="87" t="s">
        <v>377</v>
      </c>
      <c r="P2349" s="87" t="s">
        <v>372</v>
      </c>
    </row>
    <row r="2350" ht="15.75" customHeight="1">
      <c r="A2350" s="87" t="s">
        <v>7045</v>
      </c>
      <c r="B2350" s="88">
        <v>1.22E18</v>
      </c>
      <c r="C2350" s="87" t="s">
        <v>7046</v>
      </c>
      <c r="D2350" s="87" t="s">
        <v>87</v>
      </c>
      <c r="E2350" s="87" t="s">
        <v>88</v>
      </c>
      <c r="F2350" s="87" t="s">
        <v>379</v>
      </c>
      <c r="G2350" s="93"/>
      <c r="H2350" s="93"/>
      <c r="I2350" s="93"/>
      <c r="J2350" s="87" t="s">
        <v>7026</v>
      </c>
      <c r="K2350" s="90">
        <v>0.0</v>
      </c>
      <c r="L2350" s="92"/>
      <c r="M2350" s="93"/>
      <c r="N2350" s="87" t="s">
        <v>6386</v>
      </c>
      <c r="O2350" s="87" t="s">
        <v>377</v>
      </c>
      <c r="P2350" s="87" t="s">
        <v>372</v>
      </c>
    </row>
    <row r="2351" ht="15.75" customHeight="1">
      <c r="A2351" s="87" t="s">
        <v>7047</v>
      </c>
      <c r="B2351" s="88">
        <v>1.22E18</v>
      </c>
      <c r="C2351" s="87" t="s">
        <v>7048</v>
      </c>
      <c r="D2351" s="87" t="s">
        <v>87</v>
      </c>
      <c r="E2351" s="87" t="s">
        <v>88</v>
      </c>
      <c r="F2351" s="87" t="s">
        <v>379</v>
      </c>
      <c r="G2351" s="93"/>
      <c r="H2351" s="93"/>
      <c r="I2351" s="93"/>
      <c r="J2351" s="87" t="s">
        <v>7026</v>
      </c>
      <c r="K2351" s="90">
        <v>0.0</v>
      </c>
      <c r="L2351" s="92"/>
      <c r="M2351" s="93"/>
      <c r="N2351" s="93"/>
      <c r="O2351" s="87" t="s">
        <v>377</v>
      </c>
      <c r="P2351" s="87" t="s">
        <v>372</v>
      </c>
    </row>
    <row r="2352" ht="15.75" customHeight="1">
      <c r="A2352" s="87" t="s">
        <v>7049</v>
      </c>
      <c r="B2352" s="88">
        <v>1.22E18</v>
      </c>
      <c r="C2352" s="87" t="s">
        <v>7050</v>
      </c>
      <c r="D2352" s="87" t="s">
        <v>87</v>
      </c>
      <c r="E2352" s="87" t="s">
        <v>88</v>
      </c>
      <c r="F2352" s="87" t="s">
        <v>379</v>
      </c>
      <c r="G2352" s="93"/>
      <c r="H2352" s="93"/>
      <c r="I2352" s="93"/>
      <c r="J2352" s="87" t="s">
        <v>7026</v>
      </c>
      <c r="K2352" s="90">
        <v>50000.0</v>
      </c>
      <c r="L2352" s="92"/>
      <c r="M2352" s="93"/>
      <c r="N2352" s="87" t="s">
        <v>6386</v>
      </c>
      <c r="O2352" s="87" t="s">
        <v>377</v>
      </c>
      <c r="P2352" s="87" t="s">
        <v>372</v>
      </c>
    </row>
    <row r="2353" ht="15.75" customHeight="1">
      <c r="A2353" s="87" t="s">
        <v>7051</v>
      </c>
      <c r="B2353" s="88">
        <v>1.22E18</v>
      </c>
      <c r="C2353" s="87" t="s">
        <v>7052</v>
      </c>
      <c r="D2353" s="87" t="s">
        <v>87</v>
      </c>
      <c r="E2353" s="87" t="s">
        <v>88</v>
      </c>
      <c r="F2353" s="87" t="s">
        <v>379</v>
      </c>
      <c r="G2353" s="93"/>
      <c r="H2353" s="93"/>
      <c r="I2353" s="93"/>
      <c r="J2353" s="87" t="s">
        <v>7026</v>
      </c>
      <c r="K2353" s="90">
        <v>50000.0</v>
      </c>
      <c r="L2353" s="92"/>
      <c r="M2353" s="93"/>
      <c r="N2353" s="87" t="s">
        <v>6386</v>
      </c>
      <c r="O2353" s="87" t="s">
        <v>377</v>
      </c>
      <c r="P2353" s="87" t="s">
        <v>372</v>
      </c>
    </row>
    <row r="2354" ht="15.75" customHeight="1">
      <c r="A2354" s="87" t="s">
        <v>7053</v>
      </c>
      <c r="B2354" s="88">
        <v>1.22E18</v>
      </c>
      <c r="C2354" s="87" t="s">
        <v>7054</v>
      </c>
      <c r="D2354" s="87" t="s">
        <v>87</v>
      </c>
      <c r="E2354" s="87" t="s">
        <v>228</v>
      </c>
      <c r="F2354" s="87" t="s">
        <v>379</v>
      </c>
      <c r="G2354" s="93"/>
      <c r="H2354" s="93"/>
      <c r="I2354" s="93"/>
      <c r="J2354" s="87" t="s">
        <v>7026</v>
      </c>
      <c r="K2354" s="90">
        <v>1650.0</v>
      </c>
      <c r="L2354" s="92"/>
      <c r="M2354" s="93"/>
      <c r="N2354" s="87" t="s">
        <v>6386</v>
      </c>
      <c r="O2354" s="87" t="s">
        <v>377</v>
      </c>
      <c r="P2354" s="87" t="s">
        <v>372</v>
      </c>
    </row>
    <row r="2355" ht="15.75" customHeight="1">
      <c r="A2355" s="87" t="s">
        <v>7055</v>
      </c>
      <c r="B2355" s="88">
        <v>1.22E18</v>
      </c>
      <c r="C2355" s="87" t="s">
        <v>7056</v>
      </c>
      <c r="D2355" s="87" t="s">
        <v>87</v>
      </c>
      <c r="E2355" s="87" t="s">
        <v>228</v>
      </c>
      <c r="F2355" s="87" t="s">
        <v>379</v>
      </c>
      <c r="G2355" s="93"/>
      <c r="H2355" s="93"/>
      <c r="I2355" s="93"/>
      <c r="J2355" s="87" t="s">
        <v>7026</v>
      </c>
      <c r="K2355" s="90">
        <v>1750.0</v>
      </c>
      <c r="L2355" s="92"/>
      <c r="M2355" s="93"/>
      <c r="N2355" s="87" t="s">
        <v>6386</v>
      </c>
      <c r="O2355" s="87" t="s">
        <v>377</v>
      </c>
      <c r="P2355" s="87" t="s">
        <v>372</v>
      </c>
    </row>
    <row r="2356" ht="15.75" customHeight="1">
      <c r="A2356" s="87" t="s">
        <v>7057</v>
      </c>
      <c r="B2356" s="88">
        <v>1.22E18</v>
      </c>
      <c r="C2356" s="87" t="s">
        <v>7058</v>
      </c>
      <c r="D2356" s="87" t="s">
        <v>87</v>
      </c>
      <c r="E2356" s="87" t="s">
        <v>228</v>
      </c>
      <c r="F2356" s="87" t="s">
        <v>379</v>
      </c>
      <c r="G2356" s="93"/>
      <c r="H2356" s="93"/>
      <c r="I2356" s="93"/>
      <c r="J2356" s="87" t="s">
        <v>7026</v>
      </c>
      <c r="K2356" s="90">
        <v>1800.0</v>
      </c>
      <c r="L2356" s="92"/>
      <c r="M2356" s="93"/>
      <c r="N2356" s="87" t="s">
        <v>6386</v>
      </c>
      <c r="O2356" s="87" t="s">
        <v>377</v>
      </c>
      <c r="P2356" s="87" t="s">
        <v>372</v>
      </c>
    </row>
    <row r="2357" ht="15.75" customHeight="1">
      <c r="A2357" s="87" t="s">
        <v>7059</v>
      </c>
      <c r="B2357" s="88">
        <v>1.22E18</v>
      </c>
      <c r="C2357" s="87" t="s">
        <v>7060</v>
      </c>
      <c r="D2357" s="87" t="s">
        <v>87</v>
      </c>
      <c r="E2357" s="87" t="s">
        <v>228</v>
      </c>
      <c r="F2357" s="87" t="s">
        <v>379</v>
      </c>
      <c r="G2357" s="93"/>
      <c r="H2357" s="93"/>
      <c r="I2357" s="93"/>
      <c r="J2357" s="87" t="s">
        <v>7026</v>
      </c>
      <c r="K2357" s="90">
        <v>1750.0</v>
      </c>
      <c r="L2357" s="92"/>
      <c r="M2357" s="93"/>
      <c r="N2357" s="87" t="s">
        <v>6386</v>
      </c>
      <c r="O2357" s="87" t="s">
        <v>377</v>
      </c>
      <c r="P2357" s="87" t="s">
        <v>372</v>
      </c>
    </row>
    <row r="2358" ht="15.75" customHeight="1">
      <c r="A2358" s="87" t="s">
        <v>7061</v>
      </c>
      <c r="B2358" s="88">
        <v>1.22E18</v>
      </c>
      <c r="C2358" s="87" t="s">
        <v>7062</v>
      </c>
      <c r="D2358" s="87" t="s">
        <v>87</v>
      </c>
      <c r="E2358" s="87" t="s">
        <v>228</v>
      </c>
      <c r="F2358" s="87" t="s">
        <v>379</v>
      </c>
      <c r="G2358" s="93"/>
      <c r="H2358" s="93"/>
      <c r="I2358" s="93"/>
      <c r="J2358" s="87" t="s">
        <v>7026</v>
      </c>
      <c r="K2358" s="90">
        <v>85.0</v>
      </c>
      <c r="L2358" s="92"/>
      <c r="M2358" s="93"/>
      <c r="N2358" s="87" t="s">
        <v>6386</v>
      </c>
      <c r="O2358" s="87" t="s">
        <v>377</v>
      </c>
      <c r="P2358" s="87" t="s">
        <v>372</v>
      </c>
    </row>
    <row r="2359" ht="15.75" customHeight="1">
      <c r="A2359" s="87" t="s">
        <v>7063</v>
      </c>
      <c r="B2359" s="88">
        <v>1.22E18</v>
      </c>
      <c r="C2359" s="87" t="s">
        <v>7064</v>
      </c>
      <c r="D2359" s="87" t="s">
        <v>87</v>
      </c>
      <c r="E2359" s="87" t="s">
        <v>228</v>
      </c>
      <c r="F2359" s="87" t="s">
        <v>379</v>
      </c>
      <c r="G2359" s="93"/>
      <c r="H2359" s="93"/>
      <c r="I2359" s="93"/>
      <c r="J2359" s="87" t="s">
        <v>449</v>
      </c>
      <c r="K2359" s="90">
        <v>500.0</v>
      </c>
      <c r="L2359" s="92"/>
      <c r="M2359" s="93"/>
      <c r="N2359" s="87" t="s">
        <v>617</v>
      </c>
      <c r="O2359" s="87" t="s">
        <v>377</v>
      </c>
      <c r="P2359" s="87" t="s">
        <v>372</v>
      </c>
    </row>
    <row r="2360" ht="15.75" customHeight="1">
      <c r="A2360" s="87" t="s">
        <v>7065</v>
      </c>
      <c r="B2360" s="88">
        <v>1.22E18</v>
      </c>
      <c r="C2360" s="87" t="s">
        <v>7066</v>
      </c>
      <c r="D2360" s="87" t="s">
        <v>87</v>
      </c>
      <c r="E2360" s="87" t="s">
        <v>228</v>
      </c>
      <c r="F2360" s="87" t="s">
        <v>379</v>
      </c>
      <c r="G2360" s="93"/>
      <c r="H2360" s="93"/>
      <c r="I2360" s="93"/>
      <c r="J2360" s="87" t="s">
        <v>449</v>
      </c>
      <c r="K2360" s="90">
        <v>500.0</v>
      </c>
      <c r="L2360" s="92"/>
      <c r="M2360" s="93"/>
      <c r="N2360" s="87" t="s">
        <v>617</v>
      </c>
      <c r="O2360" s="87" t="s">
        <v>377</v>
      </c>
      <c r="P2360" s="87" t="s">
        <v>372</v>
      </c>
    </row>
    <row r="2361" ht="15.75" customHeight="1">
      <c r="A2361" s="87" t="s">
        <v>7067</v>
      </c>
      <c r="B2361" s="88">
        <v>1.22E18</v>
      </c>
      <c r="C2361" s="87" t="s">
        <v>7068</v>
      </c>
      <c r="D2361" s="87" t="s">
        <v>87</v>
      </c>
      <c r="E2361" s="87" t="s">
        <v>228</v>
      </c>
      <c r="F2361" s="87" t="s">
        <v>379</v>
      </c>
      <c r="G2361" s="93"/>
      <c r="H2361" s="93"/>
      <c r="I2361" s="93"/>
      <c r="J2361" s="87" t="s">
        <v>449</v>
      </c>
      <c r="K2361" s="90">
        <v>500.0</v>
      </c>
      <c r="L2361" s="92"/>
      <c r="M2361" s="93"/>
      <c r="N2361" s="87" t="s">
        <v>617</v>
      </c>
      <c r="O2361" s="87" t="s">
        <v>377</v>
      </c>
      <c r="P2361" s="87" t="s">
        <v>372</v>
      </c>
    </row>
    <row r="2362" ht="15.75" customHeight="1">
      <c r="A2362" s="87" t="s">
        <v>7069</v>
      </c>
      <c r="B2362" s="88">
        <v>1.22E18</v>
      </c>
      <c r="C2362" s="87" t="s">
        <v>7070</v>
      </c>
      <c r="D2362" s="87" t="s">
        <v>87</v>
      </c>
      <c r="E2362" s="87" t="s">
        <v>88</v>
      </c>
      <c r="F2362" s="87" t="s">
        <v>379</v>
      </c>
      <c r="G2362" s="93"/>
      <c r="H2362" s="93"/>
      <c r="I2362" s="93"/>
      <c r="J2362" s="87" t="s">
        <v>7071</v>
      </c>
      <c r="K2362" s="90">
        <v>800.0</v>
      </c>
      <c r="L2362" s="92"/>
      <c r="M2362" s="93"/>
      <c r="N2362" s="87" t="s">
        <v>617</v>
      </c>
      <c r="O2362" s="87" t="s">
        <v>377</v>
      </c>
      <c r="P2362" s="87" t="s">
        <v>372</v>
      </c>
    </row>
    <row r="2363" ht="15.75" customHeight="1">
      <c r="A2363" s="87" t="s">
        <v>7072</v>
      </c>
      <c r="B2363" s="88">
        <v>1.22E18</v>
      </c>
      <c r="C2363" s="87" t="s">
        <v>7073</v>
      </c>
      <c r="D2363" s="87" t="s">
        <v>87</v>
      </c>
      <c r="E2363" s="87" t="s">
        <v>228</v>
      </c>
      <c r="F2363" s="87" t="s">
        <v>379</v>
      </c>
      <c r="G2363" s="93"/>
      <c r="H2363" s="93"/>
      <c r="I2363" s="93"/>
      <c r="J2363" s="87" t="s">
        <v>7074</v>
      </c>
      <c r="K2363" s="90">
        <v>2000.0</v>
      </c>
      <c r="L2363" s="92"/>
      <c r="M2363" s="93"/>
      <c r="N2363" s="87" t="s">
        <v>617</v>
      </c>
      <c r="O2363" s="87" t="s">
        <v>377</v>
      </c>
      <c r="P2363" s="87" t="s">
        <v>372</v>
      </c>
    </row>
    <row r="2364" ht="15.75" customHeight="1">
      <c r="A2364" s="87" t="s">
        <v>7075</v>
      </c>
      <c r="B2364" s="88">
        <v>1.22E18</v>
      </c>
      <c r="C2364" s="87" t="s">
        <v>7076</v>
      </c>
      <c r="D2364" s="87" t="s">
        <v>87</v>
      </c>
      <c r="E2364" s="87" t="s">
        <v>228</v>
      </c>
      <c r="F2364" s="87" t="s">
        <v>373</v>
      </c>
      <c r="H2364" s="93"/>
      <c r="I2364" s="87" t="s">
        <v>340</v>
      </c>
      <c r="J2364" s="87" t="s">
        <v>449</v>
      </c>
      <c r="K2364" s="90">
        <v>324.0</v>
      </c>
      <c r="L2364" s="92"/>
      <c r="M2364" s="93"/>
      <c r="N2364" s="87" t="s">
        <v>617</v>
      </c>
      <c r="O2364" s="87" t="s">
        <v>377</v>
      </c>
      <c r="P2364" s="87" t="s">
        <v>372</v>
      </c>
    </row>
    <row r="2365" ht="15.75" customHeight="1">
      <c r="A2365" s="87" t="s">
        <v>7077</v>
      </c>
      <c r="B2365" s="88">
        <v>1.22E18</v>
      </c>
      <c r="C2365" s="87" t="s">
        <v>7078</v>
      </c>
      <c r="D2365" s="87" t="s">
        <v>87</v>
      </c>
      <c r="E2365" s="87" t="s">
        <v>228</v>
      </c>
      <c r="F2365" s="87" t="s">
        <v>373</v>
      </c>
      <c r="H2365" s="93"/>
      <c r="I2365" s="87" t="s">
        <v>340</v>
      </c>
      <c r="J2365" s="87" t="s">
        <v>7079</v>
      </c>
      <c r="K2365" s="90">
        <v>350.0</v>
      </c>
      <c r="L2365" s="92"/>
      <c r="M2365" s="93"/>
      <c r="N2365" s="87" t="s">
        <v>703</v>
      </c>
      <c r="O2365" s="87" t="s">
        <v>377</v>
      </c>
      <c r="P2365" s="87" t="s">
        <v>372</v>
      </c>
    </row>
    <row r="2366" ht="15.75" customHeight="1">
      <c r="A2366" s="87" t="s">
        <v>7080</v>
      </c>
      <c r="B2366" s="88">
        <v>1.22E18</v>
      </c>
      <c r="C2366" s="87" t="s">
        <v>7081</v>
      </c>
      <c r="D2366" s="87" t="s">
        <v>87</v>
      </c>
      <c r="E2366" s="87" t="s">
        <v>88</v>
      </c>
      <c r="F2366" s="87" t="s">
        <v>373</v>
      </c>
      <c r="H2366" s="93"/>
      <c r="I2366" s="87" t="s">
        <v>340</v>
      </c>
      <c r="J2366" s="87" t="s">
        <v>449</v>
      </c>
      <c r="K2366" s="90">
        <v>750.0</v>
      </c>
      <c r="L2366" s="92"/>
      <c r="M2366" s="93"/>
      <c r="N2366" s="87" t="s">
        <v>6725</v>
      </c>
      <c r="O2366" s="87" t="s">
        <v>377</v>
      </c>
      <c r="P2366" s="87" t="s">
        <v>372</v>
      </c>
    </row>
    <row r="2367" ht="15.75" customHeight="1">
      <c r="A2367" s="87" t="s">
        <v>7082</v>
      </c>
      <c r="B2367" s="88">
        <v>1.22E18</v>
      </c>
      <c r="C2367" s="87" t="s">
        <v>7083</v>
      </c>
      <c r="D2367" s="87" t="s">
        <v>87</v>
      </c>
      <c r="E2367" s="87" t="s">
        <v>88</v>
      </c>
      <c r="F2367" s="87" t="s">
        <v>373</v>
      </c>
      <c r="H2367" s="93"/>
      <c r="I2367" s="87" t="s">
        <v>340</v>
      </c>
      <c r="J2367" s="87" t="s">
        <v>449</v>
      </c>
      <c r="K2367" s="90">
        <v>750.0</v>
      </c>
      <c r="L2367" s="92"/>
      <c r="M2367" s="93"/>
      <c r="N2367" s="87" t="s">
        <v>6725</v>
      </c>
      <c r="O2367" s="87" t="s">
        <v>377</v>
      </c>
      <c r="P2367" s="87" t="s">
        <v>372</v>
      </c>
    </row>
    <row r="2368" ht="15.75" customHeight="1">
      <c r="A2368" s="87" t="s">
        <v>7084</v>
      </c>
      <c r="B2368" s="88">
        <v>1.22E18</v>
      </c>
      <c r="C2368" s="87" t="s">
        <v>7085</v>
      </c>
      <c r="D2368" s="87" t="s">
        <v>87</v>
      </c>
      <c r="E2368" s="87" t="s">
        <v>228</v>
      </c>
      <c r="F2368" s="87" t="s">
        <v>373</v>
      </c>
      <c r="H2368" s="93"/>
      <c r="I2368" s="87" t="s">
        <v>340</v>
      </c>
      <c r="J2368" s="87" t="s">
        <v>449</v>
      </c>
      <c r="K2368" s="90">
        <v>50.0</v>
      </c>
      <c r="L2368" s="92"/>
      <c r="M2368" s="93"/>
      <c r="N2368" s="87" t="s">
        <v>4517</v>
      </c>
      <c r="O2368" s="87" t="s">
        <v>377</v>
      </c>
      <c r="P2368" s="87" t="s">
        <v>372</v>
      </c>
    </row>
    <row r="2369" ht="15.75" customHeight="1">
      <c r="A2369" s="87" t="s">
        <v>7086</v>
      </c>
      <c r="B2369" s="88">
        <v>1.22E18</v>
      </c>
      <c r="C2369" s="87" t="s">
        <v>7087</v>
      </c>
      <c r="D2369" s="87" t="s">
        <v>87</v>
      </c>
      <c r="E2369" s="87" t="s">
        <v>228</v>
      </c>
      <c r="F2369" s="87" t="s">
        <v>373</v>
      </c>
      <c r="H2369" s="93"/>
      <c r="I2369" s="87" t="s">
        <v>340</v>
      </c>
      <c r="J2369" s="87" t="s">
        <v>449</v>
      </c>
      <c r="K2369" s="90">
        <v>3250.0</v>
      </c>
      <c r="L2369" s="92"/>
      <c r="M2369" s="93"/>
      <c r="N2369" s="87" t="s">
        <v>4517</v>
      </c>
      <c r="O2369" s="87" t="s">
        <v>377</v>
      </c>
      <c r="P2369" s="87" t="s">
        <v>372</v>
      </c>
    </row>
    <row r="2370" ht="15.75" customHeight="1">
      <c r="A2370" s="87" t="s">
        <v>7088</v>
      </c>
      <c r="B2370" s="88">
        <v>1.22E18</v>
      </c>
      <c r="C2370" s="87" t="s">
        <v>7089</v>
      </c>
      <c r="D2370" s="87" t="s">
        <v>87</v>
      </c>
      <c r="E2370" s="87" t="s">
        <v>228</v>
      </c>
      <c r="F2370" s="87" t="s">
        <v>7089</v>
      </c>
      <c r="I2370" s="87" t="s">
        <v>340</v>
      </c>
      <c r="J2370" s="87" t="s">
        <v>449</v>
      </c>
      <c r="K2370" s="90">
        <v>500.0</v>
      </c>
      <c r="L2370" s="92"/>
      <c r="M2370" s="93"/>
      <c r="N2370" s="87" t="s">
        <v>4517</v>
      </c>
      <c r="O2370" s="87" t="s">
        <v>377</v>
      </c>
      <c r="P2370" s="87" t="s">
        <v>372</v>
      </c>
    </row>
    <row r="2371" ht="15.75" customHeight="1">
      <c r="A2371" s="87" t="s">
        <v>7090</v>
      </c>
      <c r="B2371" s="88">
        <v>1.22E18</v>
      </c>
      <c r="C2371" s="87" t="s">
        <v>7091</v>
      </c>
      <c r="D2371" s="87" t="s">
        <v>87</v>
      </c>
      <c r="E2371" s="87" t="s">
        <v>88</v>
      </c>
      <c r="F2371" s="87" t="s">
        <v>379</v>
      </c>
      <c r="G2371" s="93"/>
      <c r="H2371" s="93"/>
      <c r="I2371" s="87" t="s">
        <v>340</v>
      </c>
      <c r="J2371" s="87" t="s">
        <v>6022</v>
      </c>
      <c r="K2371" s="90">
        <v>0.0</v>
      </c>
      <c r="L2371" s="92"/>
      <c r="M2371" s="93"/>
      <c r="N2371" s="87" t="s">
        <v>2483</v>
      </c>
      <c r="O2371" s="87" t="s">
        <v>377</v>
      </c>
      <c r="P2371" s="87" t="s">
        <v>372</v>
      </c>
    </row>
    <row r="2372" ht="15.75" customHeight="1">
      <c r="A2372" s="87" t="s">
        <v>7092</v>
      </c>
      <c r="B2372" s="88">
        <v>1.22E18</v>
      </c>
      <c r="C2372" s="87" t="s">
        <v>7093</v>
      </c>
      <c r="D2372" s="87" t="s">
        <v>87</v>
      </c>
      <c r="E2372" s="87" t="s">
        <v>228</v>
      </c>
      <c r="F2372" s="87" t="s">
        <v>373</v>
      </c>
      <c r="H2372" s="93"/>
      <c r="I2372" s="87" t="s">
        <v>340</v>
      </c>
      <c r="J2372" s="87" t="s">
        <v>3188</v>
      </c>
      <c r="K2372" s="90">
        <v>750.0</v>
      </c>
      <c r="L2372" s="92"/>
      <c r="M2372" s="93"/>
      <c r="N2372" s="87" t="s">
        <v>5337</v>
      </c>
      <c r="O2372" s="87" t="s">
        <v>377</v>
      </c>
      <c r="P2372" s="87" t="s">
        <v>372</v>
      </c>
    </row>
    <row r="2373" ht="15.75" customHeight="1">
      <c r="A2373" s="87" t="s">
        <v>7094</v>
      </c>
      <c r="B2373" s="88">
        <v>1.22E18</v>
      </c>
      <c r="C2373" s="87" t="s">
        <v>7095</v>
      </c>
      <c r="D2373" s="87" t="s">
        <v>87</v>
      </c>
      <c r="E2373" s="87" t="s">
        <v>228</v>
      </c>
      <c r="F2373" s="87" t="s">
        <v>373</v>
      </c>
      <c r="H2373" s="93"/>
      <c r="I2373" s="87" t="s">
        <v>340</v>
      </c>
      <c r="J2373" s="87" t="s">
        <v>7096</v>
      </c>
      <c r="K2373" s="90">
        <v>0.0</v>
      </c>
      <c r="L2373" s="92"/>
      <c r="M2373" s="93"/>
      <c r="N2373" s="87" t="s">
        <v>408</v>
      </c>
      <c r="O2373" s="87" t="s">
        <v>377</v>
      </c>
      <c r="P2373" s="87" t="s">
        <v>372</v>
      </c>
    </row>
    <row r="2374" ht="15.75" customHeight="1">
      <c r="A2374" s="87" t="s">
        <v>7097</v>
      </c>
      <c r="B2374" s="88">
        <v>1.22E18</v>
      </c>
      <c r="C2374" s="87" t="s">
        <v>7098</v>
      </c>
      <c r="D2374" s="87" t="s">
        <v>87</v>
      </c>
      <c r="E2374" s="87" t="s">
        <v>228</v>
      </c>
      <c r="F2374" s="87" t="s">
        <v>373</v>
      </c>
      <c r="H2374" s="93"/>
      <c r="I2374" s="87" t="s">
        <v>340</v>
      </c>
      <c r="J2374" s="87" t="s">
        <v>7099</v>
      </c>
      <c r="K2374" s="90">
        <v>0.0</v>
      </c>
      <c r="L2374" s="92"/>
      <c r="M2374" s="93"/>
      <c r="N2374" s="87" t="s">
        <v>4517</v>
      </c>
      <c r="O2374" s="87" t="s">
        <v>377</v>
      </c>
      <c r="P2374" s="87" t="s">
        <v>372</v>
      </c>
    </row>
    <row r="2375" ht="15.75" customHeight="1">
      <c r="A2375" s="87" t="s">
        <v>7100</v>
      </c>
      <c r="B2375" s="88">
        <v>1.22E18</v>
      </c>
      <c r="C2375" s="87" t="s">
        <v>7101</v>
      </c>
      <c r="D2375" s="87" t="s">
        <v>87</v>
      </c>
      <c r="E2375" s="87" t="s">
        <v>228</v>
      </c>
      <c r="F2375" s="87" t="s">
        <v>373</v>
      </c>
      <c r="H2375" s="93"/>
      <c r="I2375" s="87" t="s">
        <v>340</v>
      </c>
      <c r="J2375" s="87" t="s">
        <v>7099</v>
      </c>
      <c r="K2375" s="90">
        <v>0.0</v>
      </c>
      <c r="L2375" s="92"/>
      <c r="M2375" s="93"/>
      <c r="N2375" s="87" t="s">
        <v>4517</v>
      </c>
      <c r="O2375" s="87" t="s">
        <v>377</v>
      </c>
      <c r="P2375" s="87" t="s">
        <v>372</v>
      </c>
    </row>
    <row r="2376" ht="15.75" customHeight="1">
      <c r="A2376" s="87" t="s">
        <v>7102</v>
      </c>
      <c r="B2376" s="88">
        <v>1.22E18</v>
      </c>
      <c r="C2376" s="87" t="s">
        <v>7103</v>
      </c>
      <c r="D2376" s="87" t="s">
        <v>87</v>
      </c>
      <c r="E2376" s="87" t="s">
        <v>88</v>
      </c>
      <c r="F2376" s="87" t="s">
        <v>373</v>
      </c>
      <c r="H2376" s="93"/>
      <c r="I2376" s="87" t="s">
        <v>340</v>
      </c>
      <c r="J2376" s="87" t="s">
        <v>7104</v>
      </c>
      <c r="K2376" s="90">
        <v>75.0</v>
      </c>
      <c r="L2376" s="92"/>
      <c r="M2376" s="93"/>
      <c r="N2376" s="87" t="s">
        <v>1844</v>
      </c>
      <c r="O2376" s="87" t="s">
        <v>377</v>
      </c>
      <c r="P2376" s="87" t="s">
        <v>372</v>
      </c>
    </row>
    <row r="2377" ht="15.75" customHeight="1">
      <c r="A2377" s="87" t="s">
        <v>7105</v>
      </c>
      <c r="B2377" s="88">
        <v>1.22E18</v>
      </c>
      <c r="C2377" s="87" t="s">
        <v>7106</v>
      </c>
      <c r="D2377" s="87" t="s">
        <v>87</v>
      </c>
      <c r="E2377" s="87" t="s">
        <v>88</v>
      </c>
      <c r="F2377" s="87" t="s">
        <v>373</v>
      </c>
      <c r="H2377" s="93"/>
      <c r="I2377" s="87" t="s">
        <v>340</v>
      </c>
      <c r="J2377" s="87" t="s">
        <v>7104</v>
      </c>
      <c r="K2377" s="90">
        <v>75.0</v>
      </c>
      <c r="L2377" s="92"/>
      <c r="M2377" s="93"/>
      <c r="N2377" s="87" t="s">
        <v>1844</v>
      </c>
      <c r="O2377" s="87" t="s">
        <v>377</v>
      </c>
      <c r="P2377" s="87" t="s">
        <v>372</v>
      </c>
    </row>
    <row r="2378" ht="15.75" customHeight="1">
      <c r="A2378" s="87" t="s">
        <v>7107</v>
      </c>
      <c r="B2378" s="88">
        <v>1.22E18</v>
      </c>
      <c r="C2378" s="87" t="s">
        <v>7108</v>
      </c>
      <c r="D2378" s="87" t="s">
        <v>87</v>
      </c>
      <c r="E2378" s="87" t="s">
        <v>88</v>
      </c>
      <c r="F2378" s="87" t="s">
        <v>373</v>
      </c>
      <c r="H2378" s="93"/>
      <c r="I2378" s="87" t="s">
        <v>340</v>
      </c>
      <c r="J2378" s="87" t="s">
        <v>7104</v>
      </c>
      <c r="K2378" s="90">
        <v>75.0</v>
      </c>
      <c r="L2378" s="92"/>
      <c r="M2378" s="93"/>
      <c r="N2378" s="87" t="s">
        <v>1844</v>
      </c>
      <c r="O2378" s="87" t="s">
        <v>377</v>
      </c>
      <c r="P2378" s="87" t="s">
        <v>372</v>
      </c>
    </row>
    <row r="2379" ht="15.75" customHeight="1">
      <c r="A2379" s="87" t="s">
        <v>7109</v>
      </c>
      <c r="B2379" s="88">
        <v>1.22E18</v>
      </c>
      <c r="C2379" s="87" t="s">
        <v>7110</v>
      </c>
      <c r="D2379" s="87" t="s">
        <v>87</v>
      </c>
      <c r="E2379" s="87" t="s">
        <v>88</v>
      </c>
      <c r="F2379" s="87" t="s">
        <v>373</v>
      </c>
      <c r="H2379" s="93"/>
      <c r="I2379" s="87" t="s">
        <v>340</v>
      </c>
      <c r="J2379" s="87" t="s">
        <v>7104</v>
      </c>
      <c r="K2379" s="90">
        <v>75.0</v>
      </c>
      <c r="L2379" s="92"/>
      <c r="M2379" s="93"/>
      <c r="N2379" s="87" t="s">
        <v>1844</v>
      </c>
      <c r="O2379" s="87" t="s">
        <v>377</v>
      </c>
      <c r="P2379" s="87" t="s">
        <v>372</v>
      </c>
    </row>
    <row r="2380" ht="15.75" customHeight="1">
      <c r="A2380" s="87" t="s">
        <v>7111</v>
      </c>
      <c r="B2380" s="88">
        <v>1.22E18</v>
      </c>
      <c r="C2380" s="87" t="s">
        <v>7112</v>
      </c>
      <c r="D2380" s="87" t="s">
        <v>87</v>
      </c>
      <c r="E2380" s="87" t="s">
        <v>228</v>
      </c>
      <c r="F2380" s="87" t="s">
        <v>373</v>
      </c>
      <c r="H2380" s="93"/>
      <c r="I2380" s="87" t="s">
        <v>340</v>
      </c>
      <c r="J2380" s="87" t="s">
        <v>7113</v>
      </c>
      <c r="K2380" s="90">
        <v>0.0</v>
      </c>
      <c r="L2380" s="92"/>
      <c r="M2380" s="93"/>
      <c r="N2380" s="87" t="s">
        <v>4517</v>
      </c>
      <c r="O2380" s="87" t="s">
        <v>377</v>
      </c>
      <c r="P2380" s="87" t="s">
        <v>372</v>
      </c>
    </row>
    <row r="2381" ht="15.75" customHeight="1">
      <c r="A2381" s="87" t="s">
        <v>7114</v>
      </c>
      <c r="B2381" s="88">
        <v>1.22E18</v>
      </c>
      <c r="C2381" s="87" t="s">
        <v>7115</v>
      </c>
      <c r="D2381" s="87" t="s">
        <v>87</v>
      </c>
      <c r="E2381" s="87" t="s">
        <v>228</v>
      </c>
      <c r="F2381" s="87" t="s">
        <v>373</v>
      </c>
      <c r="H2381" s="93"/>
      <c r="I2381" s="87" t="s">
        <v>340</v>
      </c>
      <c r="J2381" s="87" t="s">
        <v>7113</v>
      </c>
      <c r="K2381" s="90">
        <v>900.0</v>
      </c>
      <c r="L2381" s="92"/>
      <c r="M2381" s="93"/>
      <c r="N2381" s="87" t="s">
        <v>4517</v>
      </c>
      <c r="O2381" s="87" t="s">
        <v>377</v>
      </c>
      <c r="P2381" s="87" t="s">
        <v>372</v>
      </c>
    </row>
    <row r="2382" ht="15.75" customHeight="1">
      <c r="A2382" s="87" t="s">
        <v>7116</v>
      </c>
      <c r="B2382" s="88">
        <v>1.22E18</v>
      </c>
      <c r="C2382" s="87" t="s">
        <v>7117</v>
      </c>
      <c r="D2382" s="87" t="s">
        <v>87</v>
      </c>
      <c r="E2382" s="87" t="s">
        <v>228</v>
      </c>
      <c r="F2382" s="87" t="s">
        <v>373</v>
      </c>
      <c r="H2382" s="93"/>
      <c r="I2382" s="87" t="s">
        <v>340</v>
      </c>
      <c r="J2382" s="87" t="s">
        <v>7113</v>
      </c>
      <c r="K2382" s="90">
        <v>0.0</v>
      </c>
      <c r="L2382" s="92"/>
      <c r="M2382" s="93"/>
      <c r="N2382" s="87" t="s">
        <v>4517</v>
      </c>
      <c r="O2382" s="87" t="s">
        <v>377</v>
      </c>
      <c r="P2382" s="87" t="s">
        <v>372</v>
      </c>
    </row>
    <row r="2383" ht="15.75" customHeight="1">
      <c r="A2383" s="87" t="s">
        <v>7118</v>
      </c>
      <c r="B2383" s="88">
        <v>1.22E18</v>
      </c>
      <c r="C2383" s="87" t="s">
        <v>7119</v>
      </c>
      <c r="D2383" s="87" t="s">
        <v>87</v>
      </c>
      <c r="E2383" s="87" t="s">
        <v>228</v>
      </c>
      <c r="F2383" s="87" t="s">
        <v>373</v>
      </c>
      <c r="H2383" s="93"/>
      <c r="I2383" s="87" t="s">
        <v>340</v>
      </c>
      <c r="J2383" s="87" t="s">
        <v>7113</v>
      </c>
      <c r="K2383" s="90">
        <v>0.0</v>
      </c>
      <c r="L2383" s="92"/>
      <c r="M2383" s="93"/>
      <c r="N2383" s="87" t="s">
        <v>4517</v>
      </c>
      <c r="O2383" s="87" t="s">
        <v>377</v>
      </c>
      <c r="P2383" s="87" t="s">
        <v>372</v>
      </c>
    </row>
    <row r="2384" ht="15.75" customHeight="1">
      <c r="A2384" s="87" t="s">
        <v>7120</v>
      </c>
      <c r="B2384" s="88">
        <v>1.22E18</v>
      </c>
      <c r="C2384" s="87" t="s">
        <v>7121</v>
      </c>
      <c r="D2384" s="87" t="s">
        <v>87</v>
      </c>
      <c r="E2384" s="87" t="s">
        <v>228</v>
      </c>
      <c r="F2384" s="87" t="s">
        <v>373</v>
      </c>
      <c r="H2384" s="93"/>
      <c r="I2384" s="87" t="s">
        <v>340</v>
      </c>
      <c r="J2384" s="87" t="s">
        <v>7122</v>
      </c>
      <c r="K2384" s="90">
        <v>0.0</v>
      </c>
      <c r="L2384" s="92"/>
      <c r="M2384" s="93"/>
      <c r="N2384" s="87" t="s">
        <v>2405</v>
      </c>
      <c r="O2384" s="87" t="s">
        <v>377</v>
      </c>
      <c r="P2384" s="87" t="s">
        <v>372</v>
      </c>
    </row>
    <row r="2385" ht="15.75" customHeight="1">
      <c r="A2385" s="87" t="s">
        <v>7123</v>
      </c>
      <c r="B2385" s="88">
        <v>1.22E18</v>
      </c>
      <c r="C2385" s="87" t="s">
        <v>7124</v>
      </c>
      <c r="D2385" s="87" t="s">
        <v>87</v>
      </c>
      <c r="E2385" s="87" t="s">
        <v>228</v>
      </c>
      <c r="F2385" s="87" t="s">
        <v>373</v>
      </c>
      <c r="H2385" s="93"/>
      <c r="I2385" s="87" t="s">
        <v>340</v>
      </c>
      <c r="J2385" s="87" t="s">
        <v>7125</v>
      </c>
      <c r="K2385" s="90">
        <v>0.0</v>
      </c>
      <c r="L2385" s="92"/>
      <c r="M2385" s="93"/>
      <c r="N2385" s="87" t="s">
        <v>4517</v>
      </c>
      <c r="O2385" s="87" t="s">
        <v>377</v>
      </c>
      <c r="P2385" s="87" t="s">
        <v>372</v>
      </c>
    </row>
    <row r="2386" ht="15.75" customHeight="1">
      <c r="A2386" s="87" t="s">
        <v>7126</v>
      </c>
      <c r="B2386" s="88">
        <v>1.22E18</v>
      </c>
      <c r="C2386" s="87" t="s">
        <v>7127</v>
      </c>
      <c r="D2386" s="87" t="s">
        <v>87</v>
      </c>
      <c r="E2386" s="87" t="s">
        <v>228</v>
      </c>
      <c r="F2386" s="87" t="s">
        <v>373</v>
      </c>
      <c r="H2386" s="93"/>
      <c r="I2386" s="87" t="s">
        <v>340</v>
      </c>
      <c r="J2386" s="87" t="s">
        <v>7125</v>
      </c>
      <c r="K2386" s="90">
        <v>0.0</v>
      </c>
      <c r="L2386" s="92"/>
      <c r="M2386" s="93"/>
      <c r="N2386" s="87" t="s">
        <v>4517</v>
      </c>
      <c r="O2386" s="87" t="s">
        <v>377</v>
      </c>
      <c r="P2386" s="87" t="s">
        <v>372</v>
      </c>
    </row>
    <row r="2387" ht="15.75" customHeight="1">
      <c r="A2387" s="87" t="s">
        <v>7128</v>
      </c>
      <c r="B2387" s="88">
        <v>1.22E18</v>
      </c>
      <c r="C2387" s="87" t="s">
        <v>7129</v>
      </c>
      <c r="D2387" s="87" t="s">
        <v>87</v>
      </c>
      <c r="E2387" s="87" t="s">
        <v>228</v>
      </c>
      <c r="F2387" s="87" t="s">
        <v>373</v>
      </c>
      <c r="H2387" s="93"/>
      <c r="I2387" s="87" t="s">
        <v>340</v>
      </c>
      <c r="J2387" s="87" t="s">
        <v>7125</v>
      </c>
      <c r="K2387" s="90">
        <v>400.0</v>
      </c>
      <c r="L2387" s="92"/>
      <c r="M2387" s="93"/>
      <c r="N2387" s="87" t="s">
        <v>4517</v>
      </c>
      <c r="O2387" s="87" t="s">
        <v>377</v>
      </c>
      <c r="P2387" s="87" t="s">
        <v>372</v>
      </c>
    </row>
    <row r="2388" ht="15.75" customHeight="1">
      <c r="A2388" s="87" t="s">
        <v>7130</v>
      </c>
      <c r="B2388" s="88">
        <v>1.22E18</v>
      </c>
      <c r="C2388" s="87" t="s">
        <v>7131</v>
      </c>
      <c r="D2388" s="87" t="s">
        <v>87</v>
      </c>
      <c r="E2388" s="87" t="s">
        <v>88</v>
      </c>
      <c r="F2388" s="87" t="s">
        <v>373</v>
      </c>
      <c r="H2388" s="93"/>
      <c r="I2388" s="87" t="s">
        <v>340</v>
      </c>
      <c r="J2388" s="87" t="s">
        <v>7132</v>
      </c>
      <c r="K2388" s="90">
        <v>0.0</v>
      </c>
      <c r="L2388" s="92"/>
      <c r="M2388" s="93"/>
      <c r="N2388" s="87" t="s">
        <v>1044</v>
      </c>
      <c r="O2388" s="87" t="s">
        <v>377</v>
      </c>
      <c r="P2388" s="87" t="s">
        <v>372</v>
      </c>
    </row>
    <row r="2389" ht="15.75" customHeight="1">
      <c r="A2389" s="87" t="s">
        <v>7133</v>
      </c>
      <c r="B2389" s="88">
        <v>1.22E18</v>
      </c>
      <c r="C2389" s="87" t="s">
        <v>7134</v>
      </c>
      <c r="D2389" s="87" t="s">
        <v>87</v>
      </c>
      <c r="E2389" s="87" t="s">
        <v>228</v>
      </c>
      <c r="F2389" s="87" t="s">
        <v>373</v>
      </c>
      <c r="H2389" s="93"/>
      <c r="I2389" s="87" t="s">
        <v>340</v>
      </c>
      <c r="J2389" s="87" t="s">
        <v>7113</v>
      </c>
      <c r="K2389" s="90">
        <v>0.0</v>
      </c>
      <c r="L2389" s="92"/>
      <c r="M2389" s="93"/>
      <c r="N2389" s="87" t="s">
        <v>4517</v>
      </c>
      <c r="O2389" s="87" t="s">
        <v>377</v>
      </c>
      <c r="P2389" s="87" t="s">
        <v>372</v>
      </c>
    </row>
    <row r="2390" ht="15.75" customHeight="1">
      <c r="A2390" s="87" t="s">
        <v>7135</v>
      </c>
      <c r="B2390" s="88">
        <v>1.22E18</v>
      </c>
      <c r="C2390" s="87" t="s">
        <v>7136</v>
      </c>
      <c r="D2390" s="87" t="s">
        <v>87</v>
      </c>
      <c r="E2390" s="87" t="s">
        <v>228</v>
      </c>
      <c r="F2390" s="87" t="s">
        <v>373</v>
      </c>
      <c r="H2390" s="93"/>
      <c r="I2390" s="87" t="s">
        <v>340</v>
      </c>
      <c r="J2390" s="87" t="s">
        <v>7113</v>
      </c>
      <c r="K2390" s="90">
        <v>0.0</v>
      </c>
      <c r="L2390" s="92"/>
      <c r="M2390" s="93"/>
      <c r="N2390" s="87" t="s">
        <v>4517</v>
      </c>
      <c r="O2390" s="87" t="s">
        <v>377</v>
      </c>
      <c r="P2390" s="87" t="s">
        <v>372</v>
      </c>
    </row>
    <row r="2391" ht="15.75" customHeight="1">
      <c r="A2391" s="87" t="s">
        <v>7137</v>
      </c>
      <c r="B2391" s="88">
        <v>1.22E18</v>
      </c>
      <c r="C2391" s="87" t="s">
        <v>7138</v>
      </c>
      <c r="D2391" s="87" t="s">
        <v>87</v>
      </c>
      <c r="E2391" s="87" t="s">
        <v>228</v>
      </c>
      <c r="F2391" s="87" t="s">
        <v>373</v>
      </c>
      <c r="H2391" s="93"/>
      <c r="I2391" s="87" t="s">
        <v>340</v>
      </c>
      <c r="J2391" s="87" t="s">
        <v>7113</v>
      </c>
      <c r="K2391" s="90">
        <v>0.0</v>
      </c>
      <c r="L2391" s="92"/>
      <c r="M2391" s="93"/>
      <c r="N2391" s="87" t="s">
        <v>4517</v>
      </c>
      <c r="O2391" s="87" t="s">
        <v>377</v>
      </c>
      <c r="P2391" s="87" t="s">
        <v>372</v>
      </c>
    </row>
    <row r="2392" ht="15.75" customHeight="1">
      <c r="A2392" s="87" t="s">
        <v>7139</v>
      </c>
      <c r="B2392" s="88">
        <v>1.22E18</v>
      </c>
      <c r="C2392" s="87" t="s">
        <v>7140</v>
      </c>
      <c r="D2392" s="87" t="s">
        <v>87</v>
      </c>
      <c r="E2392" s="87" t="s">
        <v>228</v>
      </c>
      <c r="F2392" s="87" t="s">
        <v>373</v>
      </c>
      <c r="H2392" s="93"/>
      <c r="I2392" s="87" t="s">
        <v>340</v>
      </c>
      <c r="J2392" s="87" t="s">
        <v>7113</v>
      </c>
      <c r="K2392" s="90">
        <v>0.0</v>
      </c>
      <c r="L2392" s="92"/>
      <c r="M2392" s="93"/>
      <c r="N2392" s="87" t="s">
        <v>4517</v>
      </c>
      <c r="O2392" s="87" t="s">
        <v>377</v>
      </c>
      <c r="P2392" s="87" t="s">
        <v>372</v>
      </c>
    </row>
    <row r="2393" ht="15.75" customHeight="1">
      <c r="A2393" s="87" t="s">
        <v>7141</v>
      </c>
      <c r="B2393" s="88">
        <v>1.22E18</v>
      </c>
      <c r="C2393" s="87" t="s">
        <v>7142</v>
      </c>
      <c r="D2393" s="87" t="s">
        <v>87</v>
      </c>
      <c r="E2393" s="87" t="s">
        <v>228</v>
      </c>
      <c r="F2393" s="87" t="s">
        <v>373</v>
      </c>
      <c r="H2393" s="93"/>
      <c r="I2393" s="87" t="s">
        <v>340</v>
      </c>
      <c r="J2393" s="87" t="s">
        <v>7113</v>
      </c>
      <c r="K2393" s="90">
        <v>0.0</v>
      </c>
      <c r="L2393" s="92"/>
      <c r="M2393" s="93"/>
      <c r="N2393" s="87" t="s">
        <v>4517</v>
      </c>
      <c r="O2393" s="87" t="s">
        <v>377</v>
      </c>
      <c r="P2393" s="87" t="s">
        <v>372</v>
      </c>
    </row>
    <row r="2394" ht="15.75" customHeight="1">
      <c r="A2394" s="87" t="s">
        <v>7143</v>
      </c>
      <c r="B2394" s="88">
        <v>1.22E18</v>
      </c>
      <c r="C2394" s="87" t="s">
        <v>7144</v>
      </c>
      <c r="D2394" s="87" t="s">
        <v>56</v>
      </c>
      <c r="E2394" s="87" t="s">
        <v>248</v>
      </c>
      <c r="F2394" s="87" t="s">
        <v>2769</v>
      </c>
      <c r="G2394" s="93"/>
      <c r="H2394" s="93"/>
      <c r="I2394" s="87" t="s">
        <v>58</v>
      </c>
      <c r="J2394" s="87" t="s">
        <v>6603</v>
      </c>
      <c r="K2394" s="90">
        <v>0.0</v>
      </c>
      <c r="L2394" s="92"/>
      <c r="M2394" s="93"/>
      <c r="N2394" s="87" t="s">
        <v>6565</v>
      </c>
      <c r="O2394" s="87" t="s">
        <v>377</v>
      </c>
      <c r="P2394" s="87" t="s">
        <v>372</v>
      </c>
    </row>
    <row r="2395" ht="15.75" customHeight="1">
      <c r="A2395" s="87" t="s">
        <v>7145</v>
      </c>
      <c r="B2395" s="88">
        <v>1.22E18</v>
      </c>
      <c r="C2395" s="87" t="s">
        <v>7146</v>
      </c>
      <c r="D2395" s="87" t="s">
        <v>56</v>
      </c>
      <c r="E2395" s="87" t="s">
        <v>102</v>
      </c>
      <c r="F2395" s="87" t="s">
        <v>1763</v>
      </c>
      <c r="I2395" s="93"/>
      <c r="J2395" s="87" t="s">
        <v>7147</v>
      </c>
      <c r="K2395" s="90">
        <v>4000.0</v>
      </c>
      <c r="L2395" s="92"/>
      <c r="M2395" s="93"/>
      <c r="N2395" s="87" t="s">
        <v>7148</v>
      </c>
      <c r="O2395" s="87" t="s">
        <v>377</v>
      </c>
      <c r="P2395" s="87" t="s">
        <v>372</v>
      </c>
    </row>
    <row r="2396" ht="15.75" customHeight="1">
      <c r="A2396" s="87" t="s">
        <v>7149</v>
      </c>
      <c r="B2396" s="88">
        <v>1.22E18</v>
      </c>
      <c r="C2396" s="87" t="s">
        <v>7150</v>
      </c>
      <c r="D2396" s="87" t="s">
        <v>87</v>
      </c>
      <c r="E2396" s="87" t="s">
        <v>88</v>
      </c>
      <c r="F2396" s="87" t="s">
        <v>7150</v>
      </c>
      <c r="I2396" s="87" t="s">
        <v>58</v>
      </c>
      <c r="J2396" s="87" t="s">
        <v>7151</v>
      </c>
      <c r="K2396" s="90">
        <v>0.0</v>
      </c>
      <c r="L2396" s="92"/>
      <c r="M2396" s="93"/>
      <c r="N2396" s="87" t="s">
        <v>7152</v>
      </c>
      <c r="O2396" s="87" t="s">
        <v>377</v>
      </c>
      <c r="P2396" s="87" t="s">
        <v>372</v>
      </c>
    </row>
    <row r="2397" ht="15.75" customHeight="1">
      <c r="A2397" s="87" t="s">
        <v>7153</v>
      </c>
      <c r="B2397" s="88">
        <v>1.22E18</v>
      </c>
      <c r="C2397" s="87" t="s">
        <v>7154</v>
      </c>
      <c r="D2397" s="87" t="s">
        <v>87</v>
      </c>
      <c r="E2397" s="87" t="s">
        <v>88</v>
      </c>
      <c r="F2397" s="87" t="s">
        <v>373</v>
      </c>
      <c r="H2397" s="93"/>
      <c r="I2397" s="87" t="s">
        <v>58</v>
      </c>
      <c r="J2397" s="87" t="s">
        <v>3355</v>
      </c>
      <c r="K2397" s="90">
        <v>0.0</v>
      </c>
      <c r="L2397" s="92"/>
      <c r="M2397" s="93"/>
      <c r="N2397" s="87" t="s">
        <v>1837</v>
      </c>
      <c r="O2397" s="87" t="s">
        <v>377</v>
      </c>
      <c r="P2397" s="87" t="s">
        <v>372</v>
      </c>
    </row>
    <row r="2398" ht="15.75" customHeight="1">
      <c r="A2398" s="87" t="s">
        <v>7155</v>
      </c>
      <c r="B2398" s="88">
        <v>1.22E18</v>
      </c>
      <c r="C2398" s="87" t="s">
        <v>7156</v>
      </c>
      <c r="D2398" s="87" t="s">
        <v>262</v>
      </c>
      <c r="E2398" s="87" t="s">
        <v>270</v>
      </c>
      <c r="F2398" s="87" t="s">
        <v>1749</v>
      </c>
      <c r="H2398" s="93"/>
      <c r="I2398" s="87" t="s">
        <v>58</v>
      </c>
      <c r="J2398" s="87" t="s">
        <v>7157</v>
      </c>
      <c r="K2398" s="90">
        <v>0.0</v>
      </c>
      <c r="L2398" s="92"/>
      <c r="M2398" s="93"/>
      <c r="N2398" s="87" t="s">
        <v>1772</v>
      </c>
      <c r="O2398" s="87" t="s">
        <v>377</v>
      </c>
      <c r="P2398" s="87" t="s">
        <v>372</v>
      </c>
    </row>
    <row r="2399" ht="15.75" customHeight="1">
      <c r="A2399" s="87" t="s">
        <v>7158</v>
      </c>
      <c r="B2399" s="88">
        <v>1.22E18</v>
      </c>
      <c r="C2399" s="87" t="s">
        <v>7159</v>
      </c>
      <c r="D2399" s="87" t="s">
        <v>56</v>
      </c>
      <c r="E2399" s="87" t="s">
        <v>59</v>
      </c>
      <c r="F2399" s="87" t="s">
        <v>1763</v>
      </c>
      <c r="I2399" s="93"/>
      <c r="J2399" s="87" t="s">
        <v>7160</v>
      </c>
      <c r="K2399" s="90">
        <v>0.0</v>
      </c>
      <c r="L2399" s="92"/>
      <c r="M2399" s="93"/>
      <c r="N2399" s="87" t="s">
        <v>1772</v>
      </c>
      <c r="O2399" s="87" t="s">
        <v>377</v>
      </c>
      <c r="P2399" s="87" t="s">
        <v>372</v>
      </c>
    </row>
    <row r="2400" ht="15.75" customHeight="1">
      <c r="A2400" s="87" t="s">
        <v>7161</v>
      </c>
      <c r="B2400" s="88">
        <v>1.22E18</v>
      </c>
      <c r="C2400" s="87" t="s">
        <v>7162</v>
      </c>
      <c r="D2400" s="87" t="s">
        <v>56</v>
      </c>
      <c r="E2400" s="87" t="s">
        <v>102</v>
      </c>
      <c r="F2400" s="87" t="s">
        <v>1763</v>
      </c>
      <c r="I2400" s="93"/>
      <c r="J2400" s="87" t="s">
        <v>7163</v>
      </c>
      <c r="K2400" s="90">
        <v>0.0</v>
      </c>
      <c r="L2400" s="92"/>
      <c r="M2400" s="93"/>
      <c r="N2400" s="87" t="s">
        <v>1772</v>
      </c>
      <c r="O2400" s="87" t="s">
        <v>377</v>
      </c>
      <c r="P2400" s="87" t="s">
        <v>372</v>
      </c>
    </row>
    <row r="2401" ht="15.75" customHeight="1">
      <c r="A2401" s="87" t="s">
        <v>7164</v>
      </c>
      <c r="B2401" s="88">
        <v>1.22E18</v>
      </c>
      <c r="C2401" s="87" t="s">
        <v>7165</v>
      </c>
      <c r="D2401" s="87" t="s">
        <v>56</v>
      </c>
      <c r="E2401" s="87" t="s">
        <v>102</v>
      </c>
      <c r="F2401" s="87" t="s">
        <v>1763</v>
      </c>
      <c r="I2401" s="93"/>
      <c r="J2401" s="87" t="s">
        <v>620</v>
      </c>
      <c r="K2401" s="90">
        <v>0.0</v>
      </c>
      <c r="L2401" s="92"/>
      <c r="M2401" s="93"/>
      <c r="N2401" s="87" t="s">
        <v>3095</v>
      </c>
      <c r="O2401" s="87" t="s">
        <v>377</v>
      </c>
      <c r="P2401" s="87" t="s">
        <v>372</v>
      </c>
    </row>
    <row r="2402" ht="15.75" customHeight="1">
      <c r="A2402" s="87" t="s">
        <v>7166</v>
      </c>
      <c r="B2402" s="88">
        <v>1.22E18</v>
      </c>
      <c r="C2402" s="87" t="s">
        <v>7167</v>
      </c>
      <c r="D2402" s="87" t="s">
        <v>56</v>
      </c>
      <c r="E2402" s="87" t="s">
        <v>102</v>
      </c>
      <c r="F2402" s="87" t="s">
        <v>1763</v>
      </c>
      <c r="I2402" s="93"/>
      <c r="J2402" s="87" t="s">
        <v>717</v>
      </c>
      <c r="K2402" s="90">
        <v>0.0</v>
      </c>
      <c r="L2402" s="92"/>
      <c r="M2402" s="93"/>
      <c r="N2402" s="87" t="s">
        <v>3095</v>
      </c>
      <c r="O2402" s="87" t="s">
        <v>377</v>
      </c>
      <c r="P2402" s="87" t="s">
        <v>372</v>
      </c>
    </row>
    <row r="2403" ht="15.75" customHeight="1">
      <c r="A2403" s="87" t="s">
        <v>7168</v>
      </c>
      <c r="B2403" s="88">
        <v>1.22E18</v>
      </c>
      <c r="C2403" s="87" t="s">
        <v>7169</v>
      </c>
      <c r="D2403" s="87" t="s">
        <v>87</v>
      </c>
      <c r="E2403" s="87" t="s">
        <v>88</v>
      </c>
      <c r="F2403" s="87" t="s">
        <v>373</v>
      </c>
      <c r="H2403" s="93"/>
      <c r="I2403" s="87" t="s">
        <v>340</v>
      </c>
      <c r="J2403" s="87" t="s">
        <v>7170</v>
      </c>
      <c r="K2403" s="90">
        <v>0.0</v>
      </c>
      <c r="L2403" s="92"/>
      <c r="M2403" s="93"/>
      <c r="N2403" s="87" t="s">
        <v>4427</v>
      </c>
      <c r="O2403" s="87" t="s">
        <v>377</v>
      </c>
      <c r="P2403" s="87" t="s">
        <v>372</v>
      </c>
    </row>
    <row r="2404" ht="15.75" customHeight="1">
      <c r="A2404" s="87" t="s">
        <v>7171</v>
      </c>
      <c r="B2404" s="88">
        <v>1.22E18</v>
      </c>
      <c r="C2404" s="87" t="s">
        <v>7172</v>
      </c>
      <c r="D2404" s="87" t="s">
        <v>87</v>
      </c>
      <c r="E2404" s="87" t="s">
        <v>102</v>
      </c>
      <c r="F2404" s="87" t="s">
        <v>1763</v>
      </c>
      <c r="I2404" s="93"/>
      <c r="J2404" s="87" t="s">
        <v>7173</v>
      </c>
      <c r="K2404" s="90">
        <v>0.0</v>
      </c>
      <c r="L2404" s="92"/>
      <c r="M2404" s="93"/>
      <c r="N2404" s="87" t="s">
        <v>4427</v>
      </c>
      <c r="O2404" s="87" t="s">
        <v>377</v>
      </c>
      <c r="P2404" s="87" t="s">
        <v>372</v>
      </c>
    </row>
    <row r="2405" ht="15.75" customHeight="1">
      <c r="A2405" s="87" t="s">
        <v>7174</v>
      </c>
      <c r="B2405" s="88">
        <v>1.22E18</v>
      </c>
      <c r="C2405" s="87" t="s">
        <v>7175</v>
      </c>
      <c r="D2405" s="87" t="s">
        <v>262</v>
      </c>
      <c r="E2405" s="87" t="s">
        <v>270</v>
      </c>
      <c r="F2405" s="87" t="s">
        <v>1749</v>
      </c>
      <c r="H2405" s="93"/>
      <c r="I2405" s="87" t="s">
        <v>58</v>
      </c>
      <c r="J2405" s="87" t="s">
        <v>7176</v>
      </c>
      <c r="K2405" s="90">
        <v>0.0</v>
      </c>
      <c r="L2405" s="92"/>
      <c r="M2405" s="93"/>
      <c r="N2405" s="87" t="s">
        <v>6214</v>
      </c>
      <c r="O2405" s="87" t="s">
        <v>377</v>
      </c>
      <c r="P2405" s="87" t="s">
        <v>372</v>
      </c>
    </row>
    <row r="2406" ht="15.75" customHeight="1">
      <c r="A2406" s="87" t="s">
        <v>7177</v>
      </c>
      <c r="B2406" s="88">
        <v>1.22E18</v>
      </c>
      <c r="C2406" s="87" t="s">
        <v>7178</v>
      </c>
      <c r="D2406" s="87" t="s">
        <v>262</v>
      </c>
      <c r="E2406" s="87" t="s">
        <v>270</v>
      </c>
      <c r="F2406" s="87" t="s">
        <v>1749</v>
      </c>
      <c r="H2406" s="93"/>
      <c r="I2406" s="87" t="s">
        <v>58</v>
      </c>
      <c r="J2406" s="87" t="s">
        <v>7179</v>
      </c>
      <c r="K2406" s="90">
        <v>0.0</v>
      </c>
      <c r="L2406" s="92"/>
      <c r="M2406" s="93"/>
      <c r="N2406" s="87" t="s">
        <v>6214</v>
      </c>
      <c r="O2406" s="87" t="s">
        <v>377</v>
      </c>
      <c r="P2406" s="87" t="s">
        <v>372</v>
      </c>
    </row>
    <row r="2407" ht="15.75" customHeight="1">
      <c r="A2407" s="87" t="s">
        <v>7180</v>
      </c>
      <c r="B2407" s="88">
        <v>1.22E18</v>
      </c>
      <c r="C2407" s="87" t="s">
        <v>7181</v>
      </c>
      <c r="D2407" s="87" t="s">
        <v>262</v>
      </c>
      <c r="E2407" s="87" t="s">
        <v>270</v>
      </c>
      <c r="F2407" s="87" t="s">
        <v>1749</v>
      </c>
      <c r="H2407" s="93"/>
      <c r="I2407" s="87" t="s">
        <v>58</v>
      </c>
      <c r="J2407" s="87" t="s">
        <v>7182</v>
      </c>
      <c r="K2407" s="90">
        <v>0.0</v>
      </c>
      <c r="L2407" s="92"/>
      <c r="M2407" s="93"/>
      <c r="N2407" s="87" t="s">
        <v>6214</v>
      </c>
      <c r="O2407" s="87" t="s">
        <v>377</v>
      </c>
      <c r="P2407" s="87" t="s">
        <v>372</v>
      </c>
    </row>
    <row r="2408" ht="15.75" customHeight="1">
      <c r="A2408" s="87" t="s">
        <v>7183</v>
      </c>
      <c r="B2408" s="88">
        <v>1.22E18</v>
      </c>
      <c r="C2408" s="87" t="s">
        <v>7184</v>
      </c>
      <c r="D2408" s="87" t="s">
        <v>262</v>
      </c>
      <c r="E2408" s="87" t="s">
        <v>270</v>
      </c>
      <c r="F2408" s="87" t="s">
        <v>1749</v>
      </c>
      <c r="H2408" s="93"/>
      <c r="I2408" s="87" t="s">
        <v>58</v>
      </c>
      <c r="J2408" s="87" t="s">
        <v>7185</v>
      </c>
      <c r="K2408" s="90">
        <v>0.0</v>
      </c>
      <c r="L2408" s="92"/>
      <c r="M2408" s="93"/>
      <c r="N2408" s="87" t="s">
        <v>6214</v>
      </c>
      <c r="O2408" s="87" t="s">
        <v>377</v>
      </c>
      <c r="P2408" s="87" t="s">
        <v>372</v>
      </c>
    </row>
    <row r="2409" ht="15.75" customHeight="1">
      <c r="A2409" s="87" t="s">
        <v>7186</v>
      </c>
      <c r="B2409" s="88">
        <v>1.22E18</v>
      </c>
      <c r="C2409" s="87" t="s">
        <v>7187</v>
      </c>
      <c r="D2409" s="87" t="s">
        <v>262</v>
      </c>
      <c r="E2409" s="87" t="s">
        <v>270</v>
      </c>
      <c r="F2409" s="87" t="s">
        <v>1749</v>
      </c>
      <c r="H2409" s="93"/>
      <c r="I2409" s="87" t="s">
        <v>58</v>
      </c>
      <c r="J2409" s="87" t="s">
        <v>7185</v>
      </c>
      <c r="K2409" s="90">
        <v>0.0</v>
      </c>
      <c r="L2409" s="92"/>
      <c r="M2409" s="93"/>
      <c r="N2409" s="87" t="s">
        <v>6214</v>
      </c>
      <c r="O2409" s="87" t="s">
        <v>377</v>
      </c>
      <c r="P2409" s="87" t="s">
        <v>372</v>
      </c>
    </row>
    <row r="2410" ht="15.75" customHeight="1">
      <c r="A2410" s="87" t="s">
        <v>7188</v>
      </c>
      <c r="B2410" s="88">
        <v>1.22E18</v>
      </c>
      <c r="C2410" s="87" t="s">
        <v>7189</v>
      </c>
      <c r="D2410" s="87" t="s">
        <v>262</v>
      </c>
      <c r="E2410" s="87" t="s">
        <v>270</v>
      </c>
      <c r="F2410" s="87" t="s">
        <v>1749</v>
      </c>
      <c r="H2410" s="93"/>
      <c r="I2410" s="87" t="s">
        <v>58</v>
      </c>
      <c r="J2410" s="87" t="s">
        <v>7190</v>
      </c>
      <c r="K2410" s="90">
        <v>0.0</v>
      </c>
      <c r="L2410" s="92"/>
      <c r="M2410" s="93"/>
      <c r="N2410" s="87" t="s">
        <v>6214</v>
      </c>
      <c r="O2410" s="87" t="s">
        <v>377</v>
      </c>
      <c r="P2410" s="87" t="s">
        <v>372</v>
      </c>
    </row>
    <row r="2411" ht="15.75" customHeight="1">
      <c r="A2411" s="87" t="s">
        <v>7191</v>
      </c>
      <c r="B2411" s="88">
        <v>1.22E18</v>
      </c>
      <c r="C2411" s="87" t="s">
        <v>7192</v>
      </c>
      <c r="D2411" s="87" t="s">
        <v>262</v>
      </c>
      <c r="E2411" s="87" t="s">
        <v>270</v>
      </c>
      <c r="F2411" s="87" t="s">
        <v>1749</v>
      </c>
      <c r="H2411" s="93"/>
      <c r="I2411" s="87" t="s">
        <v>58</v>
      </c>
      <c r="J2411" s="87" t="s">
        <v>7193</v>
      </c>
      <c r="K2411" s="90">
        <v>0.0</v>
      </c>
      <c r="L2411" s="92"/>
      <c r="M2411" s="93"/>
      <c r="N2411" s="87" t="s">
        <v>6214</v>
      </c>
      <c r="O2411" s="87" t="s">
        <v>377</v>
      </c>
      <c r="P2411" s="87" t="s">
        <v>372</v>
      </c>
    </row>
    <row r="2412" ht="15.75" customHeight="1">
      <c r="A2412" s="87" t="s">
        <v>7194</v>
      </c>
      <c r="B2412" s="88">
        <v>1.22E18</v>
      </c>
      <c r="C2412" s="87" t="s">
        <v>7195</v>
      </c>
      <c r="D2412" s="87" t="s">
        <v>87</v>
      </c>
      <c r="E2412" s="87" t="s">
        <v>228</v>
      </c>
      <c r="F2412" s="87" t="s">
        <v>7195</v>
      </c>
      <c r="I2412" s="87" t="s">
        <v>340</v>
      </c>
      <c r="J2412" s="87" t="s">
        <v>7196</v>
      </c>
      <c r="K2412" s="90">
        <v>500.0</v>
      </c>
      <c r="L2412" s="92"/>
      <c r="M2412" s="93"/>
      <c r="N2412" s="87" t="s">
        <v>838</v>
      </c>
      <c r="O2412" s="87" t="s">
        <v>377</v>
      </c>
      <c r="P2412" s="87" t="s">
        <v>372</v>
      </c>
    </row>
    <row r="2413" ht="15.75" customHeight="1">
      <c r="A2413" s="87" t="s">
        <v>7197</v>
      </c>
      <c r="B2413" s="88">
        <v>1.22E18</v>
      </c>
      <c r="C2413" s="87" t="s">
        <v>7198</v>
      </c>
      <c r="D2413" s="87" t="s">
        <v>87</v>
      </c>
      <c r="E2413" s="87" t="s">
        <v>228</v>
      </c>
      <c r="F2413" s="87" t="s">
        <v>379</v>
      </c>
      <c r="G2413" s="93"/>
      <c r="H2413" s="93"/>
      <c r="I2413" s="93"/>
      <c r="J2413" s="87" t="s">
        <v>7199</v>
      </c>
      <c r="K2413" s="90">
        <v>500.0</v>
      </c>
      <c r="L2413" s="92"/>
      <c r="M2413" s="93"/>
      <c r="N2413" s="87" t="s">
        <v>617</v>
      </c>
      <c r="O2413" s="87" t="s">
        <v>377</v>
      </c>
      <c r="P2413" s="87" t="s">
        <v>372</v>
      </c>
    </row>
    <row r="2414" ht="15.75" customHeight="1">
      <c r="A2414" s="87" t="s">
        <v>7200</v>
      </c>
      <c r="B2414" s="88">
        <v>1.22E18</v>
      </c>
      <c r="C2414" s="87" t="s">
        <v>7201</v>
      </c>
      <c r="D2414" s="87" t="s">
        <v>87</v>
      </c>
      <c r="E2414" s="87" t="s">
        <v>88</v>
      </c>
      <c r="F2414" s="87" t="s">
        <v>379</v>
      </c>
      <c r="G2414" s="93"/>
      <c r="H2414" s="93"/>
      <c r="I2414" s="87" t="s">
        <v>340</v>
      </c>
      <c r="J2414" s="87" t="s">
        <v>449</v>
      </c>
      <c r="K2414" s="90">
        <v>1000.0</v>
      </c>
      <c r="L2414" s="92"/>
      <c r="M2414" s="93"/>
      <c r="N2414" s="87" t="s">
        <v>2139</v>
      </c>
      <c r="O2414" s="87" t="s">
        <v>377</v>
      </c>
      <c r="P2414" s="87" t="s">
        <v>372</v>
      </c>
    </row>
    <row r="2415" ht="15.75" customHeight="1">
      <c r="A2415" s="87" t="s">
        <v>7202</v>
      </c>
      <c r="B2415" s="88">
        <v>1.22E18</v>
      </c>
      <c r="C2415" s="87" t="s">
        <v>7203</v>
      </c>
      <c r="D2415" s="87" t="s">
        <v>262</v>
      </c>
      <c r="E2415" s="87" t="s">
        <v>267</v>
      </c>
      <c r="F2415" s="87" t="s">
        <v>1749</v>
      </c>
      <c r="H2415" s="93"/>
      <c r="I2415" s="87" t="s">
        <v>58</v>
      </c>
      <c r="J2415" s="87" t="s">
        <v>7204</v>
      </c>
      <c r="K2415" s="90">
        <v>0.0</v>
      </c>
      <c r="L2415" s="92"/>
      <c r="M2415" s="93"/>
      <c r="N2415" s="87" t="s">
        <v>2416</v>
      </c>
      <c r="O2415" s="87" t="s">
        <v>377</v>
      </c>
      <c r="P2415" s="87" t="s">
        <v>372</v>
      </c>
    </row>
    <row r="2416" ht="15.75" customHeight="1">
      <c r="A2416" s="87" t="s">
        <v>7205</v>
      </c>
      <c r="B2416" s="88">
        <v>1.22E18</v>
      </c>
      <c r="C2416" s="87" t="s">
        <v>7206</v>
      </c>
      <c r="D2416" s="87" t="s">
        <v>56</v>
      </c>
      <c r="E2416" s="87" t="s">
        <v>248</v>
      </c>
      <c r="F2416" s="87" t="s">
        <v>2769</v>
      </c>
      <c r="G2416" s="93"/>
      <c r="H2416" s="93"/>
      <c r="I2416" s="87" t="s">
        <v>58</v>
      </c>
      <c r="J2416" s="87" t="s">
        <v>7207</v>
      </c>
      <c r="K2416" s="90">
        <v>0.0</v>
      </c>
      <c r="L2416" s="92"/>
      <c r="M2416" s="93"/>
      <c r="N2416" s="93"/>
      <c r="O2416" s="87" t="s">
        <v>377</v>
      </c>
      <c r="P2416" s="87" t="s">
        <v>372</v>
      </c>
    </row>
    <row r="2417" ht="15.75" customHeight="1">
      <c r="A2417" s="87" t="s">
        <v>7208</v>
      </c>
      <c r="B2417" s="88">
        <v>1.22E18</v>
      </c>
      <c r="C2417" s="87" t="s">
        <v>7209</v>
      </c>
      <c r="D2417" s="87" t="s">
        <v>262</v>
      </c>
      <c r="E2417" s="87" t="s">
        <v>278</v>
      </c>
      <c r="F2417" s="87" t="s">
        <v>7209</v>
      </c>
      <c r="I2417" s="87" t="s">
        <v>58</v>
      </c>
      <c r="J2417" s="87" t="s">
        <v>7210</v>
      </c>
      <c r="L2417" s="92"/>
      <c r="M2417" s="93"/>
      <c r="N2417" s="87" t="s">
        <v>7211</v>
      </c>
      <c r="O2417" s="87" t="s">
        <v>377</v>
      </c>
      <c r="P2417" s="87" t="s">
        <v>2565</v>
      </c>
    </row>
    <row r="2418" ht="15.75" customHeight="1">
      <c r="A2418" s="87" t="s">
        <v>7212</v>
      </c>
      <c r="B2418" s="88">
        <v>1.22E18</v>
      </c>
      <c r="C2418" s="87" t="s">
        <v>7213</v>
      </c>
      <c r="D2418" s="87" t="s">
        <v>87</v>
      </c>
      <c r="E2418" s="87" t="s">
        <v>88</v>
      </c>
      <c r="F2418" s="87" t="s">
        <v>373</v>
      </c>
      <c r="H2418" s="93"/>
      <c r="I2418" s="87" t="s">
        <v>58</v>
      </c>
      <c r="J2418" s="87" t="s">
        <v>7214</v>
      </c>
      <c r="K2418" s="90">
        <v>0.0</v>
      </c>
      <c r="L2418" s="92"/>
      <c r="M2418" s="93"/>
      <c r="N2418" s="87" t="s">
        <v>7215</v>
      </c>
      <c r="O2418" s="87" t="s">
        <v>377</v>
      </c>
      <c r="P2418" s="87" t="s">
        <v>372</v>
      </c>
    </row>
    <row r="2419" ht="15.75" customHeight="1">
      <c r="A2419" s="87" t="s">
        <v>7216</v>
      </c>
      <c r="B2419" s="88">
        <v>1.22E18</v>
      </c>
      <c r="C2419" s="87" t="s">
        <v>7217</v>
      </c>
      <c r="D2419" s="87" t="s">
        <v>262</v>
      </c>
      <c r="E2419" s="87" t="s">
        <v>270</v>
      </c>
      <c r="F2419" s="87" t="s">
        <v>1749</v>
      </c>
      <c r="H2419" s="93"/>
      <c r="I2419" s="87" t="s">
        <v>58</v>
      </c>
      <c r="J2419" s="87" t="s">
        <v>3787</v>
      </c>
      <c r="K2419" s="90">
        <v>0.0</v>
      </c>
      <c r="L2419" s="92"/>
      <c r="M2419" s="93"/>
      <c r="N2419" s="87" t="s">
        <v>5364</v>
      </c>
      <c r="O2419" s="87" t="s">
        <v>377</v>
      </c>
      <c r="P2419" s="87" t="s">
        <v>372</v>
      </c>
    </row>
    <row r="2420" ht="15.75" customHeight="1">
      <c r="A2420" s="87" t="s">
        <v>7218</v>
      </c>
      <c r="B2420" s="88">
        <v>1.22E18</v>
      </c>
      <c r="C2420" s="87" t="s">
        <v>7219</v>
      </c>
      <c r="D2420" s="87" t="s">
        <v>262</v>
      </c>
      <c r="E2420" s="87" t="s">
        <v>270</v>
      </c>
      <c r="F2420" s="87" t="s">
        <v>1749</v>
      </c>
      <c r="H2420" s="93"/>
      <c r="I2420" s="87" t="s">
        <v>58</v>
      </c>
      <c r="J2420" s="87" t="s">
        <v>2112</v>
      </c>
      <c r="K2420" s="90">
        <v>0.0</v>
      </c>
      <c r="L2420" s="92"/>
      <c r="M2420" s="93"/>
      <c r="N2420" s="87" t="s">
        <v>5364</v>
      </c>
      <c r="O2420" s="87" t="s">
        <v>377</v>
      </c>
      <c r="P2420" s="87" t="s">
        <v>372</v>
      </c>
    </row>
    <row r="2421" ht="15.75" customHeight="1">
      <c r="A2421" s="87" t="s">
        <v>7220</v>
      </c>
      <c r="B2421" s="88">
        <v>1.22E18</v>
      </c>
      <c r="C2421" s="87" t="s">
        <v>7221</v>
      </c>
      <c r="D2421" s="87" t="s">
        <v>262</v>
      </c>
      <c r="E2421" s="87" t="s">
        <v>267</v>
      </c>
      <c r="F2421" s="87" t="s">
        <v>1749</v>
      </c>
      <c r="H2421" s="93"/>
      <c r="I2421" s="87" t="s">
        <v>58</v>
      </c>
      <c r="J2421" s="87" t="s">
        <v>5914</v>
      </c>
      <c r="K2421" s="90">
        <v>0.0</v>
      </c>
      <c r="L2421" s="92"/>
      <c r="M2421" s="93"/>
      <c r="N2421" s="87" t="s">
        <v>5364</v>
      </c>
      <c r="O2421" s="87" t="s">
        <v>377</v>
      </c>
      <c r="P2421" s="87" t="s">
        <v>372</v>
      </c>
    </row>
    <row r="2422" ht="15.75" customHeight="1">
      <c r="A2422" s="87" t="s">
        <v>7222</v>
      </c>
      <c r="B2422" s="88">
        <v>1.22E18</v>
      </c>
      <c r="C2422" s="87" t="s">
        <v>7223</v>
      </c>
      <c r="D2422" s="87" t="s">
        <v>262</v>
      </c>
      <c r="E2422" s="87" t="s">
        <v>270</v>
      </c>
      <c r="F2422" s="87" t="s">
        <v>1749</v>
      </c>
      <c r="H2422" s="93"/>
      <c r="I2422" s="87" t="s">
        <v>58</v>
      </c>
      <c r="J2422" s="87" t="s">
        <v>4240</v>
      </c>
      <c r="K2422" s="90">
        <v>0.0</v>
      </c>
      <c r="L2422" s="92"/>
      <c r="M2422" s="93"/>
      <c r="N2422" s="87" t="s">
        <v>5364</v>
      </c>
      <c r="O2422" s="87" t="s">
        <v>377</v>
      </c>
      <c r="P2422" s="87" t="s">
        <v>372</v>
      </c>
    </row>
    <row r="2423" ht="15.75" customHeight="1">
      <c r="A2423" s="87" t="s">
        <v>7224</v>
      </c>
      <c r="B2423" s="88">
        <v>1.22E18</v>
      </c>
      <c r="C2423" s="87" t="s">
        <v>7225</v>
      </c>
      <c r="D2423" s="87" t="s">
        <v>262</v>
      </c>
      <c r="E2423" s="87" t="s">
        <v>267</v>
      </c>
      <c r="F2423" s="87" t="s">
        <v>1749</v>
      </c>
      <c r="H2423" s="93"/>
      <c r="I2423" s="87" t="s">
        <v>58</v>
      </c>
      <c r="J2423" s="87" t="s">
        <v>7226</v>
      </c>
      <c r="K2423" s="90">
        <v>0.0</v>
      </c>
      <c r="L2423" s="92"/>
      <c r="M2423" s="93"/>
      <c r="N2423" s="87" t="s">
        <v>3202</v>
      </c>
      <c r="O2423" s="87" t="s">
        <v>377</v>
      </c>
      <c r="P2423" s="87" t="s">
        <v>372</v>
      </c>
    </row>
    <row r="2424" ht="15.75" customHeight="1">
      <c r="A2424" s="87" t="s">
        <v>7227</v>
      </c>
      <c r="B2424" s="88">
        <v>1.22E18</v>
      </c>
      <c r="C2424" s="87" t="s">
        <v>7228</v>
      </c>
      <c r="D2424" s="87" t="s">
        <v>262</v>
      </c>
      <c r="E2424" s="87" t="s">
        <v>270</v>
      </c>
      <c r="F2424" s="87" t="s">
        <v>1749</v>
      </c>
      <c r="H2424" s="93"/>
      <c r="I2424" s="87" t="s">
        <v>58</v>
      </c>
      <c r="J2424" s="87" t="s">
        <v>7229</v>
      </c>
      <c r="K2424" s="90">
        <v>0.0</v>
      </c>
      <c r="L2424" s="92"/>
      <c r="M2424" s="93"/>
      <c r="N2424" s="87" t="s">
        <v>2345</v>
      </c>
      <c r="O2424" s="87" t="s">
        <v>377</v>
      </c>
      <c r="P2424" s="87" t="s">
        <v>372</v>
      </c>
    </row>
    <row r="2425" ht="15.75" customHeight="1">
      <c r="A2425" s="87" t="s">
        <v>7230</v>
      </c>
      <c r="B2425" s="88">
        <v>1.22E18</v>
      </c>
      <c r="C2425" s="87" t="s">
        <v>7231</v>
      </c>
      <c r="D2425" s="87" t="s">
        <v>262</v>
      </c>
      <c r="E2425" s="87" t="s">
        <v>263</v>
      </c>
      <c r="F2425" s="87" t="s">
        <v>415</v>
      </c>
      <c r="G2425" s="93"/>
      <c r="H2425" s="93"/>
      <c r="I2425" s="87" t="s">
        <v>58</v>
      </c>
      <c r="J2425" s="87" t="s">
        <v>7232</v>
      </c>
      <c r="K2425" s="90">
        <v>0.0</v>
      </c>
      <c r="L2425" s="92"/>
      <c r="M2425" s="93"/>
      <c r="N2425" s="87" t="s">
        <v>1772</v>
      </c>
      <c r="O2425" s="87" t="s">
        <v>377</v>
      </c>
      <c r="P2425" s="87" t="s">
        <v>372</v>
      </c>
    </row>
    <row r="2426" ht="15.75" customHeight="1">
      <c r="A2426" s="87" t="s">
        <v>7233</v>
      </c>
      <c r="B2426" s="88">
        <v>1.22E18</v>
      </c>
      <c r="C2426" s="87" t="s">
        <v>7234</v>
      </c>
      <c r="D2426" s="87" t="s">
        <v>56</v>
      </c>
      <c r="E2426" s="87" t="s">
        <v>248</v>
      </c>
      <c r="F2426" s="87" t="s">
        <v>1749</v>
      </c>
      <c r="H2426" s="93"/>
      <c r="I2426" s="87" t="s">
        <v>3984</v>
      </c>
      <c r="J2426" s="87" t="s">
        <v>7235</v>
      </c>
      <c r="K2426" s="90">
        <v>0.0</v>
      </c>
      <c r="L2426" s="92"/>
      <c r="M2426" s="93"/>
      <c r="N2426" s="87" t="s">
        <v>1772</v>
      </c>
      <c r="O2426" s="87" t="s">
        <v>377</v>
      </c>
      <c r="P2426" s="87" t="s">
        <v>372</v>
      </c>
    </row>
    <row r="2427" ht="15.75" customHeight="1">
      <c r="A2427" s="87" t="s">
        <v>7236</v>
      </c>
      <c r="B2427" s="88">
        <v>1.22E18</v>
      </c>
      <c r="C2427" s="87" t="s">
        <v>7237</v>
      </c>
      <c r="D2427" s="87" t="s">
        <v>262</v>
      </c>
      <c r="E2427" s="87" t="s">
        <v>270</v>
      </c>
      <c r="F2427" s="87" t="s">
        <v>1749</v>
      </c>
      <c r="H2427" s="93"/>
      <c r="I2427" s="87" t="s">
        <v>58</v>
      </c>
      <c r="J2427" s="87" t="s">
        <v>7238</v>
      </c>
      <c r="K2427" s="90">
        <v>0.0</v>
      </c>
      <c r="L2427" s="92"/>
      <c r="M2427" s="93"/>
      <c r="N2427" s="87" t="s">
        <v>1772</v>
      </c>
      <c r="O2427" s="87" t="s">
        <v>377</v>
      </c>
      <c r="P2427" s="87" t="s">
        <v>372</v>
      </c>
    </row>
    <row r="2428" ht="15.75" customHeight="1">
      <c r="A2428" s="87" t="s">
        <v>7239</v>
      </c>
      <c r="B2428" s="88">
        <v>1.22E18</v>
      </c>
      <c r="C2428" s="87" t="s">
        <v>7240</v>
      </c>
      <c r="D2428" s="87" t="s">
        <v>56</v>
      </c>
      <c r="E2428" s="87" t="s">
        <v>102</v>
      </c>
      <c r="F2428" s="87" t="s">
        <v>1763</v>
      </c>
      <c r="I2428" s="93"/>
      <c r="J2428" s="87" t="s">
        <v>7241</v>
      </c>
      <c r="K2428" s="90">
        <v>0.0</v>
      </c>
      <c r="L2428" s="92"/>
      <c r="M2428" s="93"/>
      <c r="N2428" s="87" t="s">
        <v>1772</v>
      </c>
      <c r="O2428" s="87" t="s">
        <v>377</v>
      </c>
      <c r="P2428" s="87" t="s">
        <v>372</v>
      </c>
    </row>
    <row r="2429" ht="15.75" customHeight="1">
      <c r="A2429" s="87" t="s">
        <v>7242</v>
      </c>
      <c r="B2429" s="88">
        <v>1.22E18</v>
      </c>
      <c r="C2429" s="87" t="s">
        <v>7243</v>
      </c>
      <c r="D2429" s="87" t="s">
        <v>56</v>
      </c>
      <c r="E2429" s="87" t="s">
        <v>102</v>
      </c>
      <c r="F2429" s="87" t="s">
        <v>1763</v>
      </c>
      <c r="I2429" s="93"/>
      <c r="J2429" s="87" t="s">
        <v>7244</v>
      </c>
      <c r="K2429" s="90">
        <v>0.0</v>
      </c>
      <c r="L2429" s="92"/>
      <c r="M2429" s="93"/>
      <c r="N2429" s="87" t="s">
        <v>1772</v>
      </c>
      <c r="O2429" s="87" t="s">
        <v>377</v>
      </c>
      <c r="P2429" s="87" t="s">
        <v>372</v>
      </c>
    </row>
    <row r="2430" ht="15.75" customHeight="1">
      <c r="A2430" s="87" t="s">
        <v>7245</v>
      </c>
      <c r="B2430" s="88">
        <v>1.22E18</v>
      </c>
      <c r="C2430" s="87" t="s">
        <v>7246</v>
      </c>
      <c r="D2430" s="87" t="s">
        <v>262</v>
      </c>
      <c r="E2430" s="87" t="s">
        <v>270</v>
      </c>
      <c r="F2430" s="87" t="s">
        <v>1749</v>
      </c>
      <c r="H2430" s="93"/>
      <c r="I2430" s="87" t="s">
        <v>5012</v>
      </c>
      <c r="J2430" s="87" t="s">
        <v>7247</v>
      </c>
      <c r="K2430" s="90">
        <v>0.0</v>
      </c>
      <c r="L2430" s="92"/>
      <c r="M2430" s="93"/>
      <c r="N2430" s="87" t="s">
        <v>1772</v>
      </c>
      <c r="O2430" s="87" t="s">
        <v>377</v>
      </c>
      <c r="P2430" s="87" t="s">
        <v>372</v>
      </c>
    </row>
    <row r="2431" ht="15.75" customHeight="1">
      <c r="A2431" s="87" t="s">
        <v>7248</v>
      </c>
      <c r="B2431" s="88">
        <v>1.22E18</v>
      </c>
      <c r="C2431" s="87" t="s">
        <v>7249</v>
      </c>
      <c r="D2431" s="87" t="s">
        <v>87</v>
      </c>
      <c r="E2431" s="87" t="s">
        <v>236</v>
      </c>
      <c r="F2431" s="87" t="s">
        <v>1749</v>
      </c>
      <c r="H2431" s="93"/>
      <c r="I2431" s="87" t="s">
        <v>58</v>
      </c>
      <c r="J2431" s="87" t="s">
        <v>4200</v>
      </c>
      <c r="K2431" s="90">
        <v>0.0</v>
      </c>
      <c r="L2431" s="92"/>
      <c r="M2431" s="93"/>
      <c r="N2431" s="87" t="s">
        <v>1772</v>
      </c>
      <c r="O2431" s="87" t="s">
        <v>377</v>
      </c>
      <c r="P2431" s="87" t="s">
        <v>372</v>
      </c>
    </row>
    <row r="2432" ht="15.75" customHeight="1">
      <c r="A2432" s="87" t="s">
        <v>7250</v>
      </c>
      <c r="B2432" s="88">
        <v>1.22E18</v>
      </c>
      <c r="C2432" s="87" t="s">
        <v>7251</v>
      </c>
      <c r="D2432" s="87" t="s">
        <v>262</v>
      </c>
      <c r="E2432" s="87" t="s">
        <v>267</v>
      </c>
      <c r="F2432" s="87" t="s">
        <v>1749</v>
      </c>
      <c r="H2432" s="93"/>
      <c r="I2432" s="87" t="s">
        <v>5012</v>
      </c>
      <c r="J2432" s="87" t="s">
        <v>5073</v>
      </c>
      <c r="K2432" s="90">
        <v>0.0</v>
      </c>
      <c r="L2432" s="92"/>
      <c r="M2432" s="93"/>
      <c r="N2432" s="87" t="s">
        <v>1772</v>
      </c>
      <c r="O2432" s="87" t="s">
        <v>377</v>
      </c>
      <c r="P2432" s="87" t="s">
        <v>372</v>
      </c>
    </row>
    <row r="2433" ht="15.75" customHeight="1">
      <c r="A2433" s="87" t="s">
        <v>7252</v>
      </c>
      <c r="B2433" s="88">
        <v>1.22E18</v>
      </c>
      <c r="C2433" s="87" t="s">
        <v>7253</v>
      </c>
      <c r="D2433" s="87" t="s">
        <v>262</v>
      </c>
      <c r="E2433" s="87" t="s">
        <v>267</v>
      </c>
      <c r="F2433" s="87" t="s">
        <v>1749</v>
      </c>
      <c r="H2433" s="93"/>
      <c r="I2433" s="87" t="s">
        <v>58</v>
      </c>
      <c r="J2433" s="87" t="s">
        <v>7254</v>
      </c>
      <c r="K2433" s="90">
        <v>0.0</v>
      </c>
      <c r="L2433" s="92"/>
      <c r="M2433" s="93"/>
      <c r="N2433" s="87" t="s">
        <v>2416</v>
      </c>
      <c r="O2433" s="87" t="s">
        <v>377</v>
      </c>
      <c r="P2433" s="87" t="s">
        <v>372</v>
      </c>
    </row>
    <row r="2434" ht="15.75" customHeight="1">
      <c r="A2434" s="87" t="s">
        <v>7255</v>
      </c>
      <c r="B2434" s="88">
        <v>1.22E18</v>
      </c>
      <c r="C2434" s="87" t="s">
        <v>7256</v>
      </c>
      <c r="D2434" s="87" t="s">
        <v>262</v>
      </c>
      <c r="E2434" s="87" t="s">
        <v>267</v>
      </c>
      <c r="F2434" s="87" t="s">
        <v>1749</v>
      </c>
      <c r="H2434" s="93"/>
      <c r="I2434" s="87" t="s">
        <v>58</v>
      </c>
      <c r="J2434" s="87" t="s">
        <v>7257</v>
      </c>
      <c r="K2434" s="90">
        <v>0.0</v>
      </c>
      <c r="L2434" s="92"/>
      <c r="M2434" s="93"/>
      <c r="N2434" s="87" t="s">
        <v>2416</v>
      </c>
      <c r="O2434" s="87" t="s">
        <v>377</v>
      </c>
      <c r="P2434" s="87" t="s">
        <v>372</v>
      </c>
    </row>
    <row r="2435" ht="15.75" customHeight="1">
      <c r="A2435" s="87" t="s">
        <v>7258</v>
      </c>
      <c r="B2435" s="88">
        <v>1.22E18</v>
      </c>
      <c r="C2435" s="87" t="s">
        <v>7259</v>
      </c>
      <c r="D2435" s="87" t="s">
        <v>262</v>
      </c>
      <c r="E2435" s="87" t="s">
        <v>275</v>
      </c>
      <c r="F2435" s="87" t="s">
        <v>1749</v>
      </c>
      <c r="H2435" s="93"/>
      <c r="I2435" s="87" t="s">
        <v>58</v>
      </c>
      <c r="J2435" s="87" t="s">
        <v>7260</v>
      </c>
      <c r="K2435" s="90">
        <v>0.0</v>
      </c>
      <c r="L2435" s="92"/>
      <c r="M2435" s="93"/>
      <c r="N2435" s="87" t="s">
        <v>2416</v>
      </c>
      <c r="O2435" s="87" t="s">
        <v>377</v>
      </c>
      <c r="P2435" s="87" t="s">
        <v>372</v>
      </c>
    </row>
    <row r="2436" ht="15.75" customHeight="1">
      <c r="A2436" s="87" t="s">
        <v>7261</v>
      </c>
      <c r="B2436" s="88">
        <v>1.22E18</v>
      </c>
      <c r="C2436" s="87" t="s">
        <v>7262</v>
      </c>
      <c r="D2436" s="87" t="s">
        <v>87</v>
      </c>
      <c r="E2436" s="87" t="s">
        <v>88</v>
      </c>
      <c r="F2436" s="87" t="s">
        <v>373</v>
      </c>
      <c r="H2436" s="93"/>
      <c r="I2436" s="87" t="s">
        <v>327</v>
      </c>
      <c r="J2436" s="87" t="s">
        <v>7263</v>
      </c>
      <c r="K2436" s="90">
        <v>1000.0</v>
      </c>
      <c r="L2436" s="92"/>
      <c r="M2436" s="93"/>
      <c r="N2436" s="87" t="s">
        <v>390</v>
      </c>
      <c r="O2436" s="87" t="s">
        <v>377</v>
      </c>
      <c r="P2436" s="87" t="s">
        <v>372</v>
      </c>
    </row>
    <row r="2437" ht="15.75" customHeight="1">
      <c r="A2437" s="87" t="s">
        <v>7264</v>
      </c>
      <c r="B2437" s="88">
        <v>1.22E18</v>
      </c>
      <c r="C2437" s="87" t="s">
        <v>7265</v>
      </c>
      <c r="D2437" s="87" t="s">
        <v>87</v>
      </c>
      <c r="E2437" s="87" t="s">
        <v>88</v>
      </c>
      <c r="F2437" s="87" t="s">
        <v>373</v>
      </c>
      <c r="H2437" s="93"/>
      <c r="I2437" s="87" t="s">
        <v>327</v>
      </c>
      <c r="J2437" s="87" t="s">
        <v>7266</v>
      </c>
      <c r="K2437" s="90">
        <v>100000.0</v>
      </c>
      <c r="L2437" s="92"/>
      <c r="M2437" s="93"/>
      <c r="N2437" s="87" t="s">
        <v>390</v>
      </c>
      <c r="O2437" s="87" t="s">
        <v>377</v>
      </c>
      <c r="P2437" s="87" t="s">
        <v>372</v>
      </c>
    </row>
    <row r="2438" ht="15.75" customHeight="1">
      <c r="A2438" s="87" t="s">
        <v>7267</v>
      </c>
      <c r="B2438" s="88">
        <v>1.22E18</v>
      </c>
      <c r="C2438" s="87" t="s">
        <v>7268</v>
      </c>
      <c r="D2438" s="87" t="s">
        <v>262</v>
      </c>
      <c r="E2438" s="87" t="s">
        <v>263</v>
      </c>
      <c r="F2438" s="87" t="s">
        <v>415</v>
      </c>
      <c r="G2438" s="93"/>
      <c r="H2438" s="93"/>
      <c r="I2438" s="87" t="s">
        <v>58</v>
      </c>
      <c r="J2438" s="87" t="s">
        <v>3831</v>
      </c>
      <c r="K2438" s="90">
        <v>1.0</v>
      </c>
      <c r="L2438" s="92"/>
      <c r="M2438" s="93"/>
      <c r="N2438" s="87" t="s">
        <v>7269</v>
      </c>
      <c r="O2438" s="87" t="s">
        <v>377</v>
      </c>
      <c r="P2438" s="87" t="s">
        <v>372</v>
      </c>
    </row>
    <row r="2439" ht="15.75" customHeight="1">
      <c r="A2439" s="87" t="s">
        <v>7270</v>
      </c>
      <c r="B2439" s="88">
        <v>1.22E18</v>
      </c>
      <c r="C2439" s="87" t="s">
        <v>7271</v>
      </c>
      <c r="D2439" s="87" t="s">
        <v>87</v>
      </c>
      <c r="E2439" s="87" t="s">
        <v>233</v>
      </c>
      <c r="F2439" s="118" t="s">
        <v>7271</v>
      </c>
      <c r="G2439" s="130"/>
      <c r="H2439" s="119"/>
      <c r="I2439" s="87" t="s">
        <v>315</v>
      </c>
      <c r="J2439" s="87" t="s">
        <v>7272</v>
      </c>
      <c r="K2439" s="90">
        <v>100000.0</v>
      </c>
      <c r="L2439" s="92"/>
      <c r="M2439" s="93"/>
      <c r="N2439" s="87" t="s">
        <v>828</v>
      </c>
      <c r="O2439" s="87" t="s">
        <v>377</v>
      </c>
      <c r="P2439" s="87" t="s">
        <v>372</v>
      </c>
    </row>
    <row r="2440" ht="15.75" customHeight="1">
      <c r="A2440" s="87" t="s">
        <v>7273</v>
      </c>
      <c r="B2440" s="88">
        <v>1.22E18</v>
      </c>
      <c r="C2440" s="87" t="s">
        <v>7274</v>
      </c>
      <c r="D2440" s="87" t="s">
        <v>57</v>
      </c>
      <c r="E2440" s="87" t="s">
        <v>281</v>
      </c>
      <c r="F2440" s="87" t="s">
        <v>1763</v>
      </c>
      <c r="I2440" s="93"/>
      <c r="J2440" s="87" t="s">
        <v>7275</v>
      </c>
      <c r="K2440" s="90">
        <v>0.0</v>
      </c>
      <c r="L2440" s="92"/>
      <c r="M2440" s="93"/>
      <c r="N2440" s="87" t="s">
        <v>7276</v>
      </c>
      <c r="O2440" s="87" t="s">
        <v>377</v>
      </c>
      <c r="P2440" s="87" t="s">
        <v>372</v>
      </c>
    </row>
    <row r="2441" ht="15.75" customHeight="1">
      <c r="A2441" s="87" t="s">
        <v>7277</v>
      </c>
      <c r="B2441" s="88">
        <v>1.22E18</v>
      </c>
      <c r="C2441" s="87" t="s">
        <v>7278</v>
      </c>
      <c r="D2441" s="87" t="s">
        <v>56</v>
      </c>
      <c r="E2441" s="87" t="s">
        <v>102</v>
      </c>
      <c r="F2441" s="87" t="s">
        <v>1763</v>
      </c>
      <c r="I2441" s="93"/>
      <c r="J2441" s="87" t="s">
        <v>7279</v>
      </c>
      <c r="K2441" s="90">
        <v>0.0</v>
      </c>
      <c r="L2441" s="92"/>
      <c r="M2441" s="93"/>
      <c r="N2441" s="87" t="s">
        <v>7276</v>
      </c>
      <c r="O2441" s="87" t="s">
        <v>377</v>
      </c>
      <c r="P2441" s="87" t="s">
        <v>372</v>
      </c>
    </row>
    <row r="2442" ht="15.75" customHeight="1">
      <c r="A2442" s="87" t="s">
        <v>7280</v>
      </c>
      <c r="B2442" s="88">
        <v>1.22E18</v>
      </c>
      <c r="C2442" s="87" t="s">
        <v>7281</v>
      </c>
      <c r="D2442" s="87" t="s">
        <v>57</v>
      </c>
      <c r="E2442" s="87" t="s">
        <v>293</v>
      </c>
      <c r="F2442" s="87" t="s">
        <v>415</v>
      </c>
      <c r="G2442" s="93"/>
      <c r="H2442" s="93"/>
      <c r="I2442" s="87" t="s">
        <v>58</v>
      </c>
      <c r="J2442" s="87" t="s">
        <v>7282</v>
      </c>
      <c r="K2442" s="90">
        <v>2.0</v>
      </c>
      <c r="L2442" s="92"/>
      <c r="M2442" s="93"/>
      <c r="N2442" s="87" t="s">
        <v>7283</v>
      </c>
      <c r="O2442" s="87" t="s">
        <v>377</v>
      </c>
      <c r="P2442" s="87" t="s">
        <v>372</v>
      </c>
    </row>
    <row r="2443" ht="15.75" customHeight="1">
      <c r="A2443" s="87" t="s">
        <v>7284</v>
      </c>
      <c r="B2443" s="88">
        <v>1.22E18</v>
      </c>
      <c r="C2443" s="87" t="s">
        <v>7285</v>
      </c>
      <c r="D2443" s="87" t="s">
        <v>57</v>
      </c>
      <c r="E2443" s="87" t="s">
        <v>293</v>
      </c>
      <c r="F2443" s="87" t="s">
        <v>415</v>
      </c>
      <c r="G2443" s="93"/>
      <c r="H2443" s="93"/>
      <c r="I2443" s="87" t="s">
        <v>58</v>
      </c>
      <c r="J2443" s="87" t="s">
        <v>7286</v>
      </c>
      <c r="K2443" s="90">
        <v>3.0</v>
      </c>
      <c r="L2443" s="92"/>
      <c r="M2443" s="93"/>
      <c r="N2443" s="87" t="s">
        <v>7283</v>
      </c>
      <c r="O2443" s="87" t="s">
        <v>377</v>
      </c>
      <c r="P2443" s="87" t="s">
        <v>372</v>
      </c>
    </row>
    <row r="2444" ht="15.75" customHeight="1">
      <c r="A2444" s="87" t="s">
        <v>7287</v>
      </c>
      <c r="B2444" s="88">
        <v>1.22E18</v>
      </c>
      <c r="C2444" s="87" t="s">
        <v>7288</v>
      </c>
      <c r="D2444" s="87" t="s">
        <v>57</v>
      </c>
      <c r="E2444" s="87" t="s">
        <v>293</v>
      </c>
      <c r="F2444" s="87" t="s">
        <v>415</v>
      </c>
      <c r="G2444" s="93"/>
      <c r="H2444" s="93"/>
      <c r="I2444" s="87" t="s">
        <v>58</v>
      </c>
      <c r="J2444" s="87" t="s">
        <v>7289</v>
      </c>
      <c r="K2444" s="90">
        <v>1.0</v>
      </c>
      <c r="L2444" s="92"/>
      <c r="M2444" s="93"/>
      <c r="N2444" s="87" t="s">
        <v>7283</v>
      </c>
      <c r="O2444" s="87" t="s">
        <v>377</v>
      </c>
      <c r="P2444" s="87" t="s">
        <v>372</v>
      </c>
    </row>
    <row r="2445" ht="15.75" customHeight="1">
      <c r="A2445" s="87" t="s">
        <v>7290</v>
      </c>
      <c r="B2445" s="88">
        <v>1.22E18</v>
      </c>
      <c r="C2445" s="87" t="s">
        <v>7291</v>
      </c>
      <c r="D2445" s="87" t="s">
        <v>262</v>
      </c>
      <c r="E2445" s="87" t="s">
        <v>263</v>
      </c>
      <c r="F2445" s="87" t="s">
        <v>415</v>
      </c>
      <c r="G2445" s="93"/>
      <c r="H2445" s="93"/>
      <c r="I2445" s="87" t="s">
        <v>5012</v>
      </c>
      <c r="J2445" s="87" t="s">
        <v>7292</v>
      </c>
      <c r="K2445" s="90">
        <v>1.0</v>
      </c>
      <c r="L2445" s="92"/>
      <c r="M2445" s="93"/>
      <c r="N2445" s="87" t="s">
        <v>7283</v>
      </c>
      <c r="O2445" s="87" t="s">
        <v>377</v>
      </c>
      <c r="P2445" s="87" t="s">
        <v>372</v>
      </c>
    </row>
    <row r="2446" ht="15.75" customHeight="1">
      <c r="A2446" s="87" t="s">
        <v>7293</v>
      </c>
      <c r="B2446" s="88">
        <v>1.22E18</v>
      </c>
      <c r="C2446" s="87" t="s">
        <v>7294</v>
      </c>
      <c r="D2446" s="87" t="s">
        <v>87</v>
      </c>
      <c r="E2446" s="87" t="s">
        <v>88</v>
      </c>
      <c r="F2446" s="87" t="s">
        <v>379</v>
      </c>
      <c r="G2446" s="93"/>
      <c r="H2446" s="93"/>
      <c r="I2446" s="87" t="s">
        <v>58</v>
      </c>
      <c r="J2446" s="87" t="s">
        <v>2351</v>
      </c>
      <c r="K2446" s="90">
        <v>0.0</v>
      </c>
      <c r="L2446" s="92"/>
      <c r="M2446" s="93"/>
      <c r="N2446" s="87" t="s">
        <v>1772</v>
      </c>
      <c r="O2446" s="87" t="s">
        <v>377</v>
      </c>
      <c r="P2446" s="87" t="s">
        <v>372</v>
      </c>
    </row>
    <row r="2447" ht="15.75" customHeight="1">
      <c r="A2447" s="87" t="s">
        <v>7295</v>
      </c>
      <c r="B2447" s="88">
        <v>1.22E18</v>
      </c>
      <c r="C2447" s="87" t="s">
        <v>7296</v>
      </c>
      <c r="D2447" s="87" t="s">
        <v>87</v>
      </c>
      <c r="E2447" s="87" t="s">
        <v>102</v>
      </c>
      <c r="F2447" s="87" t="s">
        <v>1763</v>
      </c>
      <c r="I2447" s="93"/>
      <c r="J2447" s="87" t="s">
        <v>7297</v>
      </c>
      <c r="K2447" s="90">
        <v>0.0</v>
      </c>
      <c r="L2447" s="92"/>
      <c r="M2447" s="93"/>
      <c r="N2447" s="87" t="s">
        <v>4427</v>
      </c>
      <c r="O2447" s="87" t="s">
        <v>377</v>
      </c>
      <c r="P2447" s="87" t="s">
        <v>372</v>
      </c>
    </row>
    <row r="2448" ht="15.75" customHeight="1">
      <c r="A2448" s="87" t="s">
        <v>7298</v>
      </c>
      <c r="B2448" s="88">
        <v>1.22E18</v>
      </c>
      <c r="C2448" s="87" t="s">
        <v>7299</v>
      </c>
      <c r="D2448" s="87" t="s">
        <v>87</v>
      </c>
      <c r="E2448" s="87" t="s">
        <v>102</v>
      </c>
      <c r="F2448" s="87" t="s">
        <v>1763</v>
      </c>
      <c r="I2448" s="93"/>
      <c r="J2448" s="87" t="s">
        <v>7300</v>
      </c>
      <c r="K2448" s="90">
        <v>0.0</v>
      </c>
      <c r="L2448" s="92"/>
      <c r="M2448" s="93"/>
      <c r="N2448" s="87" t="s">
        <v>4427</v>
      </c>
      <c r="O2448" s="87" t="s">
        <v>377</v>
      </c>
      <c r="P2448" s="87" t="s">
        <v>372</v>
      </c>
    </row>
    <row r="2449" ht="15.75" customHeight="1">
      <c r="A2449" s="87" t="s">
        <v>7301</v>
      </c>
      <c r="B2449" s="88">
        <v>1.22E18</v>
      </c>
      <c r="C2449" s="87" t="s">
        <v>7302</v>
      </c>
      <c r="D2449" s="87" t="s">
        <v>56</v>
      </c>
      <c r="E2449" s="87" t="s">
        <v>102</v>
      </c>
      <c r="F2449" s="87" t="s">
        <v>1763</v>
      </c>
      <c r="I2449" s="93"/>
      <c r="J2449" s="87" t="s">
        <v>7303</v>
      </c>
      <c r="K2449" s="90">
        <v>0.0</v>
      </c>
      <c r="L2449" s="92"/>
      <c r="M2449" s="93"/>
      <c r="N2449" s="87" t="s">
        <v>4427</v>
      </c>
      <c r="O2449" s="87" t="s">
        <v>377</v>
      </c>
      <c r="P2449" s="87" t="s">
        <v>372</v>
      </c>
    </row>
    <row r="2450" ht="15.75" customHeight="1">
      <c r="A2450" s="87" t="s">
        <v>7304</v>
      </c>
      <c r="B2450" s="88">
        <v>1.22E18</v>
      </c>
      <c r="C2450" s="87" t="s">
        <v>7305</v>
      </c>
      <c r="D2450" s="87" t="s">
        <v>56</v>
      </c>
      <c r="E2450" s="87" t="s">
        <v>102</v>
      </c>
      <c r="F2450" s="87" t="s">
        <v>1763</v>
      </c>
      <c r="I2450" s="93"/>
      <c r="J2450" s="87" t="s">
        <v>7306</v>
      </c>
      <c r="K2450" s="90">
        <v>0.0</v>
      </c>
      <c r="L2450" s="92"/>
      <c r="M2450" s="93"/>
      <c r="N2450" s="87" t="s">
        <v>4427</v>
      </c>
      <c r="O2450" s="87" t="s">
        <v>377</v>
      </c>
      <c r="P2450" s="87" t="s">
        <v>372</v>
      </c>
    </row>
    <row r="2451" ht="15.75" customHeight="1">
      <c r="A2451" s="87" t="s">
        <v>7307</v>
      </c>
      <c r="B2451" s="88">
        <v>1.22E18</v>
      </c>
      <c r="C2451" s="87" t="s">
        <v>7308</v>
      </c>
      <c r="D2451" s="87" t="s">
        <v>262</v>
      </c>
      <c r="E2451" s="87" t="s">
        <v>270</v>
      </c>
      <c r="F2451" s="87" t="s">
        <v>1749</v>
      </c>
      <c r="H2451" s="93"/>
      <c r="I2451" s="87" t="s">
        <v>58</v>
      </c>
      <c r="J2451" s="87" t="s">
        <v>7309</v>
      </c>
      <c r="K2451" s="90">
        <v>0.0</v>
      </c>
      <c r="L2451" s="92"/>
      <c r="M2451" s="93"/>
      <c r="N2451" s="87" t="s">
        <v>2766</v>
      </c>
      <c r="O2451" s="87" t="s">
        <v>377</v>
      </c>
      <c r="P2451" s="87" t="s">
        <v>372</v>
      </c>
    </row>
    <row r="2452" ht="15.75" customHeight="1">
      <c r="A2452" s="87" t="s">
        <v>7310</v>
      </c>
      <c r="B2452" s="88">
        <v>1.22E18</v>
      </c>
      <c r="C2452" s="87" t="s">
        <v>7311</v>
      </c>
      <c r="D2452" s="87" t="s">
        <v>262</v>
      </c>
      <c r="E2452" s="87" t="s">
        <v>270</v>
      </c>
      <c r="F2452" s="87" t="s">
        <v>1749</v>
      </c>
      <c r="H2452" s="93"/>
      <c r="I2452" s="87" t="s">
        <v>58</v>
      </c>
      <c r="J2452" s="87" t="s">
        <v>7312</v>
      </c>
      <c r="K2452" s="90">
        <v>0.0</v>
      </c>
      <c r="L2452" s="92"/>
      <c r="M2452" s="93"/>
      <c r="N2452" s="87" t="s">
        <v>2766</v>
      </c>
      <c r="O2452" s="87" t="s">
        <v>377</v>
      </c>
      <c r="P2452" s="87" t="s">
        <v>372</v>
      </c>
    </row>
    <row r="2453" ht="15.75" customHeight="1">
      <c r="A2453" s="87" t="s">
        <v>7313</v>
      </c>
      <c r="B2453" s="88">
        <v>1.22E18</v>
      </c>
      <c r="C2453" s="87" t="s">
        <v>7314</v>
      </c>
      <c r="D2453" s="87" t="s">
        <v>262</v>
      </c>
      <c r="E2453" s="87" t="s">
        <v>278</v>
      </c>
      <c r="F2453" s="87" t="s">
        <v>7314</v>
      </c>
      <c r="I2453" s="87" t="s">
        <v>58</v>
      </c>
      <c r="J2453" s="87" t="s">
        <v>7315</v>
      </c>
      <c r="L2453" s="92"/>
      <c r="M2453" s="93"/>
      <c r="N2453" s="87" t="s">
        <v>7316</v>
      </c>
      <c r="O2453" s="87" t="s">
        <v>377</v>
      </c>
      <c r="P2453" s="87" t="s">
        <v>2565</v>
      </c>
    </row>
    <row r="2454" ht="15.75" customHeight="1">
      <c r="A2454" s="87" t="s">
        <v>7317</v>
      </c>
      <c r="B2454" s="88">
        <v>1.22E18</v>
      </c>
      <c r="C2454" s="87" t="s">
        <v>7318</v>
      </c>
      <c r="D2454" s="87" t="s">
        <v>87</v>
      </c>
      <c r="E2454" s="87" t="s">
        <v>88</v>
      </c>
      <c r="F2454" s="118" t="s">
        <v>7318</v>
      </c>
      <c r="G2454" s="130"/>
      <c r="H2454" s="119"/>
      <c r="I2454" s="87" t="s">
        <v>5012</v>
      </c>
      <c r="J2454" s="87" t="s">
        <v>7319</v>
      </c>
      <c r="K2454" s="90">
        <v>0.0</v>
      </c>
      <c r="L2454" s="92"/>
      <c r="M2454" s="93"/>
      <c r="N2454" s="87" t="s">
        <v>1772</v>
      </c>
      <c r="O2454" s="87" t="s">
        <v>377</v>
      </c>
      <c r="P2454" s="87" t="s">
        <v>372</v>
      </c>
    </row>
    <row r="2455" ht="15.75" customHeight="1">
      <c r="A2455" s="87" t="s">
        <v>7320</v>
      </c>
      <c r="B2455" s="88">
        <v>1.22E18</v>
      </c>
      <c r="C2455" s="87" t="s">
        <v>7321</v>
      </c>
      <c r="D2455" s="87" t="s">
        <v>87</v>
      </c>
      <c r="E2455" s="87" t="s">
        <v>88</v>
      </c>
      <c r="F2455" s="87" t="s">
        <v>7321</v>
      </c>
      <c r="I2455" s="87" t="s">
        <v>495</v>
      </c>
      <c r="J2455" s="87" t="s">
        <v>2855</v>
      </c>
      <c r="K2455" s="90">
        <v>0.0</v>
      </c>
      <c r="L2455" s="92"/>
      <c r="M2455" s="93"/>
      <c r="N2455" s="87" t="s">
        <v>497</v>
      </c>
      <c r="O2455" s="87" t="s">
        <v>377</v>
      </c>
      <c r="P2455" s="87" t="s">
        <v>372</v>
      </c>
    </row>
    <row r="2456" ht="15.75" customHeight="1">
      <c r="A2456" s="87" t="s">
        <v>7322</v>
      </c>
      <c r="B2456" s="88">
        <v>1.22E18</v>
      </c>
      <c r="C2456" s="87" t="s">
        <v>7323</v>
      </c>
      <c r="D2456" s="87" t="s">
        <v>262</v>
      </c>
      <c r="E2456" s="87" t="s">
        <v>263</v>
      </c>
      <c r="F2456" s="87" t="s">
        <v>415</v>
      </c>
      <c r="G2456" s="93"/>
      <c r="H2456" s="93"/>
      <c r="I2456" s="87" t="s">
        <v>58</v>
      </c>
      <c r="J2456" s="87" t="s">
        <v>7324</v>
      </c>
      <c r="K2456" s="90">
        <v>1.0</v>
      </c>
      <c r="L2456" s="92"/>
      <c r="M2456" s="93"/>
      <c r="N2456" s="87" t="s">
        <v>1772</v>
      </c>
      <c r="O2456" s="87" t="s">
        <v>377</v>
      </c>
      <c r="P2456" s="87" t="s">
        <v>372</v>
      </c>
    </row>
    <row r="2457" ht="15.75" customHeight="1">
      <c r="A2457" s="87" t="s">
        <v>7325</v>
      </c>
      <c r="B2457" s="88">
        <v>1.22E18</v>
      </c>
      <c r="C2457" s="87" t="s">
        <v>7326</v>
      </c>
      <c r="D2457" s="87" t="s">
        <v>262</v>
      </c>
      <c r="E2457" s="87" t="s">
        <v>263</v>
      </c>
      <c r="F2457" s="87" t="s">
        <v>415</v>
      </c>
      <c r="G2457" s="93"/>
      <c r="H2457" s="93"/>
      <c r="I2457" s="87" t="s">
        <v>58</v>
      </c>
      <c r="J2457" s="87" t="s">
        <v>7327</v>
      </c>
      <c r="K2457" s="90">
        <v>1.0</v>
      </c>
      <c r="L2457" s="92"/>
      <c r="M2457" s="93"/>
      <c r="N2457" s="87" t="s">
        <v>1772</v>
      </c>
      <c r="O2457" s="87" t="s">
        <v>377</v>
      </c>
      <c r="P2457" s="87" t="s">
        <v>372</v>
      </c>
    </row>
    <row r="2458" ht="15.75" customHeight="1">
      <c r="A2458" s="87" t="s">
        <v>7328</v>
      </c>
      <c r="B2458" s="88">
        <v>1.22E18</v>
      </c>
      <c r="C2458" s="87" t="s">
        <v>7329</v>
      </c>
      <c r="D2458" s="87" t="s">
        <v>262</v>
      </c>
      <c r="E2458" s="87" t="s">
        <v>263</v>
      </c>
      <c r="F2458" s="87" t="s">
        <v>415</v>
      </c>
      <c r="G2458" s="93"/>
      <c r="H2458" s="93"/>
      <c r="I2458" s="87" t="s">
        <v>58</v>
      </c>
      <c r="J2458" s="87" t="s">
        <v>7330</v>
      </c>
      <c r="K2458" s="90">
        <v>0.0</v>
      </c>
      <c r="L2458" s="92"/>
      <c r="M2458" s="93"/>
      <c r="N2458" s="87" t="s">
        <v>1772</v>
      </c>
      <c r="O2458" s="87" t="s">
        <v>377</v>
      </c>
      <c r="P2458" s="87" t="s">
        <v>372</v>
      </c>
    </row>
    <row r="2459" ht="15.75" customHeight="1">
      <c r="A2459" s="87" t="s">
        <v>7331</v>
      </c>
      <c r="B2459" s="88">
        <v>1.22E18</v>
      </c>
      <c r="C2459" s="87" t="s">
        <v>7332</v>
      </c>
      <c r="D2459" s="87" t="s">
        <v>262</v>
      </c>
      <c r="E2459" s="87" t="s">
        <v>263</v>
      </c>
      <c r="F2459" s="87" t="s">
        <v>415</v>
      </c>
      <c r="G2459" s="93"/>
      <c r="H2459" s="93"/>
      <c r="I2459" s="87" t="s">
        <v>58</v>
      </c>
      <c r="J2459" s="87" t="s">
        <v>7333</v>
      </c>
      <c r="K2459" s="90">
        <v>1.0</v>
      </c>
      <c r="L2459" s="92"/>
      <c r="M2459" s="93"/>
      <c r="N2459" s="87" t="s">
        <v>7334</v>
      </c>
      <c r="O2459" s="87" t="s">
        <v>377</v>
      </c>
      <c r="P2459" s="87" t="s">
        <v>372</v>
      </c>
    </row>
    <row r="2460" ht="15.75" customHeight="1">
      <c r="A2460" s="87" t="s">
        <v>7335</v>
      </c>
      <c r="B2460" s="88">
        <v>1.22E18</v>
      </c>
      <c r="C2460" s="87" t="s">
        <v>7336</v>
      </c>
      <c r="D2460" s="87" t="s">
        <v>87</v>
      </c>
      <c r="E2460" s="87" t="s">
        <v>88</v>
      </c>
      <c r="F2460" s="87" t="s">
        <v>379</v>
      </c>
      <c r="G2460" s="93"/>
      <c r="H2460" s="93"/>
      <c r="I2460" s="87" t="s">
        <v>315</v>
      </c>
      <c r="J2460" s="87" t="s">
        <v>7337</v>
      </c>
      <c r="K2460" s="90">
        <v>0.0</v>
      </c>
      <c r="L2460" s="92"/>
      <c r="M2460" s="93"/>
      <c r="N2460" s="87" t="s">
        <v>5619</v>
      </c>
      <c r="O2460" s="87" t="s">
        <v>377</v>
      </c>
      <c r="P2460" s="87" t="s">
        <v>372</v>
      </c>
    </row>
    <row r="2461" ht="15.75" customHeight="1">
      <c r="A2461" s="87" t="s">
        <v>7338</v>
      </c>
      <c r="B2461" s="88">
        <v>1.22E18</v>
      </c>
      <c r="C2461" s="87" t="s">
        <v>7339</v>
      </c>
      <c r="D2461" s="87" t="s">
        <v>262</v>
      </c>
      <c r="E2461" s="87" t="s">
        <v>278</v>
      </c>
      <c r="F2461" s="118" t="s">
        <v>7339</v>
      </c>
      <c r="G2461" s="130"/>
      <c r="H2461" s="119"/>
      <c r="I2461" s="87" t="s">
        <v>58</v>
      </c>
      <c r="J2461" s="87" t="s">
        <v>3426</v>
      </c>
      <c r="L2461" s="92"/>
      <c r="M2461" s="93"/>
      <c r="N2461" s="87" t="s">
        <v>7340</v>
      </c>
      <c r="O2461" s="87" t="s">
        <v>377</v>
      </c>
      <c r="P2461" s="87" t="s">
        <v>2565</v>
      </c>
    </row>
    <row r="2462" ht="15.75" customHeight="1">
      <c r="A2462" s="87" t="s">
        <v>7341</v>
      </c>
      <c r="B2462" s="88">
        <v>1.22E18</v>
      </c>
      <c r="C2462" s="87" t="s">
        <v>7342</v>
      </c>
      <c r="D2462" s="87" t="s">
        <v>56</v>
      </c>
      <c r="E2462" s="87" t="s">
        <v>142</v>
      </c>
      <c r="F2462" s="87" t="s">
        <v>7342</v>
      </c>
      <c r="H2462" s="93"/>
      <c r="I2462" s="87" t="s">
        <v>58</v>
      </c>
      <c r="J2462" s="87" t="s">
        <v>646</v>
      </c>
      <c r="K2462" s="90">
        <v>0.0</v>
      </c>
      <c r="L2462" s="92"/>
      <c r="M2462" s="93"/>
      <c r="N2462" s="93"/>
      <c r="O2462" s="87" t="s">
        <v>377</v>
      </c>
      <c r="P2462" s="87" t="s">
        <v>372</v>
      </c>
    </row>
    <row r="2463" ht="15.75" customHeight="1">
      <c r="A2463" s="87" t="s">
        <v>7343</v>
      </c>
      <c r="B2463" s="88">
        <v>1.22E18</v>
      </c>
      <c r="C2463" s="87" t="s">
        <v>7344</v>
      </c>
      <c r="D2463" s="87" t="s">
        <v>262</v>
      </c>
      <c r="E2463" s="87" t="s">
        <v>263</v>
      </c>
      <c r="F2463" s="87" t="s">
        <v>415</v>
      </c>
      <c r="G2463" s="93"/>
      <c r="H2463" s="93"/>
      <c r="I2463" s="87" t="s">
        <v>58</v>
      </c>
      <c r="J2463" s="87" t="s">
        <v>7345</v>
      </c>
      <c r="K2463" s="90">
        <v>1.0</v>
      </c>
      <c r="L2463" s="92"/>
      <c r="M2463" s="93"/>
      <c r="N2463" s="87" t="s">
        <v>4427</v>
      </c>
      <c r="O2463" s="87" t="s">
        <v>377</v>
      </c>
      <c r="P2463" s="87" t="s">
        <v>372</v>
      </c>
    </row>
    <row r="2464" ht="15.75" customHeight="1">
      <c r="A2464" s="87" t="s">
        <v>7346</v>
      </c>
      <c r="B2464" s="88">
        <v>1.22E18</v>
      </c>
      <c r="C2464" s="87" t="s">
        <v>7347</v>
      </c>
      <c r="D2464" s="87" t="s">
        <v>87</v>
      </c>
      <c r="E2464" s="87" t="s">
        <v>88</v>
      </c>
      <c r="F2464" s="87" t="s">
        <v>379</v>
      </c>
      <c r="G2464" s="93"/>
      <c r="H2464" s="93"/>
      <c r="I2464" s="87" t="s">
        <v>315</v>
      </c>
      <c r="J2464" s="87" t="s">
        <v>7348</v>
      </c>
      <c r="K2464" s="90">
        <v>1000.0</v>
      </c>
      <c r="L2464" s="92"/>
      <c r="M2464" s="93"/>
      <c r="N2464" s="87" t="s">
        <v>5619</v>
      </c>
      <c r="O2464" s="87" t="s">
        <v>377</v>
      </c>
      <c r="P2464" s="87" t="s">
        <v>372</v>
      </c>
    </row>
    <row r="2465" ht="15.75" customHeight="1">
      <c r="A2465" s="87" t="s">
        <v>7349</v>
      </c>
      <c r="B2465" s="88">
        <v>1.22E18</v>
      </c>
      <c r="C2465" s="87" t="s">
        <v>7350</v>
      </c>
      <c r="D2465" s="87" t="s">
        <v>87</v>
      </c>
      <c r="E2465" s="87" t="s">
        <v>88</v>
      </c>
      <c r="F2465" s="87" t="s">
        <v>379</v>
      </c>
      <c r="G2465" s="93"/>
      <c r="H2465" s="93"/>
      <c r="I2465" s="87" t="s">
        <v>58</v>
      </c>
      <c r="J2465" s="87" t="s">
        <v>7351</v>
      </c>
      <c r="K2465" s="90">
        <v>0.0</v>
      </c>
      <c r="L2465" s="92"/>
      <c r="M2465" s="93"/>
      <c r="N2465" s="87" t="s">
        <v>5849</v>
      </c>
      <c r="O2465" s="87" t="s">
        <v>377</v>
      </c>
      <c r="P2465" s="87" t="s">
        <v>372</v>
      </c>
    </row>
    <row r="2466" ht="15.75" customHeight="1">
      <c r="A2466" s="87" t="s">
        <v>7352</v>
      </c>
      <c r="B2466" s="88">
        <v>1.22E18</v>
      </c>
      <c r="C2466" s="87" t="s">
        <v>7353</v>
      </c>
      <c r="D2466" s="87" t="s">
        <v>87</v>
      </c>
      <c r="E2466" s="87" t="s">
        <v>88</v>
      </c>
      <c r="F2466" s="87" t="s">
        <v>379</v>
      </c>
      <c r="G2466" s="93"/>
      <c r="H2466" s="93"/>
      <c r="I2466" s="87" t="s">
        <v>58</v>
      </c>
      <c r="J2466" s="87" t="s">
        <v>7354</v>
      </c>
      <c r="K2466" s="90">
        <v>0.0</v>
      </c>
      <c r="L2466" s="92"/>
      <c r="M2466" s="93"/>
      <c r="N2466" s="87" t="s">
        <v>5849</v>
      </c>
      <c r="O2466" s="87" t="s">
        <v>377</v>
      </c>
      <c r="P2466" s="87" t="s">
        <v>372</v>
      </c>
    </row>
    <row r="2467" ht="15.75" customHeight="1">
      <c r="A2467" s="87" t="s">
        <v>7355</v>
      </c>
      <c r="B2467" s="88">
        <v>1.22E18</v>
      </c>
      <c r="C2467" s="87" t="s">
        <v>7356</v>
      </c>
      <c r="D2467" s="87" t="s">
        <v>87</v>
      </c>
      <c r="E2467" s="87" t="s">
        <v>88</v>
      </c>
      <c r="F2467" s="87" t="s">
        <v>379</v>
      </c>
      <c r="G2467" s="93"/>
      <c r="H2467" s="93"/>
      <c r="I2467" s="87" t="s">
        <v>58</v>
      </c>
      <c r="J2467" s="87" t="s">
        <v>7357</v>
      </c>
      <c r="K2467" s="90">
        <v>0.0</v>
      </c>
      <c r="L2467" s="92"/>
      <c r="M2467" s="93"/>
      <c r="N2467" s="87" t="s">
        <v>5849</v>
      </c>
      <c r="O2467" s="87" t="s">
        <v>377</v>
      </c>
      <c r="P2467" s="87" t="s">
        <v>372</v>
      </c>
    </row>
    <row r="2468" ht="15.75" customHeight="1">
      <c r="A2468" s="87" t="s">
        <v>7358</v>
      </c>
      <c r="B2468" s="88">
        <v>1.22E18</v>
      </c>
      <c r="C2468" s="87" t="s">
        <v>7359</v>
      </c>
      <c r="D2468" s="87" t="s">
        <v>87</v>
      </c>
      <c r="E2468" s="87" t="s">
        <v>88</v>
      </c>
      <c r="F2468" s="87" t="s">
        <v>379</v>
      </c>
      <c r="G2468" s="93"/>
      <c r="H2468" s="93"/>
      <c r="I2468" s="87" t="s">
        <v>58</v>
      </c>
      <c r="J2468" s="87" t="s">
        <v>7360</v>
      </c>
      <c r="K2468" s="90">
        <v>0.0</v>
      </c>
      <c r="L2468" s="92"/>
      <c r="M2468" s="93"/>
      <c r="N2468" s="87" t="s">
        <v>6214</v>
      </c>
      <c r="O2468" s="87" t="s">
        <v>377</v>
      </c>
      <c r="P2468" s="87" t="s">
        <v>372</v>
      </c>
    </row>
    <row r="2469" ht="15.75" customHeight="1">
      <c r="A2469" s="87" t="s">
        <v>7361</v>
      </c>
      <c r="B2469" s="88">
        <v>1.22E18</v>
      </c>
      <c r="C2469" s="87" t="s">
        <v>7362</v>
      </c>
      <c r="D2469" s="87" t="s">
        <v>87</v>
      </c>
      <c r="E2469" s="87" t="s">
        <v>88</v>
      </c>
      <c r="F2469" s="87" t="s">
        <v>7362</v>
      </c>
      <c r="G2469" s="93"/>
      <c r="H2469" s="93"/>
      <c r="I2469" s="87" t="s">
        <v>58</v>
      </c>
      <c r="J2469" s="87" t="s">
        <v>6888</v>
      </c>
      <c r="K2469" s="90">
        <v>0.0</v>
      </c>
      <c r="L2469" s="92"/>
      <c r="M2469" s="93"/>
      <c r="N2469" s="87" t="s">
        <v>6214</v>
      </c>
      <c r="O2469" s="87" t="s">
        <v>377</v>
      </c>
      <c r="P2469" s="87" t="s">
        <v>372</v>
      </c>
    </row>
    <row r="2470" ht="15.75" customHeight="1">
      <c r="A2470" s="87" t="s">
        <v>7363</v>
      </c>
      <c r="B2470" s="88">
        <v>1.22E18</v>
      </c>
      <c r="C2470" s="87" t="s">
        <v>7364</v>
      </c>
      <c r="D2470" s="87" t="s">
        <v>262</v>
      </c>
      <c r="E2470" s="87" t="s">
        <v>267</v>
      </c>
      <c r="F2470" s="87" t="s">
        <v>1749</v>
      </c>
      <c r="H2470" s="93"/>
      <c r="I2470" s="87" t="s">
        <v>58</v>
      </c>
      <c r="J2470" s="87" t="s">
        <v>7365</v>
      </c>
      <c r="K2470" s="90">
        <v>0.0</v>
      </c>
      <c r="L2470" s="92"/>
      <c r="M2470" s="93"/>
      <c r="N2470" s="87" t="s">
        <v>3202</v>
      </c>
      <c r="O2470" s="87" t="s">
        <v>377</v>
      </c>
      <c r="P2470" s="87" t="s">
        <v>372</v>
      </c>
    </row>
    <row r="2471" ht="15.75" customHeight="1">
      <c r="A2471" s="87" t="s">
        <v>7366</v>
      </c>
      <c r="B2471" s="88">
        <v>1.22E18</v>
      </c>
      <c r="C2471" s="87" t="s">
        <v>7367</v>
      </c>
      <c r="D2471" s="87" t="s">
        <v>87</v>
      </c>
      <c r="E2471" s="87" t="s">
        <v>102</v>
      </c>
      <c r="F2471" s="87" t="s">
        <v>373</v>
      </c>
      <c r="H2471" s="93"/>
      <c r="I2471" s="87" t="s">
        <v>58</v>
      </c>
      <c r="J2471" s="87" t="s">
        <v>7368</v>
      </c>
      <c r="K2471" s="90">
        <v>0.0</v>
      </c>
      <c r="L2471" s="92"/>
      <c r="M2471" s="93"/>
      <c r="N2471" s="87" t="s">
        <v>7369</v>
      </c>
      <c r="O2471" s="87" t="s">
        <v>377</v>
      </c>
      <c r="P2471" s="87" t="s">
        <v>372</v>
      </c>
    </row>
    <row r="2472" ht="15.75" customHeight="1">
      <c r="A2472" s="87" t="s">
        <v>7370</v>
      </c>
      <c r="B2472" s="88">
        <v>1.22E18</v>
      </c>
      <c r="C2472" s="87" t="s">
        <v>7371</v>
      </c>
      <c r="D2472" s="87" t="s">
        <v>87</v>
      </c>
      <c r="E2472" s="87" t="s">
        <v>102</v>
      </c>
      <c r="F2472" s="87" t="s">
        <v>373</v>
      </c>
      <c r="H2472" s="93"/>
      <c r="I2472" s="87" t="s">
        <v>58</v>
      </c>
      <c r="J2472" s="87" t="s">
        <v>7372</v>
      </c>
      <c r="K2472" s="90">
        <v>0.0</v>
      </c>
      <c r="L2472" s="92"/>
      <c r="M2472" s="93"/>
      <c r="N2472" s="87" t="s">
        <v>7152</v>
      </c>
      <c r="O2472" s="87" t="s">
        <v>377</v>
      </c>
      <c r="P2472" s="87" t="s">
        <v>372</v>
      </c>
    </row>
    <row r="2473" ht="15.75" customHeight="1">
      <c r="A2473" s="87" t="s">
        <v>7373</v>
      </c>
      <c r="B2473" s="88">
        <v>1.22E18</v>
      </c>
      <c r="C2473" s="87" t="s">
        <v>7374</v>
      </c>
      <c r="D2473" s="87" t="s">
        <v>56</v>
      </c>
      <c r="E2473" s="87" t="s">
        <v>102</v>
      </c>
      <c r="F2473" s="87" t="s">
        <v>1763</v>
      </c>
      <c r="I2473" s="93"/>
      <c r="J2473" s="87" t="s">
        <v>7375</v>
      </c>
      <c r="K2473" s="90">
        <v>0.0</v>
      </c>
      <c r="L2473" s="92"/>
      <c r="M2473" s="93"/>
      <c r="N2473" s="87" t="s">
        <v>7376</v>
      </c>
      <c r="O2473" s="87" t="s">
        <v>377</v>
      </c>
      <c r="P2473" s="87" t="s">
        <v>372</v>
      </c>
    </row>
    <row r="2474" ht="15.75" customHeight="1">
      <c r="A2474" s="87" t="s">
        <v>7377</v>
      </c>
      <c r="B2474" s="88">
        <v>1.22E18</v>
      </c>
      <c r="C2474" s="87" t="s">
        <v>7378</v>
      </c>
      <c r="D2474" s="87" t="s">
        <v>87</v>
      </c>
      <c r="E2474" s="87" t="s">
        <v>88</v>
      </c>
      <c r="F2474" s="87" t="s">
        <v>379</v>
      </c>
      <c r="G2474" s="93"/>
      <c r="H2474" s="93"/>
      <c r="I2474" s="87" t="s">
        <v>2333</v>
      </c>
      <c r="J2474" s="87" t="s">
        <v>7379</v>
      </c>
      <c r="K2474" s="90">
        <v>0.0</v>
      </c>
      <c r="L2474" s="92"/>
      <c r="M2474" s="93"/>
      <c r="N2474" s="87" t="s">
        <v>1772</v>
      </c>
      <c r="O2474" s="87" t="s">
        <v>377</v>
      </c>
      <c r="P2474" s="87" t="s">
        <v>372</v>
      </c>
    </row>
    <row r="2475" ht="15.75" customHeight="1">
      <c r="A2475" s="87" t="s">
        <v>7380</v>
      </c>
      <c r="B2475" s="88">
        <v>1.22E18</v>
      </c>
      <c r="C2475" s="87" t="s">
        <v>7381</v>
      </c>
      <c r="D2475" s="87" t="s">
        <v>56</v>
      </c>
      <c r="E2475" s="87" t="s">
        <v>102</v>
      </c>
      <c r="F2475" s="87" t="s">
        <v>1763</v>
      </c>
      <c r="I2475" s="93"/>
      <c r="J2475" s="87" t="s">
        <v>2431</v>
      </c>
      <c r="K2475" s="90">
        <v>0.0</v>
      </c>
      <c r="L2475" s="92"/>
      <c r="M2475" s="93"/>
      <c r="N2475" s="93"/>
      <c r="O2475" s="87" t="s">
        <v>377</v>
      </c>
      <c r="P2475" s="87" t="s">
        <v>372</v>
      </c>
    </row>
    <row r="2476" ht="15.75" customHeight="1">
      <c r="A2476" s="87" t="s">
        <v>7382</v>
      </c>
      <c r="B2476" s="88">
        <v>1.22E18</v>
      </c>
      <c r="C2476" s="87" t="s">
        <v>7383</v>
      </c>
      <c r="D2476" s="87" t="s">
        <v>262</v>
      </c>
      <c r="E2476" s="87" t="s">
        <v>270</v>
      </c>
      <c r="F2476" s="87" t="s">
        <v>1749</v>
      </c>
      <c r="H2476" s="93"/>
      <c r="I2476" s="87" t="s">
        <v>58</v>
      </c>
      <c r="J2476" s="87" t="s">
        <v>7384</v>
      </c>
      <c r="K2476" s="90">
        <v>0.0</v>
      </c>
      <c r="L2476" s="92"/>
      <c r="M2476" s="93"/>
      <c r="N2476" s="87" t="s">
        <v>7385</v>
      </c>
      <c r="O2476" s="87" t="s">
        <v>377</v>
      </c>
      <c r="P2476" s="87" t="s">
        <v>372</v>
      </c>
    </row>
    <row r="2477" ht="15.75" customHeight="1">
      <c r="A2477" s="87" t="s">
        <v>7386</v>
      </c>
      <c r="B2477" s="88">
        <v>1.22E18</v>
      </c>
      <c r="C2477" s="87" t="s">
        <v>7387</v>
      </c>
      <c r="D2477" s="87" t="s">
        <v>262</v>
      </c>
      <c r="E2477" s="87" t="s">
        <v>270</v>
      </c>
      <c r="F2477" s="87" t="s">
        <v>1749</v>
      </c>
      <c r="H2477" s="93"/>
      <c r="I2477" s="87" t="s">
        <v>58</v>
      </c>
      <c r="J2477" s="87" t="s">
        <v>7388</v>
      </c>
      <c r="K2477" s="90">
        <v>0.0</v>
      </c>
      <c r="L2477" s="92"/>
      <c r="M2477" s="93"/>
      <c r="N2477" s="87" t="s">
        <v>7385</v>
      </c>
      <c r="O2477" s="87" t="s">
        <v>377</v>
      </c>
      <c r="P2477" s="87" t="s">
        <v>372</v>
      </c>
    </row>
    <row r="2478" ht="15.75" customHeight="1">
      <c r="A2478" s="87" t="s">
        <v>7389</v>
      </c>
      <c r="B2478" s="88">
        <v>1.22E18</v>
      </c>
      <c r="C2478" s="87" t="s">
        <v>7390</v>
      </c>
      <c r="D2478" s="87" t="s">
        <v>56</v>
      </c>
      <c r="E2478" s="87" t="s">
        <v>102</v>
      </c>
      <c r="F2478" s="87" t="s">
        <v>1763</v>
      </c>
      <c r="I2478" s="93"/>
      <c r="J2478" s="87" t="s">
        <v>6462</v>
      </c>
      <c r="K2478" s="90">
        <v>0.0</v>
      </c>
      <c r="L2478" s="92"/>
      <c r="M2478" s="93"/>
      <c r="N2478" s="87" t="s">
        <v>3095</v>
      </c>
      <c r="O2478" s="87" t="s">
        <v>377</v>
      </c>
      <c r="P2478" s="87" t="s">
        <v>372</v>
      </c>
    </row>
    <row r="2479" ht="15.75" customHeight="1">
      <c r="A2479" s="87" t="s">
        <v>7391</v>
      </c>
      <c r="B2479" s="88">
        <v>1.22E18</v>
      </c>
      <c r="C2479" s="87" t="s">
        <v>7392</v>
      </c>
      <c r="D2479" s="87" t="s">
        <v>87</v>
      </c>
      <c r="E2479" s="87" t="s">
        <v>88</v>
      </c>
      <c r="F2479" s="87" t="s">
        <v>373</v>
      </c>
      <c r="H2479" s="93"/>
      <c r="I2479" s="87" t="s">
        <v>58</v>
      </c>
      <c r="J2479" s="87" t="s">
        <v>7393</v>
      </c>
      <c r="K2479" s="90">
        <v>0.0</v>
      </c>
      <c r="L2479" s="92"/>
      <c r="M2479" s="93"/>
      <c r="N2479" s="87" t="s">
        <v>4427</v>
      </c>
      <c r="O2479" s="87" t="s">
        <v>377</v>
      </c>
      <c r="P2479" s="87" t="s">
        <v>372</v>
      </c>
    </row>
    <row r="2480" ht="15.75" customHeight="1">
      <c r="A2480" s="87" t="s">
        <v>7394</v>
      </c>
      <c r="B2480" s="88">
        <v>1.22E18</v>
      </c>
      <c r="C2480" s="87" t="s">
        <v>7395</v>
      </c>
      <c r="D2480" s="87" t="s">
        <v>87</v>
      </c>
      <c r="E2480" s="87" t="s">
        <v>88</v>
      </c>
      <c r="F2480" s="87" t="s">
        <v>373</v>
      </c>
      <c r="H2480" s="93"/>
      <c r="I2480" s="87" t="s">
        <v>58</v>
      </c>
      <c r="J2480" s="87" t="s">
        <v>7396</v>
      </c>
      <c r="K2480" s="90">
        <v>0.0</v>
      </c>
      <c r="L2480" s="92"/>
      <c r="M2480" s="93"/>
      <c r="N2480" s="87" t="s">
        <v>4427</v>
      </c>
      <c r="O2480" s="87" t="s">
        <v>377</v>
      </c>
      <c r="P2480" s="87" t="s">
        <v>372</v>
      </c>
    </row>
    <row r="2481" ht="15.75" customHeight="1">
      <c r="A2481" s="87" t="s">
        <v>7397</v>
      </c>
      <c r="B2481" s="88">
        <v>1.22E18</v>
      </c>
      <c r="C2481" s="87" t="s">
        <v>7398</v>
      </c>
      <c r="D2481" s="87" t="s">
        <v>87</v>
      </c>
      <c r="E2481" s="87" t="s">
        <v>88</v>
      </c>
      <c r="F2481" s="87" t="s">
        <v>373</v>
      </c>
      <c r="H2481" s="93"/>
      <c r="I2481" s="87" t="s">
        <v>58</v>
      </c>
      <c r="J2481" s="87" t="s">
        <v>7399</v>
      </c>
      <c r="K2481" s="90">
        <v>0.0</v>
      </c>
      <c r="L2481" s="92"/>
      <c r="M2481" s="93"/>
      <c r="N2481" s="87" t="s">
        <v>4427</v>
      </c>
      <c r="O2481" s="87" t="s">
        <v>377</v>
      </c>
      <c r="P2481" s="87" t="s">
        <v>372</v>
      </c>
    </row>
    <row r="2482" ht="15.75" customHeight="1">
      <c r="A2482" s="87" t="s">
        <v>7400</v>
      </c>
      <c r="B2482" s="88">
        <v>1.22E18</v>
      </c>
      <c r="C2482" s="87" t="s">
        <v>7401</v>
      </c>
      <c r="D2482" s="87" t="s">
        <v>87</v>
      </c>
      <c r="E2482" s="87" t="s">
        <v>88</v>
      </c>
      <c r="F2482" s="87" t="s">
        <v>373</v>
      </c>
      <c r="H2482" s="93"/>
      <c r="I2482" s="87" t="s">
        <v>1123</v>
      </c>
      <c r="J2482" s="87" t="s">
        <v>7402</v>
      </c>
      <c r="K2482" s="90">
        <v>0.0</v>
      </c>
      <c r="L2482" s="92"/>
      <c r="M2482" s="93"/>
      <c r="N2482" s="87" t="s">
        <v>4427</v>
      </c>
      <c r="O2482" s="87" t="s">
        <v>377</v>
      </c>
      <c r="P2482" s="87" t="s">
        <v>372</v>
      </c>
    </row>
    <row r="2483" ht="15.75" customHeight="1">
      <c r="A2483" s="87" t="s">
        <v>7403</v>
      </c>
      <c r="B2483" s="88">
        <v>1.22E18</v>
      </c>
      <c r="C2483" s="87" t="s">
        <v>7404</v>
      </c>
      <c r="D2483" s="87" t="s">
        <v>56</v>
      </c>
      <c r="E2483" s="87" t="s">
        <v>102</v>
      </c>
      <c r="F2483" s="87" t="s">
        <v>1763</v>
      </c>
      <c r="I2483" s="93"/>
      <c r="J2483" s="87" t="s">
        <v>7405</v>
      </c>
      <c r="K2483" s="90">
        <v>0.0</v>
      </c>
      <c r="L2483" s="92"/>
      <c r="M2483" s="93"/>
      <c r="N2483" s="87" t="s">
        <v>3095</v>
      </c>
      <c r="O2483" s="87" t="s">
        <v>377</v>
      </c>
      <c r="P2483" s="87" t="s">
        <v>372</v>
      </c>
    </row>
    <row r="2484" ht="15.75" customHeight="1">
      <c r="A2484" s="87" t="s">
        <v>7406</v>
      </c>
      <c r="B2484" s="88">
        <v>1.22E18</v>
      </c>
      <c r="C2484" s="87" t="s">
        <v>7407</v>
      </c>
      <c r="D2484" s="87" t="s">
        <v>56</v>
      </c>
      <c r="E2484" s="87" t="s">
        <v>102</v>
      </c>
      <c r="F2484" s="87" t="s">
        <v>1763</v>
      </c>
      <c r="I2484" s="93"/>
      <c r="J2484" s="87" t="s">
        <v>7408</v>
      </c>
      <c r="K2484" s="90">
        <v>0.0</v>
      </c>
      <c r="L2484" s="92"/>
      <c r="M2484" s="93"/>
      <c r="N2484" s="87" t="s">
        <v>3095</v>
      </c>
      <c r="O2484" s="87" t="s">
        <v>377</v>
      </c>
      <c r="P2484" s="87" t="s">
        <v>372</v>
      </c>
    </row>
    <row r="2485" ht="15.75" customHeight="1">
      <c r="A2485" s="87" t="s">
        <v>7409</v>
      </c>
      <c r="B2485" s="88">
        <v>1.22E18</v>
      </c>
      <c r="C2485" s="87" t="s">
        <v>7410</v>
      </c>
      <c r="D2485" s="87" t="s">
        <v>87</v>
      </c>
      <c r="E2485" s="87" t="s">
        <v>102</v>
      </c>
      <c r="F2485" s="87" t="s">
        <v>379</v>
      </c>
      <c r="G2485" s="93"/>
      <c r="H2485" s="93"/>
      <c r="I2485" s="87" t="s">
        <v>5180</v>
      </c>
      <c r="J2485" s="87" t="s">
        <v>7411</v>
      </c>
      <c r="K2485" s="90">
        <v>0.0</v>
      </c>
      <c r="L2485" s="92"/>
      <c r="M2485" s="93"/>
      <c r="N2485" s="87" t="s">
        <v>6780</v>
      </c>
      <c r="O2485" s="87" t="s">
        <v>377</v>
      </c>
      <c r="P2485" s="87" t="s">
        <v>372</v>
      </c>
    </row>
    <row r="2486" ht="15.75" customHeight="1">
      <c r="A2486" s="87" t="s">
        <v>7412</v>
      </c>
      <c r="B2486" s="88">
        <v>1.22E18</v>
      </c>
      <c r="C2486" s="87" t="s">
        <v>7413</v>
      </c>
      <c r="D2486" s="87" t="s">
        <v>262</v>
      </c>
      <c r="E2486" s="87" t="s">
        <v>263</v>
      </c>
      <c r="F2486" s="87" t="s">
        <v>415</v>
      </c>
      <c r="G2486" s="93"/>
      <c r="H2486" s="93"/>
      <c r="I2486" s="87" t="s">
        <v>58</v>
      </c>
      <c r="J2486" s="87" t="s">
        <v>3129</v>
      </c>
      <c r="K2486" s="90">
        <v>0.0</v>
      </c>
      <c r="L2486" s="92"/>
      <c r="M2486" s="93"/>
      <c r="N2486" s="87" t="s">
        <v>6306</v>
      </c>
      <c r="O2486" s="87" t="s">
        <v>377</v>
      </c>
      <c r="P2486" s="87" t="s">
        <v>372</v>
      </c>
    </row>
    <row r="2487" ht="15.75" customHeight="1">
      <c r="A2487" s="87" t="s">
        <v>7414</v>
      </c>
      <c r="B2487" s="88">
        <v>1.22E18</v>
      </c>
      <c r="C2487" s="87" t="s">
        <v>7415</v>
      </c>
      <c r="D2487" s="87" t="s">
        <v>87</v>
      </c>
      <c r="E2487" s="87" t="s">
        <v>88</v>
      </c>
      <c r="F2487" s="87" t="s">
        <v>7415</v>
      </c>
      <c r="I2487" s="87" t="s">
        <v>58</v>
      </c>
      <c r="J2487" s="87" t="s">
        <v>6810</v>
      </c>
      <c r="K2487" s="90">
        <v>0.0</v>
      </c>
      <c r="L2487" s="92"/>
      <c r="M2487" s="93"/>
      <c r="N2487" s="87" t="s">
        <v>7416</v>
      </c>
      <c r="O2487" s="87" t="s">
        <v>377</v>
      </c>
      <c r="P2487" s="87" t="s">
        <v>372</v>
      </c>
    </row>
    <row r="2488" ht="15.75" customHeight="1">
      <c r="A2488" s="87" t="s">
        <v>7417</v>
      </c>
      <c r="B2488" s="88">
        <v>1.22E18</v>
      </c>
      <c r="C2488" s="87" t="s">
        <v>7418</v>
      </c>
      <c r="D2488" s="87" t="s">
        <v>56</v>
      </c>
      <c r="E2488" s="87" t="s">
        <v>102</v>
      </c>
      <c r="F2488" s="87" t="s">
        <v>1763</v>
      </c>
      <c r="I2488" s="93"/>
      <c r="J2488" s="87" t="s">
        <v>7419</v>
      </c>
      <c r="K2488" s="90">
        <v>0.0</v>
      </c>
      <c r="L2488" s="92"/>
      <c r="M2488" s="93"/>
      <c r="N2488" s="87" t="s">
        <v>1772</v>
      </c>
      <c r="O2488" s="87" t="s">
        <v>377</v>
      </c>
      <c r="P2488" s="87" t="s">
        <v>372</v>
      </c>
    </row>
    <row r="2489" ht="15.75" customHeight="1">
      <c r="A2489" s="87" t="s">
        <v>7420</v>
      </c>
      <c r="B2489" s="88">
        <v>1.22E18</v>
      </c>
      <c r="C2489" s="87" t="s">
        <v>7421</v>
      </c>
      <c r="D2489" s="87" t="s">
        <v>262</v>
      </c>
      <c r="E2489" s="87" t="s">
        <v>263</v>
      </c>
      <c r="F2489" s="118" t="s">
        <v>7421</v>
      </c>
      <c r="G2489" s="130"/>
      <c r="H2489" s="119"/>
      <c r="I2489" s="87" t="s">
        <v>58</v>
      </c>
      <c r="J2489" s="87" t="s">
        <v>7422</v>
      </c>
      <c r="K2489" s="90">
        <v>0.0</v>
      </c>
      <c r="L2489" s="92"/>
      <c r="M2489" s="93"/>
      <c r="N2489" s="87" t="s">
        <v>1772</v>
      </c>
      <c r="O2489" s="87" t="s">
        <v>377</v>
      </c>
      <c r="P2489" s="87" t="s">
        <v>372</v>
      </c>
    </row>
    <row r="2490" ht="15.75" customHeight="1">
      <c r="A2490" s="87" t="s">
        <v>7423</v>
      </c>
      <c r="B2490" s="88">
        <v>1.22E18</v>
      </c>
      <c r="C2490" s="87" t="s">
        <v>7424</v>
      </c>
      <c r="D2490" s="87" t="s">
        <v>56</v>
      </c>
      <c r="E2490" s="87" t="s">
        <v>102</v>
      </c>
      <c r="F2490" s="87" t="s">
        <v>1763</v>
      </c>
      <c r="I2490" s="93"/>
      <c r="J2490" s="87" t="s">
        <v>7425</v>
      </c>
      <c r="K2490" s="90">
        <v>0.0</v>
      </c>
      <c r="L2490" s="92"/>
      <c r="M2490" s="93"/>
      <c r="N2490" s="87" t="s">
        <v>1772</v>
      </c>
      <c r="O2490" s="87" t="s">
        <v>377</v>
      </c>
      <c r="P2490" s="87" t="s">
        <v>372</v>
      </c>
    </row>
    <row r="2491" ht="15.75" customHeight="1">
      <c r="A2491" s="87" t="s">
        <v>7426</v>
      </c>
      <c r="B2491" s="88">
        <v>1.22E18</v>
      </c>
      <c r="C2491" s="87" t="s">
        <v>7427</v>
      </c>
      <c r="D2491" s="87" t="s">
        <v>56</v>
      </c>
      <c r="E2491" s="87" t="s">
        <v>59</v>
      </c>
      <c r="F2491" s="87" t="s">
        <v>1763</v>
      </c>
      <c r="I2491" s="93"/>
      <c r="J2491" s="87" t="s">
        <v>7428</v>
      </c>
      <c r="K2491" s="90">
        <v>0.0</v>
      </c>
      <c r="L2491" s="92"/>
      <c r="M2491" s="93"/>
      <c r="N2491" s="87" t="s">
        <v>1772</v>
      </c>
      <c r="O2491" s="87" t="s">
        <v>377</v>
      </c>
      <c r="P2491" s="87" t="s">
        <v>372</v>
      </c>
    </row>
    <row r="2492" ht="15.75" customHeight="1">
      <c r="A2492" s="87" t="s">
        <v>7429</v>
      </c>
      <c r="B2492" s="88">
        <v>1.22E18</v>
      </c>
      <c r="C2492" s="87" t="s">
        <v>7430</v>
      </c>
      <c r="D2492" s="87" t="s">
        <v>56</v>
      </c>
      <c r="E2492" s="87" t="s">
        <v>59</v>
      </c>
      <c r="F2492" s="87" t="s">
        <v>7430</v>
      </c>
      <c r="H2492" s="93"/>
      <c r="I2492" s="87" t="s">
        <v>58</v>
      </c>
      <c r="J2492" s="87" t="s">
        <v>7431</v>
      </c>
      <c r="K2492" s="90">
        <v>0.0</v>
      </c>
      <c r="L2492" s="92"/>
      <c r="M2492" s="93"/>
      <c r="N2492" s="87" t="s">
        <v>1772</v>
      </c>
      <c r="O2492" s="87" t="s">
        <v>377</v>
      </c>
      <c r="P2492" s="87" t="s">
        <v>372</v>
      </c>
    </row>
    <row r="2493" ht="15.75" customHeight="1">
      <c r="A2493" s="87" t="s">
        <v>7432</v>
      </c>
      <c r="B2493" s="88">
        <v>1.22E18</v>
      </c>
      <c r="C2493" s="87" t="s">
        <v>7433</v>
      </c>
      <c r="D2493" s="87" t="s">
        <v>56</v>
      </c>
      <c r="E2493" s="87" t="s">
        <v>102</v>
      </c>
      <c r="F2493" s="87" t="s">
        <v>1763</v>
      </c>
      <c r="I2493" s="93"/>
      <c r="J2493" s="87" t="s">
        <v>7434</v>
      </c>
      <c r="K2493" s="90">
        <v>0.0</v>
      </c>
      <c r="L2493" s="92"/>
      <c r="M2493" s="93"/>
      <c r="N2493" s="87" t="s">
        <v>1772</v>
      </c>
      <c r="O2493" s="87" t="s">
        <v>377</v>
      </c>
      <c r="P2493" s="87" t="s">
        <v>372</v>
      </c>
    </row>
    <row r="2494" ht="15.75" customHeight="1">
      <c r="A2494" s="87" t="s">
        <v>7435</v>
      </c>
      <c r="B2494" s="88">
        <v>1.22E18</v>
      </c>
      <c r="C2494" s="87" t="s">
        <v>7436</v>
      </c>
      <c r="D2494" s="87" t="s">
        <v>87</v>
      </c>
      <c r="E2494" s="87" t="s">
        <v>88</v>
      </c>
      <c r="F2494" s="87" t="s">
        <v>379</v>
      </c>
      <c r="G2494" s="93"/>
      <c r="H2494" s="93"/>
      <c r="I2494" s="87" t="s">
        <v>3984</v>
      </c>
      <c r="J2494" s="87" t="s">
        <v>7437</v>
      </c>
      <c r="K2494" s="90">
        <v>0.0</v>
      </c>
      <c r="L2494" s="92"/>
      <c r="M2494" s="93"/>
      <c r="N2494" s="87" t="s">
        <v>1772</v>
      </c>
      <c r="O2494" s="87" t="s">
        <v>377</v>
      </c>
      <c r="P2494" s="87" t="s">
        <v>372</v>
      </c>
    </row>
    <row r="2495" ht="15.75" customHeight="1">
      <c r="A2495" s="87" t="s">
        <v>7438</v>
      </c>
      <c r="B2495" s="88">
        <v>1.22E18</v>
      </c>
      <c r="C2495" s="87" t="s">
        <v>7439</v>
      </c>
      <c r="D2495" s="87" t="s">
        <v>56</v>
      </c>
      <c r="E2495" s="87" t="s">
        <v>102</v>
      </c>
      <c r="F2495" s="87" t="s">
        <v>1763</v>
      </c>
      <c r="I2495" s="93"/>
      <c r="J2495" s="87" t="s">
        <v>7440</v>
      </c>
      <c r="K2495" s="90">
        <v>0.0</v>
      </c>
      <c r="L2495" s="92"/>
      <c r="M2495" s="93"/>
      <c r="N2495" s="87" t="s">
        <v>1772</v>
      </c>
      <c r="O2495" s="87" t="s">
        <v>377</v>
      </c>
      <c r="P2495" s="87" t="s">
        <v>372</v>
      </c>
    </row>
    <row r="2496" ht="15.75" customHeight="1">
      <c r="A2496" s="87" t="s">
        <v>7441</v>
      </c>
      <c r="B2496" s="88">
        <v>1.22E18</v>
      </c>
      <c r="C2496" s="87" t="s">
        <v>7442</v>
      </c>
      <c r="D2496" s="87" t="s">
        <v>87</v>
      </c>
      <c r="E2496" s="87" t="s">
        <v>88</v>
      </c>
      <c r="F2496" s="87" t="s">
        <v>379</v>
      </c>
      <c r="G2496" s="93"/>
      <c r="H2496" s="93"/>
      <c r="I2496" s="87" t="s">
        <v>58</v>
      </c>
      <c r="J2496" s="87" t="s">
        <v>7443</v>
      </c>
      <c r="K2496" s="90">
        <v>0.0</v>
      </c>
      <c r="L2496" s="92"/>
      <c r="M2496" s="93"/>
      <c r="N2496" s="87" t="s">
        <v>1772</v>
      </c>
      <c r="O2496" s="87" t="s">
        <v>377</v>
      </c>
      <c r="P2496" s="87" t="s">
        <v>372</v>
      </c>
    </row>
    <row r="2497" ht="15.75" customHeight="1">
      <c r="A2497" s="87" t="s">
        <v>7444</v>
      </c>
      <c r="B2497" s="88">
        <v>1.22E18</v>
      </c>
      <c r="C2497" s="87" t="s">
        <v>7445</v>
      </c>
      <c r="D2497" s="87" t="s">
        <v>87</v>
      </c>
      <c r="E2497" s="87" t="s">
        <v>88</v>
      </c>
      <c r="F2497" s="87" t="s">
        <v>379</v>
      </c>
      <c r="G2497" s="93"/>
      <c r="H2497" s="93"/>
      <c r="I2497" s="87" t="s">
        <v>58</v>
      </c>
      <c r="J2497" s="87" t="s">
        <v>7446</v>
      </c>
      <c r="K2497" s="90">
        <v>0.0</v>
      </c>
      <c r="L2497" s="92"/>
      <c r="M2497" s="93"/>
      <c r="N2497" s="87" t="s">
        <v>1772</v>
      </c>
      <c r="O2497" s="87" t="s">
        <v>377</v>
      </c>
      <c r="P2497" s="87" t="s">
        <v>372</v>
      </c>
    </row>
    <row r="2498" ht="15.75" customHeight="1">
      <c r="A2498" s="87" t="s">
        <v>7447</v>
      </c>
      <c r="B2498" s="88">
        <v>1.22E18</v>
      </c>
      <c r="C2498" s="87" t="s">
        <v>7448</v>
      </c>
      <c r="D2498" s="87" t="s">
        <v>56</v>
      </c>
      <c r="E2498" s="87" t="s">
        <v>102</v>
      </c>
      <c r="F2498" s="87" t="s">
        <v>1763</v>
      </c>
      <c r="I2498" s="93"/>
      <c r="J2498" s="87" t="s">
        <v>4878</v>
      </c>
      <c r="K2498" s="90">
        <v>0.0</v>
      </c>
      <c r="L2498" s="92"/>
      <c r="M2498" s="93"/>
      <c r="N2498" s="93"/>
      <c r="O2498" s="87" t="s">
        <v>377</v>
      </c>
      <c r="P2498" s="87" t="s">
        <v>372</v>
      </c>
    </row>
    <row r="2499" ht="15.75" customHeight="1">
      <c r="A2499" s="87" t="s">
        <v>7449</v>
      </c>
      <c r="B2499" s="88">
        <v>1.22E18</v>
      </c>
      <c r="C2499" s="87" t="s">
        <v>7450</v>
      </c>
      <c r="D2499" s="87" t="s">
        <v>262</v>
      </c>
      <c r="E2499" s="87" t="s">
        <v>267</v>
      </c>
      <c r="F2499" s="87" t="s">
        <v>1749</v>
      </c>
      <c r="H2499" s="93"/>
      <c r="I2499" s="87" t="s">
        <v>58</v>
      </c>
      <c r="J2499" s="87" t="s">
        <v>2957</v>
      </c>
      <c r="K2499" s="90">
        <v>0.0</v>
      </c>
      <c r="L2499" s="92"/>
      <c r="M2499" s="93"/>
      <c r="N2499" s="87" t="s">
        <v>1772</v>
      </c>
      <c r="O2499" s="87" t="s">
        <v>377</v>
      </c>
      <c r="P2499" s="87" t="s">
        <v>372</v>
      </c>
    </row>
    <row r="2500" ht="15.75" customHeight="1">
      <c r="A2500" s="87" t="s">
        <v>7451</v>
      </c>
      <c r="B2500" s="88">
        <v>1.22E18</v>
      </c>
      <c r="C2500" s="87" t="s">
        <v>7452</v>
      </c>
      <c r="D2500" s="87" t="s">
        <v>87</v>
      </c>
      <c r="E2500" s="87" t="s">
        <v>102</v>
      </c>
      <c r="F2500" s="87" t="s">
        <v>1763</v>
      </c>
      <c r="I2500" s="93"/>
      <c r="J2500" s="87" t="s">
        <v>7453</v>
      </c>
      <c r="K2500" s="90">
        <v>0.0</v>
      </c>
      <c r="L2500" s="92"/>
      <c r="M2500" s="93"/>
      <c r="N2500" s="87" t="s">
        <v>2572</v>
      </c>
      <c r="O2500" s="87" t="s">
        <v>377</v>
      </c>
      <c r="P2500" s="87" t="s">
        <v>372</v>
      </c>
    </row>
    <row r="2501" ht="15.75" customHeight="1">
      <c r="A2501" s="87" t="s">
        <v>7454</v>
      </c>
      <c r="B2501" s="88">
        <v>1.22E18</v>
      </c>
      <c r="C2501" s="87" t="s">
        <v>7455</v>
      </c>
      <c r="D2501" s="87" t="s">
        <v>262</v>
      </c>
      <c r="E2501" s="87" t="s">
        <v>263</v>
      </c>
      <c r="F2501" s="87" t="s">
        <v>415</v>
      </c>
      <c r="G2501" s="93"/>
      <c r="H2501" s="93"/>
      <c r="I2501" s="87" t="s">
        <v>58</v>
      </c>
      <c r="J2501" s="87" t="s">
        <v>7456</v>
      </c>
      <c r="K2501" s="90">
        <v>1.0</v>
      </c>
      <c r="L2501" s="92"/>
      <c r="M2501" s="93"/>
      <c r="N2501" s="87" t="s">
        <v>7457</v>
      </c>
      <c r="O2501" s="87" t="s">
        <v>377</v>
      </c>
      <c r="P2501" s="87" t="s">
        <v>372</v>
      </c>
    </row>
    <row r="2502" ht="15.75" customHeight="1">
      <c r="A2502" s="87" t="s">
        <v>7458</v>
      </c>
      <c r="B2502" s="88">
        <v>1.22E18</v>
      </c>
      <c r="C2502" s="87" t="s">
        <v>7459</v>
      </c>
      <c r="D2502" s="87" t="s">
        <v>87</v>
      </c>
      <c r="E2502" s="87" t="s">
        <v>88</v>
      </c>
      <c r="F2502" s="87" t="s">
        <v>373</v>
      </c>
      <c r="H2502" s="93"/>
      <c r="I2502" s="87" t="s">
        <v>495</v>
      </c>
      <c r="J2502" s="87" t="s">
        <v>7460</v>
      </c>
      <c r="K2502" s="90">
        <v>120.0</v>
      </c>
      <c r="L2502" s="92"/>
      <c r="M2502" s="93"/>
      <c r="N2502" s="87" t="s">
        <v>4405</v>
      </c>
      <c r="O2502" s="87" t="s">
        <v>377</v>
      </c>
      <c r="P2502" s="87" t="s">
        <v>372</v>
      </c>
    </row>
    <row r="2503" ht="15.75" customHeight="1">
      <c r="A2503" s="87" t="s">
        <v>7461</v>
      </c>
      <c r="B2503" s="88">
        <v>1.22E18</v>
      </c>
      <c r="C2503" s="87" t="s">
        <v>7462</v>
      </c>
      <c r="D2503" s="87" t="s">
        <v>87</v>
      </c>
      <c r="E2503" s="87" t="s">
        <v>88</v>
      </c>
      <c r="F2503" s="87" t="s">
        <v>379</v>
      </c>
      <c r="G2503" s="93"/>
      <c r="H2503" s="93"/>
      <c r="I2503" s="87" t="s">
        <v>58</v>
      </c>
      <c r="J2503" s="87" t="s">
        <v>7463</v>
      </c>
      <c r="K2503" s="90">
        <v>0.0</v>
      </c>
      <c r="L2503" s="92"/>
      <c r="M2503" s="93"/>
      <c r="N2503" s="87" t="s">
        <v>390</v>
      </c>
      <c r="O2503" s="87" t="s">
        <v>377</v>
      </c>
      <c r="P2503" s="87" t="s">
        <v>372</v>
      </c>
    </row>
    <row r="2504" ht="15.75" customHeight="1">
      <c r="A2504" s="87" t="s">
        <v>7464</v>
      </c>
      <c r="B2504" s="88">
        <v>1.22E18</v>
      </c>
      <c r="C2504" s="87" t="s">
        <v>7465</v>
      </c>
      <c r="D2504" s="87" t="s">
        <v>87</v>
      </c>
      <c r="E2504" s="87" t="s">
        <v>102</v>
      </c>
      <c r="F2504" s="87" t="s">
        <v>379</v>
      </c>
      <c r="G2504" s="93"/>
      <c r="H2504" s="93"/>
      <c r="I2504" s="87" t="s">
        <v>58</v>
      </c>
      <c r="J2504" s="87" t="s">
        <v>7466</v>
      </c>
      <c r="K2504" s="90">
        <v>0.0</v>
      </c>
      <c r="L2504" s="92"/>
      <c r="M2504" s="93"/>
      <c r="N2504" s="87" t="s">
        <v>390</v>
      </c>
      <c r="O2504" s="87" t="s">
        <v>377</v>
      </c>
      <c r="P2504" s="87" t="s">
        <v>372</v>
      </c>
    </row>
    <row r="2505" ht="15.75" customHeight="1">
      <c r="A2505" s="87" t="s">
        <v>7467</v>
      </c>
      <c r="B2505" s="88">
        <v>1.22E18</v>
      </c>
      <c r="C2505" s="87" t="s">
        <v>7468</v>
      </c>
      <c r="D2505" s="87" t="s">
        <v>87</v>
      </c>
      <c r="E2505" s="87" t="s">
        <v>102</v>
      </c>
      <c r="F2505" s="87" t="s">
        <v>379</v>
      </c>
      <c r="G2505" s="93"/>
      <c r="H2505" s="93"/>
      <c r="I2505" s="87" t="s">
        <v>58</v>
      </c>
      <c r="J2505" s="87" t="s">
        <v>7469</v>
      </c>
      <c r="K2505" s="90">
        <v>0.0</v>
      </c>
      <c r="L2505" s="92"/>
      <c r="M2505" s="93"/>
      <c r="N2505" s="87" t="s">
        <v>390</v>
      </c>
      <c r="O2505" s="87" t="s">
        <v>377</v>
      </c>
      <c r="P2505" s="87" t="s">
        <v>372</v>
      </c>
    </row>
    <row r="2506" ht="15.75" customHeight="1">
      <c r="A2506" s="87" t="s">
        <v>7470</v>
      </c>
      <c r="B2506" s="88">
        <v>1.22E18</v>
      </c>
      <c r="C2506" s="87" t="s">
        <v>7471</v>
      </c>
      <c r="D2506" s="87" t="s">
        <v>87</v>
      </c>
      <c r="E2506" s="87" t="s">
        <v>88</v>
      </c>
      <c r="F2506" s="87" t="s">
        <v>379</v>
      </c>
      <c r="G2506" s="93"/>
      <c r="H2506" s="93"/>
      <c r="I2506" s="87" t="s">
        <v>58</v>
      </c>
      <c r="J2506" s="87" t="s">
        <v>2444</v>
      </c>
      <c r="K2506" s="90">
        <v>0.0</v>
      </c>
      <c r="L2506" s="92"/>
      <c r="M2506" s="93"/>
      <c r="N2506" s="87" t="s">
        <v>7472</v>
      </c>
      <c r="O2506" s="87" t="s">
        <v>377</v>
      </c>
      <c r="P2506" s="87" t="s">
        <v>372</v>
      </c>
    </row>
    <row r="2507" ht="15.75" customHeight="1">
      <c r="A2507" s="87" t="s">
        <v>7473</v>
      </c>
      <c r="B2507" s="88">
        <v>1.22E18</v>
      </c>
      <c r="C2507" s="87" t="s">
        <v>7474</v>
      </c>
      <c r="D2507" s="87" t="s">
        <v>87</v>
      </c>
      <c r="E2507" s="87" t="s">
        <v>88</v>
      </c>
      <c r="F2507" s="87" t="s">
        <v>379</v>
      </c>
      <c r="G2507" s="93"/>
      <c r="H2507" s="93"/>
      <c r="I2507" s="87" t="s">
        <v>58</v>
      </c>
      <c r="J2507" s="87" t="s">
        <v>4948</v>
      </c>
      <c r="K2507" s="90">
        <v>0.0</v>
      </c>
      <c r="L2507" s="92"/>
      <c r="M2507" s="93"/>
      <c r="N2507" s="87" t="s">
        <v>7472</v>
      </c>
      <c r="O2507" s="87" t="s">
        <v>377</v>
      </c>
      <c r="P2507" s="87" t="s">
        <v>372</v>
      </c>
    </row>
    <row r="2508" ht="15.75" customHeight="1">
      <c r="A2508" s="87" t="s">
        <v>7475</v>
      </c>
      <c r="B2508" s="88">
        <v>1.22E18</v>
      </c>
      <c r="C2508" s="87" t="s">
        <v>7476</v>
      </c>
      <c r="D2508" s="87" t="s">
        <v>87</v>
      </c>
      <c r="E2508" s="87" t="s">
        <v>88</v>
      </c>
      <c r="F2508" s="87" t="s">
        <v>379</v>
      </c>
      <c r="G2508" s="93"/>
      <c r="H2508" s="93"/>
      <c r="I2508" s="87" t="s">
        <v>58</v>
      </c>
      <c r="J2508" s="87" t="s">
        <v>7477</v>
      </c>
      <c r="K2508" s="90">
        <v>0.0</v>
      </c>
      <c r="L2508" s="92"/>
      <c r="M2508" s="93"/>
      <c r="N2508" s="87" t="s">
        <v>1772</v>
      </c>
      <c r="O2508" s="87" t="s">
        <v>377</v>
      </c>
      <c r="P2508" s="87" t="s">
        <v>372</v>
      </c>
    </row>
    <row r="2509" ht="15.75" customHeight="1">
      <c r="A2509" s="87" t="s">
        <v>7478</v>
      </c>
      <c r="B2509" s="88">
        <v>1.22E18</v>
      </c>
      <c r="C2509" s="87" t="s">
        <v>7479</v>
      </c>
      <c r="D2509" s="87" t="s">
        <v>262</v>
      </c>
      <c r="E2509" s="87" t="s">
        <v>263</v>
      </c>
      <c r="F2509" s="87" t="s">
        <v>415</v>
      </c>
      <c r="G2509" s="93"/>
      <c r="H2509" s="93"/>
      <c r="I2509" s="87" t="s">
        <v>58</v>
      </c>
      <c r="J2509" s="87" t="s">
        <v>7480</v>
      </c>
      <c r="K2509" s="90">
        <v>1.0</v>
      </c>
      <c r="L2509" s="92"/>
      <c r="M2509" s="93"/>
      <c r="N2509" s="87" t="s">
        <v>7481</v>
      </c>
      <c r="O2509" s="87" t="s">
        <v>377</v>
      </c>
      <c r="P2509" s="87" t="s">
        <v>372</v>
      </c>
    </row>
    <row r="2510" ht="15.75" customHeight="1">
      <c r="A2510" s="87" t="s">
        <v>7482</v>
      </c>
      <c r="B2510" s="88">
        <v>1.22E18</v>
      </c>
      <c r="C2510" s="87" t="s">
        <v>7483</v>
      </c>
      <c r="D2510" s="87" t="s">
        <v>262</v>
      </c>
      <c r="E2510" s="87" t="s">
        <v>263</v>
      </c>
      <c r="F2510" s="87" t="s">
        <v>415</v>
      </c>
      <c r="G2510" s="93"/>
      <c r="H2510" s="93"/>
      <c r="I2510" s="87" t="s">
        <v>58</v>
      </c>
      <c r="J2510" s="87" t="s">
        <v>7484</v>
      </c>
      <c r="K2510" s="90">
        <v>1.0</v>
      </c>
      <c r="L2510" s="92"/>
      <c r="M2510" s="93"/>
      <c r="N2510" s="87" t="s">
        <v>7481</v>
      </c>
      <c r="O2510" s="87" t="s">
        <v>377</v>
      </c>
      <c r="P2510" s="87" t="s">
        <v>372</v>
      </c>
    </row>
    <row r="2511" ht="15.75" customHeight="1">
      <c r="A2511" s="87" t="s">
        <v>7485</v>
      </c>
      <c r="B2511" s="88">
        <v>1.22E18</v>
      </c>
      <c r="C2511" s="87" t="s">
        <v>7486</v>
      </c>
      <c r="D2511" s="87" t="s">
        <v>56</v>
      </c>
      <c r="E2511" s="87" t="s">
        <v>102</v>
      </c>
      <c r="F2511" s="87" t="s">
        <v>1763</v>
      </c>
      <c r="I2511" s="93"/>
      <c r="J2511" s="87" t="s">
        <v>2852</v>
      </c>
      <c r="K2511" s="90">
        <v>0.0</v>
      </c>
      <c r="L2511" s="92"/>
      <c r="M2511" s="93"/>
      <c r="N2511" s="93"/>
      <c r="O2511" s="87" t="s">
        <v>377</v>
      </c>
      <c r="P2511" s="87" t="s">
        <v>372</v>
      </c>
    </row>
    <row r="2512" ht="15.75" customHeight="1">
      <c r="A2512" s="87" t="s">
        <v>7487</v>
      </c>
      <c r="B2512" s="88">
        <v>1.22E18</v>
      </c>
      <c r="C2512" s="87" t="s">
        <v>7488</v>
      </c>
      <c r="D2512" s="87" t="s">
        <v>56</v>
      </c>
      <c r="E2512" s="87" t="s">
        <v>102</v>
      </c>
      <c r="F2512" s="87" t="s">
        <v>1763</v>
      </c>
      <c r="I2512" s="93"/>
      <c r="J2512" s="87" t="s">
        <v>3738</v>
      </c>
      <c r="K2512" s="90">
        <v>0.0</v>
      </c>
      <c r="L2512" s="92"/>
      <c r="M2512" s="93"/>
      <c r="N2512" s="93"/>
      <c r="O2512" s="87" t="s">
        <v>377</v>
      </c>
      <c r="P2512" s="87" t="s">
        <v>372</v>
      </c>
    </row>
    <row r="2513" ht="15.75" customHeight="1">
      <c r="A2513" s="87" t="s">
        <v>7489</v>
      </c>
      <c r="B2513" s="88">
        <v>1.22E18</v>
      </c>
      <c r="C2513" s="87" t="s">
        <v>7490</v>
      </c>
      <c r="D2513" s="87" t="s">
        <v>262</v>
      </c>
      <c r="E2513" s="87" t="s">
        <v>263</v>
      </c>
      <c r="F2513" s="87" t="s">
        <v>415</v>
      </c>
      <c r="G2513" s="93"/>
      <c r="H2513" s="93"/>
      <c r="I2513" s="87" t="s">
        <v>58</v>
      </c>
      <c r="J2513" s="87" t="s">
        <v>7491</v>
      </c>
      <c r="K2513" s="90">
        <v>0.0</v>
      </c>
      <c r="L2513" s="92"/>
      <c r="M2513" s="93"/>
      <c r="N2513" s="87" t="s">
        <v>5055</v>
      </c>
      <c r="O2513" s="87" t="s">
        <v>377</v>
      </c>
      <c r="P2513" s="87" t="s">
        <v>372</v>
      </c>
    </row>
    <row r="2514" ht="15.75" customHeight="1">
      <c r="A2514" s="87" t="s">
        <v>7492</v>
      </c>
      <c r="B2514" s="88">
        <v>1.22E18</v>
      </c>
      <c r="C2514" s="87" t="s">
        <v>7493</v>
      </c>
      <c r="D2514" s="87" t="s">
        <v>262</v>
      </c>
      <c r="E2514" s="87" t="s">
        <v>263</v>
      </c>
      <c r="F2514" s="87" t="s">
        <v>415</v>
      </c>
      <c r="G2514" s="93"/>
      <c r="H2514" s="93"/>
      <c r="I2514" s="87" t="s">
        <v>58</v>
      </c>
      <c r="J2514" s="87" t="s">
        <v>7494</v>
      </c>
      <c r="K2514" s="90">
        <v>1.0</v>
      </c>
      <c r="L2514" s="92"/>
      <c r="M2514" s="93"/>
      <c r="N2514" s="87" t="s">
        <v>7495</v>
      </c>
      <c r="O2514" s="87" t="s">
        <v>377</v>
      </c>
      <c r="P2514" s="87" t="s">
        <v>372</v>
      </c>
    </row>
    <row r="2515" ht="15.75" customHeight="1">
      <c r="A2515" s="87" t="s">
        <v>7496</v>
      </c>
      <c r="B2515" s="88">
        <v>1.22E18</v>
      </c>
      <c r="C2515" s="87" t="s">
        <v>7497</v>
      </c>
      <c r="D2515" s="87" t="s">
        <v>87</v>
      </c>
      <c r="E2515" s="87" t="s">
        <v>88</v>
      </c>
      <c r="F2515" s="87" t="s">
        <v>373</v>
      </c>
      <c r="H2515" s="93"/>
      <c r="I2515" s="87" t="s">
        <v>315</v>
      </c>
      <c r="J2515" s="87" t="s">
        <v>7498</v>
      </c>
      <c r="K2515" s="90">
        <v>100000.0</v>
      </c>
      <c r="L2515" s="92"/>
      <c r="M2515" s="93"/>
      <c r="N2515" s="87" t="s">
        <v>390</v>
      </c>
      <c r="O2515" s="87" t="s">
        <v>377</v>
      </c>
      <c r="P2515" s="87" t="s">
        <v>372</v>
      </c>
    </row>
    <row r="2516" ht="15.75" customHeight="1">
      <c r="A2516" s="87" t="s">
        <v>7499</v>
      </c>
      <c r="B2516" s="88">
        <v>1.22E18</v>
      </c>
      <c r="C2516" s="87" t="s">
        <v>7500</v>
      </c>
      <c r="D2516" s="87" t="s">
        <v>87</v>
      </c>
      <c r="E2516" s="87" t="s">
        <v>88</v>
      </c>
      <c r="F2516" s="87" t="s">
        <v>373</v>
      </c>
      <c r="H2516" s="93"/>
      <c r="I2516" s="87" t="s">
        <v>340</v>
      </c>
      <c r="J2516" s="87" t="s">
        <v>7501</v>
      </c>
      <c r="K2516" s="90">
        <v>20000.0</v>
      </c>
      <c r="L2516" s="92"/>
      <c r="M2516" s="93"/>
      <c r="N2516" s="87" t="s">
        <v>390</v>
      </c>
      <c r="O2516" s="87" t="s">
        <v>377</v>
      </c>
      <c r="P2516" s="87" t="s">
        <v>372</v>
      </c>
    </row>
    <row r="2517" ht="15.75" customHeight="1">
      <c r="A2517" s="87" t="s">
        <v>7502</v>
      </c>
      <c r="B2517" s="88">
        <v>1.22E18</v>
      </c>
      <c r="C2517" s="87" t="s">
        <v>7503</v>
      </c>
      <c r="D2517" s="87" t="s">
        <v>56</v>
      </c>
      <c r="E2517" s="87" t="s">
        <v>102</v>
      </c>
      <c r="F2517" s="87" t="s">
        <v>1763</v>
      </c>
      <c r="I2517" s="93"/>
      <c r="J2517" s="87" t="s">
        <v>7504</v>
      </c>
      <c r="K2517" s="90">
        <v>0.0</v>
      </c>
      <c r="L2517" s="92"/>
      <c r="M2517" s="93"/>
      <c r="N2517" s="87" t="s">
        <v>5018</v>
      </c>
      <c r="O2517" s="87" t="s">
        <v>377</v>
      </c>
      <c r="P2517" s="87" t="s">
        <v>372</v>
      </c>
    </row>
    <row r="2518" ht="15.75" customHeight="1">
      <c r="A2518" s="87" t="s">
        <v>7505</v>
      </c>
      <c r="B2518" s="88">
        <v>1.22E18</v>
      </c>
      <c r="C2518" s="87" t="s">
        <v>7506</v>
      </c>
      <c r="D2518" s="87" t="s">
        <v>87</v>
      </c>
      <c r="E2518" s="87" t="s">
        <v>228</v>
      </c>
      <c r="F2518" s="87" t="s">
        <v>373</v>
      </c>
      <c r="H2518" s="93"/>
      <c r="I2518" s="87" t="s">
        <v>340</v>
      </c>
      <c r="J2518" s="87" t="s">
        <v>405</v>
      </c>
      <c r="K2518" s="90">
        <v>0.0</v>
      </c>
      <c r="L2518" s="92"/>
      <c r="M2518" s="93"/>
      <c r="N2518" s="87" t="s">
        <v>6725</v>
      </c>
      <c r="O2518" s="87" t="s">
        <v>377</v>
      </c>
      <c r="P2518" s="87" t="s">
        <v>372</v>
      </c>
    </row>
    <row r="2519" ht="15.75" customHeight="1">
      <c r="A2519" s="87" t="s">
        <v>7507</v>
      </c>
      <c r="B2519" s="88">
        <v>1.22E18</v>
      </c>
      <c r="C2519" s="87" t="s">
        <v>7508</v>
      </c>
      <c r="D2519" s="87" t="s">
        <v>87</v>
      </c>
      <c r="E2519" s="87" t="s">
        <v>228</v>
      </c>
      <c r="F2519" s="87" t="s">
        <v>373</v>
      </c>
      <c r="H2519" s="93"/>
      <c r="I2519" s="87" t="s">
        <v>340</v>
      </c>
      <c r="J2519" s="87" t="s">
        <v>7509</v>
      </c>
      <c r="K2519" s="90">
        <v>900.0</v>
      </c>
      <c r="L2519" s="92"/>
      <c r="M2519" s="93"/>
      <c r="N2519" s="87" t="s">
        <v>4517</v>
      </c>
      <c r="O2519" s="87" t="s">
        <v>377</v>
      </c>
      <c r="P2519" s="87" t="s">
        <v>372</v>
      </c>
    </row>
    <row r="2520" ht="15.75" customHeight="1">
      <c r="A2520" s="87" t="s">
        <v>7510</v>
      </c>
      <c r="B2520" s="88">
        <v>1.22E18</v>
      </c>
      <c r="C2520" s="87" t="s">
        <v>7511</v>
      </c>
      <c r="D2520" s="87" t="s">
        <v>87</v>
      </c>
      <c r="E2520" s="87" t="s">
        <v>228</v>
      </c>
      <c r="F2520" s="87" t="s">
        <v>373</v>
      </c>
      <c r="H2520" s="93"/>
      <c r="I2520" s="87" t="s">
        <v>340</v>
      </c>
      <c r="J2520" s="87" t="s">
        <v>7509</v>
      </c>
      <c r="K2520" s="90">
        <v>900.0</v>
      </c>
      <c r="L2520" s="92"/>
      <c r="M2520" s="93"/>
      <c r="N2520" s="87" t="s">
        <v>4517</v>
      </c>
      <c r="O2520" s="87" t="s">
        <v>377</v>
      </c>
      <c r="P2520" s="87" t="s">
        <v>372</v>
      </c>
    </row>
    <row r="2521" ht="15.75" customHeight="1">
      <c r="A2521" s="87" t="s">
        <v>7512</v>
      </c>
      <c r="B2521" s="88">
        <v>1.22E18</v>
      </c>
      <c r="C2521" s="87" t="s">
        <v>7513</v>
      </c>
      <c r="D2521" s="87" t="s">
        <v>87</v>
      </c>
      <c r="E2521" s="87" t="s">
        <v>228</v>
      </c>
      <c r="F2521" s="87" t="s">
        <v>373</v>
      </c>
      <c r="H2521" s="93"/>
      <c r="I2521" s="87" t="s">
        <v>340</v>
      </c>
      <c r="J2521" s="87" t="s">
        <v>7514</v>
      </c>
      <c r="K2521" s="90">
        <v>85.0</v>
      </c>
      <c r="L2521" s="92"/>
      <c r="M2521" s="93"/>
      <c r="N2521" s="87" t="s">
        <v>4517</v>
      </c>
      <c r="O2521" s="87" t="s">
        <v>377</v>
      </c>
      <c r="P2521" s="87" t="s">
        <v>372</v>
      </c>
    </row>
    <row r="2522" ht="15.75" customHeight="1">
      <c r="A2522" s="87" t="s">
        <v>7515</v>
      </c>
      <c r="B2522" s="88">
        <v>1.22E18</v>
      </c>
      <c r="C2522" s="87" t="s">
        <v>7516</v>
      </c>
      <c r="D2522" s="87" t="s">
        <v>87</v>
      </c>
      <c r="E2522" s="87" t="s">
        <v>228</v>
      </c>
      <c r="F2522" s="87" t="s">
        <v>373</v>
      </c>
      <c r="H2522" s="93"/>
      <c r="I2522" s="87" t="s">
        <v>340</v>
      </c>
      <c r="J2522" s="87" t="s">
        <v>7509</v>
      </c>
      <c r="K2522" s="90">
        <v>1000.0</v>
      </c>
      <c r="L2522" s="92"/>
      <c r="M2522" s="93"/>
      <c r="N2522" s="87" t="s">
        <v>4517</v>
      </c>
      <c r="O2522" s="87" t="s">
        <v>377</v>
      </c>
      <c r="P2522" s="87" t="s">
        <v>372</v>
      </c>
    </row>
    <row r="2523" ht="15.75" customHeight="1">
      <c r="A2523" s="87" t="s">
        <v>7517</v>
      </c>
      <c r="B2523" s="88">
        <v>1.22E18</v>
      </c>
      <c r="C2523" s="87" t="s">
        <v>7518</v>
      </c>
      <c r="D2523" s="87" t="s">
        <v>87</v>
      </c>
      <c r="E2523" s="87" t="s">
        <v>228</v>
      </c>
      <c r="F2523" s="87" t="s">
        <v>373</v>
      </c>
      <c r="H2523" s="93"/>
      <c r="I2523" s="87" t="s">
        <v>340</v>
      </c>
      <c r="J2523" s="87" t="s">
        <v>7509</v>
      </c>
      <c r="K2523" s="90">
        <v>1000.0</v>
      </c>
      <c r="L2523" s="92"/>
      <c r="M2523" s="93"/>
      <c r="N2523" s="87" t="s">
        <v>4517</v>
      </c>
      <c r="O2523" s="87" t="s">
        <v>377</v>
      </c>
      <c r="P2523" s="87" t="s">
        <v>372</v>
      </c>
    </row>
    <row r="2524" ht="15.75" customHeight="1">
      <c r="A2524" s="87" t="s">
        <v>7519</v>
      </c>
      <c r="B2524" s="88">
        <v>1.22E18</v>
      </c>
      <c r="C2524" s="87" t="s">
        <v>7520</v>
      </c>
      <c r="D2524" s="87" t="s">
        <v>87</v>
      </c>
      <c r="E2524" s="87" t="s">
        <v>228</v>
      </c>
      <c r="F2524" s="87" t="s">
        <v>373</v>
      </c>
      <c r="H2524" s="93"/>
      <c r="I2524" s="87" t="s">
        <v>340</v>
      </c>
      <c r="J2524" s="87" t="s">
        <v>7521</v>
      </c>
      <c r="K2524" s="90">
        <v>85.0</v>
      </c>
      <c r="L2524" s="92"/>
      <c r="M2524" s="93"/>
      <c r="N2524" s="87" t="s">
        <v>4517</v>
      </c>
      <c r="O2524" s="87" t="s">
        <v>377</v>
      </c>
      <c r="P2524" s="87" t="s">
        <v>372</v>
      </c>
    </row>
    <row r="2525" ht="15.75" customHeight="1">
      <c r="A2525" s="87" t="s">
        <v>7522</v>
      </c>
      <c r="B2525" s="88">
        <v>1.22E18</v>
      </c>
      <c r="C2525" s="87" t="s">
        <v>7523</v>
      </c>
      <c r="D2525" s="87" t="s">
        <v>87</v>
      </c>
      <c r="E2525" s="87" t="s">
        <v>228</v>
      </c>
      <c r="F2525" s="87" t="s">
        <v>373</v>
      </c>
      <c r="H2525" s="93"/>
      <c r="I2525" s="87" t="s">
        <v>340</v>
      </c>
      <c r="J2525" s="87" t="s">
        <v>7509</v>
      </c>
      <c r="K2525" s="90">
        <v>800.0</v>
      </c>
      <c r="L2525" s="92"/>
      <c r="M2525" s="93"/>
      <c r="N2525" s="87" t="s">
        <v>4517</v>
      </c>
      <c r="O2525" s="87" t="s">
        <v>377</v>
      </c>
      <c r="P2525" s="87" t="s">
        <v>372</v>
      </c>
    </row>
    <row r="2526" ht="15.75" customHeight="1">
      <c r="A2526" s="87" t="s">
        <v>7524</v>
      </c>
      <c r="B2526" s="88">
        <v>1.22E18</v>
      </c>
      <c r="C2526" s="87" t="s">
        <v>7525</v>
      </c>
      <c r="D2526" s="87" t="s">
        <v>87</v>
      </c>
      <c r="E2526" s="87" t="s">
        <v>228</v>
      </c>
      <c r="F2526" s="87" t="s">
        <v>373</v>
      </c>
      <c r="H2526" s="93"/>
      <c r="I2526" s="87" t="s">
        <v>340</v>
      </c>
      <c r="J2526" s="87" t="s">
        <v>7509</v>
      </c>
      <c r="K2526" s="90">
        <v>700.0</v>
      </c>
      <c r="L2526" s="92"/>
      <c r="M2526" s="93"/>
      <c r="N2526" s="87" t="s">
        <v>4517</v>
      </c>
      <c r="O2526" s="87" t="s">
        <v>377</v>
      </c>
      <c r="P2526" s="87" t="s">
        <v>372</v>
      </c>
    </row>
    <row r="2527" ht="15.75" customHeight="1">
      <c r="A2527" s="87" t="s">
        <v>7526</v>
      </c>
      <c r="B2527" s="88">
        <v>1.22E18</v>
      </c>
      <c r="C2527" s="87" t="s">
        <v>7527</v>
      </c>
      <c r="D2527" s="87" t="s">
        <v>87</v>
      </c>
      <c r="E2527" s="87" t="s">
        <v>88</v>
      </c>
      <c r="F2527" s="87" t="s">
        <v>373</v>
      </c>
      <c r="H2527" s="93"/>
      <c r="I2527" s="87" t="s">
        <v>340</v>
      </c>
      <c r="J2527" s="87" t="s">
        <v>7521</v>
      </c>
      <c r="K2527" s="90">
        <v>85.0</v>
      </c>
      <c r="L2527" s="92"/>
      <c r="M2527" s="93"/>
      <c r="N2527" s="87" t="s">
        <v>4517</v>
      </c>
      <c r="O2527" s="87" t="s">
        <v>377</v>
      </c>
      <c r="P2527" s="87" t="s">
        <v>372</v>
      </c>
    </row>
    <row r="2528" ht="15.75" customHeight="1">
      <c r="A2528" s="87" t="s">
        <v>7528</v>
      </c>
      <c r="B2528" s="88">
        <v>1.22E18</v>
      </c>
      <c r="C2528" s="87" t="s">
        <v>7529</v>
      </c>
      <c r="D2528" s="87" t="s">
        <v>87</v>
      </c>
      <c r="E2528" s="87" t="s">
        <v>228</v>
      </c>
      <c r="F2528" s="87" t="s">
        <v>373</v>
      </c>
      <c r="H2528" s="93"/>
      <c r="I2528" s="87" t="s">
        <v>340</v>
      </c>
      <c r="J2528" s="87" t="s">
        <v>7509</v>
      </c>
      <c r="K2528" s="90">
        <v>1000.0</v>
      </c>
      <c r="L2528" s="92"/>
      <c r="M2528" s="93"/>
      <c r="N2528" s="87" t="s">
        <v>4517</v>
      </c>
      <c r="O2528" s="87" t="s">
        <v>377</v>
      </c>
      <c r="P2528" s="87" t="s">
        <v>372</v>
      </c>
    </row>
    <row r="2529" ht="15.75" customHeight="1">
      <c r="A2529" s="87" t="s">
        <v>7530</v>
      </c>
      <c r="B2529" s="88">
        <v>1.22E18</v>
      </c>
      <c r="C2529" s="87" t="s">
        <v>7531</v>
      </c>
      <c r="D2529" s="87" t="s">
        <v>87</v>
      </c>
      <c r="E2529" s="87" t="s">
        <v>228</v>
      </c>
      <c r="F2529" s="87" t="s">
        <v>373</v>
      </c>
      <c r="H2529" s="93"/>
      <c r="I2529" s="87" t="s">
        <v>340</v>
      </c>
      <c r="J2529" s="87" t="s">
        <v>7509</v>
      </c>
      <c r="K2529" s="90">
        <v>1000.0</v>
      </c>
      <c r="L2529" s="92"/>
      <c r="M2529" s="93"/>
      <c r="N2529" s="87" t="s">
        <v>4517</v>
      </c>
      <c r="O2529" s="87" t="s">
        <v>377</v>
      </c>
      <c r="P2529" s="87" t="s">
        <v>372</v>
      </c>
    </row>
    <row r="2530" ht="15.75" customHeight="1">
      <c r="A2530" s="87" t="s">
        <v>7532</v>
      </c>
      <c r="B2530" s="88">
        <v>1.22E18</v>
      </c>
      <c r="C2530" s="87" t="s">
        <v>7533</v>
      </c>
      <c r="D2530" s="87" t="s">
        <v>87</v>
      </c>
      <c r="E2530" s="87" t="s">
        <v>228</v>
      </c>
      <c r="F2530" s="87" t="s">
        <v>373</v>
      </c>
      <c r="H2530" s="93"/>
      <c r="I2530" s="87" t="s">
        <v>340</v>
      </c>
      <c r="J2530" s="87" t="s">
        <v>7521</v>
      </c>
      <c r="K2530" s="90">
        <v>70.0</v>
      </c>
      <c r="L2530" s="92"/>
      <c r="M2530" s="93"/>
      <c r="N2530" s="87" t="s">
        <v>4517</v>
      </c>
      <c r="O2530" s="87" t="s">
        <v>377</v>
      </c>
      <c r="P2530" s="87" t="s">
        <v>372</v>
      </c>
    </row>
    <row r="2531" ht="15.75" customHeight="1">
      <c r="A2531" s="87" t="s">
        <v>7534</v>
      </c>
      <c r="B2531" s="88">
        <v>1.22E18</v>
      </c>
      <c r="C2531" s="87" t="s">
        <v>7535</v>
      </c>
      <c r="D2531" s="87" t="s">
        <v>87</v>
      </c>
      <c r="E2531" s="87" t="s">
        <v>228</v>
      </c>
      <c r="F2531" s="87" t="s">
        <v>373</v>
      </c>
      <c r="H2531" s="93"/>
      <c r="I2531" s="87" t="s">
        <v>340</v>
      </c>
      <c r="J2531" s="87" t="s">
        <v>4001</v>
      </c>
      <c r="K2531" s="90">
        <v>850.0</v>
      </c>
      <c r="L2531" s="92"/>
      <c r="M2531" s="93"/>
      <c r="N2531" s="87" t="s">
        <v>4517</v>
      </c>
      <c r="O2531" s="87" t="s">
        <v>377</v>
      </c>
      <c r="P2531" s="87" t="s">
        <v>372</v>
      </c>
    </row>
    <row r="2532" ht="15.75" customHeight="1">
      <c r="A2532" s="87" t="s">
        <v>7536</v>
      </c>
      <c r="B2532" s="88">
        <v>1.22E18</v>
      </c>
      <c r="C2532" s="87" t="s">
        <v>7537</v>
      </c>
      <c r="D2532" s="87" t="s">
        <v>87</v>
      </c>
      <c r="E2532" s="87" t="s">
        <v>228</v>
      </c>
      <c r="F2532" s="87" t="s">
        <v>373</v>
      </c>
      <c r="H2532" s="93"/>
      <c r="I2532" s="87" t="s">
        <v>340</v>
      </c>
      <c r="J2532" s="87" t="s">
        <v>4001</v>
      </c>
      <c r="K2532" s="90">
        <v>850.0</v>
      </c>
      <c r="L2532" s="92"/>
      <c r="M2532" s="93"/>
      <c r="N2532" s="87" t="s">
        <v>4517</v>
      </c>
      <c r="O2532" s="87" t="s">
        <v>377</v>
      </c>
      <c r="P2532" s="87" t="s">
        <v>372</v>
      </c>
    </row>
    <row r="2533" ht="15.75" customHeight="1">
      <c r="A2533" s="87" t="s">
        <v>7538</v>
      </c>
      <c r="B2533" s="88">
        <v>1.22E18</v>
      </c>
      <c r="C2533" s="87" t="s">
        <v>7539</v>
      </c>
      <c r="D2533" s="87" t="s">
        <v>87</v>
      </c>
      <c r="E2533" s="87" t="s">
        <v>88</v>
      </c>
      <c r="F2533" s="87" t="s">
        <v>373</v>
      </c>
      <c r="H2533" s="93"/>
      <c r="I2533" s="87" t="s">
        <v>340</v>
      </c>
      <c r="J2533" s="87" t="s">
        <v>7521</v>
      </c>
      <c r="K2533" s="90">
        <v>100.0</v>
      </c>
      <c r="L2533" s="92"/>
      <c r="M2533" s="93"/>
      <c r="N2533" s="87" t="s">
        <v>4517</v>
      </c>
      <c r="O2533" s="87" t="s">
        <v>377</v>
      </c>
      <c r="P2533" s="87" t="s">
        <v>372</v>
      </c>
    </row>
    <row r="2534" ht="15.75" customHeight="1">
      <c r="A2534" s="87" t="s">
        <v>7540</v>
      </c>
      <c r="B2534" s="88">
        <v>1.22E18</v>
      </c>
      <c r="C2534" s="87" t="s">
        <v>7541</v>
      </c>
      <c r="D2534" s="87" t="s">
        <v>56</v>
      </c>
      <c r="E2534" s="87" t="s">
        <v>102</v>
      </c>
      <c r="F2534" s="87" t="s">
        <v>1763</v>
      </c>
      <c r="I2534" s="93"/>
      <c r="J2534" s="87" t="s">
        <v>7542</v>
      </c>
      <c r="K2534" s="90">
        <v>8000.0</v>
      </c>
      <c r="L2534" s="92"/>
      <c r="M2534" s="93"/>
      <c r="N2534" s="87" t="s">
        <v>7369</v>
      </c>
      <c r="O2534" s="87" t="s">
        <v>377</v>
      </c>
      <c r="P2534" s="87" t="s">
        <v>372</v>
      </c>
    </row>
    <row r="2535" ht="15.75" customHeight="1">
      <c r="A2535" s="87" t="s">
        <v>7543</v>
      </c>
      <c r="B2535" s="88">
        <v>1.22E18</v>
      </c>
      <c r="C2535" s="87" t="s">
        <v>7544</v>
      </c>
      <c r="D2535" s="87" t="s">
        <v>56</v>
      </c>
      <c r="E2535" s="87" t="s">
        <v>102</v>
      </c>
      <c r="F2535" s="87" t="s">
        <v>1763</v>
      </c>
      <c r="I2535" s="93"/>
      <c r="J2535" s="87" t="s">
        <v>7542</v>
      </c>
      <c r="K2535" s="90">
        <v>0.0</v>
      </c>
      <c r="L2535" s="92"/>
      <c r="M2535" s="93"/>
      <c r="N2535" s="87" t="s">
        <v>7369</v>
      </c>
      <c r="O2535" s="87" t="s">
        <v>377</v>
      </c>
      <c r="P2535" s="87" t="s">
        <v>372</v>
      </c>
    </row>
    <row r="2536" ht="15.75" customHeight="1">
      <c r="A2536" s="87" t="s">
        <v>7545</v>
      </c>
      <c r="B2536" s="88">
        <v>1.22E18</v>
      </c>
      <c r="C2536" s="87" t="s">
        <v>7546</v>
      </c>
      <c r="D2536" s="87" t="s">
        <v>56</v>
      </c>
      <c r="E2536" s="87" t="s">
        <v>102</v>
      </c>
      <c r="F2536" s="87" t="s">
        <v>1763</v>
      </c>
      <c r="I2536" s="93"/>
      <c r="J2536" s="87" t="s">
        <v>7337</v>
      </c>
      <c r="K2536" s="90">
        <v>0.0</v>
      </c>
      <c r="L2536" s="92"/>
      <c r="M2536" s="93"/>
      <c r="N2536" s="87" t="s">
        <v>7369</v>
      </c>
      <c r="O2536" s="87" t="s">
        <v>377</v>
      </c>
      <c r="P2536" s="87" t="s">
        <v>372</v>
      </c>
    </row>
    <row r="2537" ht="15.75" customHeight="1">
      <c r="A2537" s="87" t="s">
        <v>7547</v>
      </c>
      <c r="B2537" s="88">
        <v>1.22E18</v>
      </c>
      <c r="C2537" s="87" t="s">
        <v>7548</v>
      </c>
      <c r="D2537" s="87" t="s">
        <v>56</v>
      </c>
      <c r="E2537" s="87" t="s">
        <v>102</v>
      </c>
      <c r="F2537" s="87" t="s">
        <v>1763</v>
      </c>
      <c r="I2537" s="93"/>
      <c r="J2537" s="87" t="s">
        <v>7337</v>
      </c>
      <c r="K2537" s="90">
        <v>0.0</v>
      </c>
      <c r="L2537" s="92"/>
      <c r="M2537" s="93"/>
      <c r="N2537" s="87" t="s">
        <v>7369</v>
      </c>
      <c r="O2537" s="87" t="s">
        <v>377</v>
      </c>
      <c r="P2537" s="87" t="s">
        <v>372</v>
      </c>
    </row>
    <row r="2538" ht="15.75" customHeight="1">
      <c r="A2538" s="87" t="s">
        <v>7549</v>
      </c>
      <c r="B2538" s="88">
        <v>1.22E18</v>
      </c>
      <c r="C2538" s="87" t="s">
        <v>7550</v>
      </c>
      <c r="D2538" s="87" t="s">
        <v>56</v>
      </c>
      <c r="E2538" s="87" t="s">
        <v>102</v>
      </c>
      <c r="F2538" s="87" t="s">
        <v>1763</v>
      </c>
      <c r="I2538" s="93"/>
      <c r="J2538" s="87" t="s">
        <v>7551</v>
      </c>
      <c r="K2538" s="90">
        <v>0.0</v>
      </c>
      <c r="L2538" s="92"/>
      <c r="M2538" s="93"/>
      <c r="N2538" s="87" t="s">
        <v>7369</v>
      </c>
      <c r="O2538" s="87" t="s">
        <v>377</v>
      </c>
      <c r="P2538" s="87" t="s">
        <v>372</v>
      </c>
    </row>
    <row r="2539" ht="15.75" customHeight="1">
      <c r="A2539" s="87" t="s">
        <v>7552</v>
      </c>
      <c r="B2539" s="88">
        <v>1.22E18</v>
      </c>
      <c r="C2539" s="87" t="s">
        <v>7553</v>
      </c>
      <c r="D2539" s="87" t="s">
        <v>87</v>
      </c>
      <c r="E2539" s="87" t="s">
        <v>88</v>
      </c>
      <c r="F2539" s="87" t="s">
        <v>379</v>
      </c>
      <c r="G2539" s="93"/>
      <c r="H2539" s="93"/>
      <c r="I2539" s="87" t="s">
        <v>58</v>
      </c>
      <c r="J2539" s="87" t="s">
        <v>7554</v>
      </c>
      <c r="K2539" s="90">
        <v>0.0</v>
      </c>
      <c r="L2539" s="92"/>
      <c r="M2539" s="93"/>
      <c r="N2539" s="87" t="s">
        <v>7555</v>
      </c>
      <c r="O2539" s="87" t="s">
        <v>377</v>
      </c>
      <c r="P2539" s="87" t="s">
        <v>372</v>
      </c>
    </row>
    <row r="2540" ht="15.75" customHeight="1">
      <c r="A2540" s="87" t="s">
        <v>7556</v>
      </c>
      <c r="B2540" s="88">
        <v>1.22E18</v>
      </c>
      <c r="C2540" s="87" t="s">
        <v>7557</v>
      </c>
      <c r="D2540" s="87" t="s">
        <v>87</v>
      </c>
      <c r="E2540" s="87" t="s">
        <v>88</v>
      </c>
      <c r="F2540" s="87" t="s">
        <v>379</v>
      </c>
      <c r="G2540" s="93"/>
      <c r="H2540" s="93"/>
      <c r="I2540" s="87" t="s">
        <v>58</v>
      </c>
      <c r="J2540" s="87" t="s">
        <v>7554</v>
      </c>
      <c r="K2540" s="90">
        <v>0.0</v>
      </c>
      <c r="L2540" s="92"/>
      <c r="M2540" s="93"/>
      <c r="N2540" s="87" t="s">
        <v>7555</v>
      </c>
      <c r="O2540" s="87" t="s">
        <v>377</v>
      </c>
      <c r="P2540" s="87" t="s">
        <v>372</v>
      </c>
    </row>
    <row r="2541" ht="15.75" customHeight="1">
      <c r="A2541" s="87" t="s">
        <v>7558</v>
      </c>
      <c r="B2541" s="88">
        <v>1.22E18</v>
      </c>
      <c r="C2541" s="87" t="s">
        <v>7559</v>
      </c>
      <c r="D2541" s="87" t="s">
        <v>262</v>
      </c>
      <c r="E2541" s="87" t="s">
        <v>263</v>
      </c>
      <c r="F2541" s="87" t="s">
        <v>415</v>
      </c>
      <c r="G2541" s="93"/>
      <c r="H2541" s="93"/>
      <c r="I2541" s="87" t="s">
        <v>58</v>
      </c>
      <c r="J2541" s="87" t="s">
        <v>7560</v>
      </c>
      <c r="K2541" s="90">
        <v>1.0</v>
      </c>
      <c r="L2541" s="92"/>
      <c r="M2541" s="93"/>
      <c r="N2541" s="87" t="s">
        <v>7561</v>
      </c>
      <c r="O2541" s="87" t="s">
        <v>377</v>
      </c>
      <c r="P2541" s="87" t="s">
        <v>372</v>
      </c>
    </row>
    <row r="2542" ht="15.75" customHeight="1">
      <c r="A2542" s="87" t="s">
        <v>7562</v>
      </c>
      <c r="B2542" s="88">
        <v>1.22E18</v>
      </c>
      <c r="C2542" s="87" t="s">
        <v>7563</v>
      </c>
      <c r="D2542" s="87" t="s">
        <v>262</v>
      </c>
      <c r="E2542" s="87" t="s">
        <v>263</v>
      </c>
      <c r="F2542" s="87" t="s">
        <v>415</v>
      </c>
      <c r="G2542" s="93"/>
      <c r="H2542" s="93"/>
      <c r="I2542" s="87" t="s">
        <v>58</v>
      </c>
      <c r="J2542" s="87" t="s">
        <v>2902</v>
      </c>
      <c r="K2542" s="90">
        <v>1.0</v>
      </c>
      <c r="L2542" s="92"/>
      <c r="M2542" s="93"/>
      <c r="N2542" s="87" t="s">
        <v>7564</v>
      </c>
      <c r="O2542" s="87" t="s">
        <v>377</v>
      </c>
      <c r="P2542" s="87" t="s">
        <v>372</v>
      </c>
    </row>
    <row r="2543" ht="15.75" customHeight="1">
      <c r="A2543" s="87" t="s">
        <v>7565</v>
      </c>
      <c r="B2543" s="88">
        <v>1.22E18</v>
      </c>
      <c r="C2543" s="87" t="s">
        <v>7566</v>
      </c>
      <c r="D2543" s="87" t="s">
        <v>87</v>
      </c>
      <c r="E2543" s="87" t="s">
        <v>88</v>
      </c>
      <c r="F2543" s="87" t="s">
        <v>373</v>
      </c>
      <c r="H2543" s="93"/>
      <c r="I2543" s="87" t="s">
        <v>495</v>
      </c>
      <c r="J2543" s="87" t="s">
        <v>2183</v>
      </c>
      <c r="K2543" s="90">
        <v>0.0</v>
      </c>
      <c r="L2543" s="92"/>
      <c r="M2543" s="93"/>
      <c r="N2543" s="87" t="s">
        <v>7564</v>
      </c>
      <c r="O2543" s="87" t="s">
        <v>377</v>
      </c>
      <c r="P2543" s="87" t="s">
        <v>372</v>
      </c>
    </row>
    <row r="2544" ht="15.75" customHeight="1">
      <c r="A2544" s="87" t="s">
        <v>7567</v>
      </c>
      <c r="B2544" s="88">
        <v>1.22E18</v>
      </c>
      <c r="C2544" s="87" t="s">
        <v>7568</v>
      </c>
      <c r="D2544" s="87" t="s">
        <v>87</v>
      </c>
      <c r="E2544" s="87" t="s">
        <v>88</v>
      </c>
      <c r="F2544" s="87" t="s">
        <v>373</v>
      </c>
      <c r="H2544" s="93"/>
      <c r="I2544" s="87" t="s">
        <v>495</v>
      </c>
      <c r="J2544" s="87" t="s">
        <v>824</v>
      </c>
      <c r="K2544" s="90">
        <v>0.0</v>
      </c>
      <c r="L2544" s="92"/>
      <c r="M2544" s="93"/>
      <c r="N2544" s="87" t="s">
        <v>7564</v>
      </c>
      <c r="O2544" s="87" t="s">
        <v>377</v>
      </c>
      <c r="P2544" s="87" t="s">
        <v>372</v>
      </c>
    </row>
    <row r="2545" ht="15.75" customHeight="1">
      <c r="A2545" s="87" t="s">
        <v>7569</v>
      </c>
      <c r="B2545" s="88">
        <v>1.22E18</v>
      </c>
      <c r="C2545" s="87" t="s">
        <v>7570</v>
      </c>
      <c r="D2545" s="87" t="s">
        <v>87</v>
      </c>
      <c r="E2545" s="87" t="s">
        <v>88</v>
      </c>
      <c r="F2545" s="87" t="s">
        <v>373</v>
      </c>
      <c r="H2545" s="93"/>
      <c r="I2545" s="87" t="s">
        <v>495</v>
      </c>
      <c r="J2545" s="87" t="s">
        <v>2101</v>
      </c>
      <c r="K2545" s="90">
        <v>0.0</v>
      </c>
      <c r="L2545" s="92"/>
      <c r="M2545" s="93"/>
      <c r="N2545" s="87" t="s">
        <v>7564</v>
      </c>
      <c r="O2545" s="87" t="s">
        <v>377</v>
      </c>
      <c r="P2545" s="87" t="s">
        <v>372</v>
      </c>
    </row>
    <row r="2546" ht="15.75" customHeight="1">
      <c r="A2546" s="87" t="s">
        <v>7571</v>
      </c>
      <c r="B2546" s="88">
        <v>1.22E18</v>
      </c>
      <c r="C2546" s="87" t="s">
        <v>7572</v>
      </c>
      <c r="D2546" s="87" t="s">
        <v>87</v>
      </c>
      <c r="E2546" s="87" t="s">
        <v>88</v>
      </c>
      <c r="F2546" s="87" t="s">
        <v>373</v>
      </c>
      <c r="H2546" s="93"/>
      <c r="I2546" s="87" t="s">
        <v>495</v>
      </c>
      <c r="J2546" s="87" t="s">
        <v>7573</v>
      </c>
      <c r="K2546" s="90">
        <v>0.0</v>
      </c>
      <c r="L2546" s="92"/>
      <c r="M2546" s="93"/>
      <c r="N2546" s="87" t="s">
        <v>7564</v>
      </c>
      <c r="O2546" s="87" t="s">
        <v>377</v>
      </c>
      <c r="P2546" s="87" t="s">
        <v>372</v>
      </c>
    </row>
    <row r="2547" ht="15.75" customHeight="1">
      <c r="A2547" s="87" t="s">
        <v>7574</v>
      </c>
      <c r="B2547" s="88">
        <v>1.22E18</v>
      </c>
      <c r="C2547" s="87" t="s">
        <v>7575</v>
      </c>
      <c r="D2547" s="87" t="s">
        <v>87</v>
      </c>
      <c r="E2547" s="87" t="s">
        <v>241</v>
      </c>
      <c r="F2547" s="87" t="s">
        <v>373</v>
      </c>
      <c r="H2547" s="93"/>
      <c r="I2547" s="87" t="s">
        <v>495</v>
      </c>
      <c r="J2547" s="87" t="s">
        <v>7576</v>
      </c>
      <c r="K2547" s="90">
        <v>0.0</v>
      </c>
      <c r="L2547" s="92"/>
      <c r="M2547" s="93"/>
      <c r="N2547" s="87" t="s">
        <v>7577</v>
      </c>
      <c r="O2547" s="87" t="s">
        <v>377</v>
      </c>
      <c r="P2547" s="87" t="s">
        <v>372</v>
      </c>
    </row>
    <row r="2548" ht="15.75" customHeight="1">
      <c r="A2548" s="87" t="s">
        <v>7578</v>
      </c>
      <c r="B2548" s="88">
        <v>1.22E18</v>
      </c>
      <c r="C2548" s="87" t="s">
        <v>7579</v>
      </c>
      <c r="D2548" s="87" t="s">
        <v>262</v>
      </c>
      <c r="E2548" s="87" t="s">
        <v>270</v>
      </c>
      <c r="F2548" s="87" t="s">
        <v>1749</v>
      </c>
      <c r="H2548" s="93"/>
      <c r="I2548" s="87" t="s">
        <v>58</v>
      </c>
      <c r="J2548" s="87" t="s">
        <v>7580</v>
      </c>
      <c r="K2548" s="90">
        <v>0.0</v>
      </c>
      <c r="L2548" s="92"/>
      <c r="M2548" s="93"/>
      <c r="N2548" s="87" t="s">
        <v>7385</v>
      </c>
      <c r="O2548" s="87" t="s">
        <v>377</v>
      </c>
      <c r="P2548" s="87" t="s">
        <v>372</v>
      </c>
    </row>
    <row r="2549" ht="15.75" customHeight="1">
      <c r="A2549" s="87" t="s">
        <v>7581</v>
      </c>
      <c r="B2549" s="88">
        <v>1.22E18</v>
      </c>
      <c r="C2549" s="87" t="s">
        <v>7582</v>
      </c>
      <c r="D2549" s="87" t="s">
        <v>262</v>
      </c>
      <c r="E2549" s="87" t="s">
        <v>270</v>
      </c>
      <c r="F2549" s="87" t="s">
        <v>1749</v>
      </c>
      <c r="H2549" s="93"/>
      <c r="I2549" s="87" t="s">
        <v>58</v>
      </c>
      <c r="J2549" s="87" t="s">
        <v>7583</v>
      </c>
      <c r="K2549" s="90">
        <v>0.0</v>
      </c>
      <c r="L2549" s="92"/>
      <c r="M2549" s="93"/>
      <c r="N2549" s="87" t="s">
        <v>7385</v>
      </c>
      <c r="O2549" s="87" t="s">
        <v>377</v>
      </c>
      <c r="P2549" s="87" t="s">
        <v>372</v>
      </c>
    </row>
    <row r="2550" ht="15.75" customHeight="1">
      <c r="A2550" s="87" t="s">
        <v>7584</v>
      </c>
      <c r="B2550" s="88">
        <v>1.22E18</v>
      </c>
      <c r="C2550" s="87" t="s">
        <v>7585</v>
      </c>
      <c r="D2550" s="87" t="s">
        <v>262</v>
      </c>
      <c r="E2550" s="87" t="s">
        <v>270</v>
      </c>
      <c r="F2550" s="87" t="s">
        <v>1749</v>
      </c>
      <c r="H2550" s="93"/>
      <c r="I2550" s="87" t="s">
        <v>58</v>
      </c>
      <c r="J2550" s="87" t="s">
        <v>7586</v>
      </c>
      <c r="K2550" s="90">
        <v>0.0</v>
      </c>
      <c r="L2550" s="92"/>
      <c r="M2550" s="93"/>
      <c r="N2550" s="87" t="s">
        <v>7385</v>
      </c>
      <c r="O2550" s="87" t="s">
        <v>377</v>
      </c>
      <c r="P2550" s="87" t="s">
        <v>372</v>
      </c>
    </row>
    <row r="2551" ht="15.75" customHeight="1">
      <c r="A2551" s="87" t="s">
        <v>7587</v>
      </c>
      <c r="B2551" s="88">
        <v>1.22E18</v>
      </c>
      <c r="C2551" s="87" t="s">
        <v>7588</v>
      </c>
      <c r="D2551" s="87" t="s">
        <v>262</v>
      </c>
      <c r="E2551" s="87" t="s">
        <v>267</v>
      </c>
      <c r="F2551" s="87" t="s">
        <v>1749</v>
      </c>
      <c r="H2551" s="93"/>
      <c r="I2551" s="87" t="s">
        <v>58</v>
      </c>
      <c r="J2551" s="87" t="s">
        <v>7589</v>
      </c>
      <c r="K2551" s="90">
        <v>0.0</v>
      </c>
      <c r="L2551" s="92"/>
      <c r="M2551" s="93"/>
      <c r="N2551" s="87" t="s">
        <v>7385</v>
      </c>
      <c r="O2551" s="87" t="s">
        <v>377</v>
      </c>
      <c r="P2551" s="87" t="s">
        <v>372</v>
      </c>
    </row>
    <row r="2552" ht="15.75" customHeight="1">
      <c r="A2552" s="87" t="s">
        <v>7590</v>
      </c>
      <c r="B2552" s="88">
        <v>1.22E18</v>
      </c>
      <c r="C2552" s="87" t="s">
        <v>7591</v>
      </c>
      <c r="D2552" s="87" t="s">
        <v>262</v>
      </c>
      <c r="E2552" s="87" t="s">
        <v>267</v>
      </c>
      <c r="F2552" s="87" t="s">
        <v>1749</v>
      </c>
      <c r="H2552" s="93"/>
      <c r="I2552" s="87" t="s">
        <v>58</v>
      </c>
      <c r="J2552" s="87" t="s">
        <v>7592</v>
      </c>
      <c r="K2552" s="90">
        <v>0.0</v>
      </c>
      <c r="L2552" s="92"/>
      <c r="M2552" s="93"/>
      <c r="N2552" s="87" t="s">
        <v>7385</v>
      </c>
      <c r="O2552" s="87" t="s">
        <v>377</v>
      </c>
      <c r="P2552" s="87" t="s">
        <v>372</v>
      </c>
    </row>
    <row r="2553" ht="15.75" customHeight="1">
      <c r="A2553" s="87" t="s">
        <v>7593</v>
      </c>
      <c r="B2553" s="88">
        <v>1.22E18</v>
      </c>
      <c r="C2553" s="87" t="s">
        <v>7594</v>
      </c>
      <c r="D2553" s="87" t="s">
        <v>56</v>
      </c>
      <c r="E2553" s="87" t="s">
        <v>248</v>
      </c>
      <c r="F2553" s="87" t="s">
        <v>2769</v>
      </c>
      <c r="G2553" s="93"/>
      <c r="H2553" s="93"/>
      <c r="I2553" s="87" t="s">
        <v>58</v>
      </c>
      <c r="J2553" s="87" t="s">
        <v>7595</v>
      </c>
      <c r="K2553" s="90">
        <v>0.0</v>
      </c>
      <c r="L2553" s="92"/>
      <c r="M2553" s="93"/>
      <c r="N2553" s="87" t="s">
        <v>111</v>
      </c>
      <c r="O2553" s="87" t="s">
        <v>377</v>
      </c>
      <c r="P2553" s="87" t="s">
        <v>372</v>
      </c>
    </row>
    <row r="2554" ht="15.75" customHeight="1">
      <c r="A2554" s="87" t="s">
        <v>7596</v>
      </c>
      <c r="B2554" s="88">
        <v>1.22E18</v>
      </c>
      <c r="C2554" s="87" t="s">
        <v>7597</v>
      </c>
      <c r="D2554" s="87" t="s">
        <v>56</v>
      </c>
      <c r="E2554" s="87" t="s">
        <v>248</v>
      </c>
      <c r="F2554" s="87" t="s">
        <v>2769</v>
      </c>
      <c r="G2554" s="93"/>
      <c r="H2554" s="93"/>
      <c r="I2554" s="87" t="s">
        <v>58</v>
      </c>
      <c r="J2554" s="87" t="s">
        <v>7595</v>
      </c>
      <c r="K2554" s="90">
        <v>0.0</v>
      </c>
      <c r="L2554" s="92"/>
      <c r="M2554" s="93"/>
      <c r="N2554" s="87" t="s">
        <v>111</v>
      </c>
      <c r="O2554" s="87" t="s">
        <v>377</v>
      </c>
      <c r="P2554" s="87" t="s">
        <v>372</v>
      </c>
    </row>
    <row r="2555" ht="15.75" customHeight="1">
      <c r="A2555" s="87" t="s">
        <v>7598</v>
      </c>
      <c r="B2555" s="88">
        <v>1.22E18</v>
      </c>
      <c r="C2555" s="87" t="s">
        <v>7599</v>
      </c>
      <c r="D2555" s="87" t="s">
        <v>87</v>
      </c>
      <c r="E2555" s="87" t="s">
        <v>102</v>
      </c>
      <c r="F2555" s="87" t="s">
        <v>1763</v>
      </c>
      <c r="I2555" s="93"/>
      <c r="J2555" s="87" t="s">
        <v>7600</v>
      </c>
      <c r="K2555" s="90">
        <v>0.0</v>
      </c>
      <c r="L2555" s="92"/>
      <c r="M2555" s="93"/>
      <c r="N2555" s="87" t="s">
        <v>4427</v>
      </c>
      <c r="O2555" s="87" t="s">
        <v>377</v>
      </c>
      <c r="P2555" s="87" t="s">
        <v>372</v>
      </c>
    </row>
    <row r="2556" ht="15.75" customHeight="1">
      <c r="A2556" s="87" t="s">
        <v>7601</v>
      </c>
      <c r="B2556" s="88">
        <v>1.22E18</v>
      </c>
      <c r="C2556" s="87" t="s">
        <v>7602</v>
      </c>
      <c r="D2556" s="87" t="s">
        <v>56</v>
      </c>
      <c r="E2556" s="87" t="s">
        <v>102</v>
      </c>
      <c r="F2556" s="87" t="s">
        <v>1763</v>
      </c>
      <c r="I2556" s="93"/>
      <c r="J2556" s="87" t="s">
        <v>1961</v>
      </c>
      <c r="K2556" s="90">
        <v>0.0</v>
      </c>
      <c r="L2556" s="92"/>
      <c r="M2556" s="93"/>
      <c r="N2556" s="87" t="s">
        <v>4427</v>
      </c>
      <c r="O2556" s="87" t="s">
        <v>377</v>
      </c>
      <c r="P2556" s="87" t="s">
        <v>372</v>
      </c>
    </row>
    <row r="2557" ht="15.75" customHeight="1">
      <c r="A2557" s="87" t="s">
        <v>7603</v>
      </c>
      <c r="B2557" s="88">
        <v>1.22E18</v>
      </c>
      <c r="C2557" s="87" t="s">
        <v>7604</v>
      </c>
      <c r="D2557" s="87" t="s">
        <v>56</v>
      </c>
      <c r="E2557" s="87" t="s">
        <v>102</v>
      </c>
      <c r="F2557" s="87" t="s">
        <v>1763</v>
      </c>
      <c r="I2557" s="93"/>
      <c r="J2557" s="87" t="s">
        <v>7605</v>
      </c>
      <c r="K2557" s="90">
        <v>0.0</v>
      </c>
      <c r="L2557" s="92"/>
      <c r="M2557" s="93"/>
      <c r="N2557" s="87" t="s">
        <v>4427</v>
      </c>
      <c r="O2557" s="87" t="s">
        <v>377</v>
      </c>
      <c r="P2557" s="87" t="s">
        <v>372</v>
      </c>
    </row>
    <row r="2558" ht="15.75" customHeight="1">
      <c r="A2558" s="87" t="s">
        <v>7606</v>
      </c>
      <c r="B2558" s="88">
        <v>1.22E18</v>
      </c>
      <c r="C2558" s="87" t="s">
        <v>7607</v>
      </c>
      <c r="D2558" s="87" t="s">
        <v>87</v>
      </c>
      <c r="E2558" s="87" t="s">
        <v>88</v>
      </c>
      <c r="F2558" s="87" t="s">
        <v>7607</v>
      </c>
      <c r="I2558" s="87" t="s">
        <v>58</v>
      </c>
      <c r="J2558" s="87" t="s">
        <v>7608</v>
      </c>
      <c r="K2558" s="90">
        <v>0.0</v>
      </c>
      <c r="L2558" s="92"/>
      <c r="M2558" s="93"/>
      <c r="N2558" s="87" t="s">
        <v>4427</v>
      </c>
      <c r="O2558" s="87" t="s">
        <v>377</v>
      </c>
      <c r="P2558" s="87" t="s">
        <v>372</v>
      </c>
    </row>
    <row r="2559" ht="15.75" customHeight="1">
      <c r="A2559" s="87" t="s">
        <v>7609</v>
      </c>
      <c r="B2559" s="88">
        <v>1.22E18</v>
      </c>
      <c r="C2559" s="87" t="s">
        <v>7610</v>
      </c>
      <c r="D2559" s="87" t="s">
        <v>87</v>
      </c>
      <c r="E2559" s="87" t="s">
        <v>102</v>
      </c>
      <c r="F2559" s="87" t="s">
        <v>1763</v>
      </c>
      <c r="I2559" s="93"/>
      <c r="J2559" s="87" t="s">
        <v>7611</v>
      </c>
      <c r="K2559" s="90">
        <v>0.0</v>
      </c>
      <c r="L2559" s="92"/>
      <c r="M2559" s="93"/>
      <c r="N2559" s="87" t="s">
        <v>4427</v>
      </c>
      <c r="O2559" s="87" t="s">
        <v>377</v>
      </c>
      <c r="P2559" s="87" t="s">
        <v>372</v>
      </c>
    </row>
    <row r="2560" ht="15.75" customHeight="1">
      <c r="A2560" s="87" t="s">
        <v>7612</v>
      </c>
      <c r="B2560" s="88">
        <v>1.22E18</v>
      </c>
      <c r="C2560" s="87" t="s">
        <v>7613</v>
      </c>
      <c r="D2560" s="87" t="s">
        <v>56</v>
      </c>
      <c r="E2560" s="87" t="s">
        <v>248</v>
      </c>
      <c r="F2560" s="87" t="s">
        <v>2769</v>
      </c>
      <c r="G2560" s="93"/>
      <c r="H2560" s="93"/>
      <c r="I2560" s="87" t="s">
        <v>58</v>
      </c>
      <c r="J2560" s="87" t="s">
        <v>1983</v>
      </c>
      <c r="K2560" s="90">
        <v>0.0</v>
      </c>
      <c r="L2560" s="92"/>
      <c r="M2560" s="93"/>
      <c r="N2560" s="87" t="s">
        <v>7614</v>
      </c>
      <c r="O2560" s="87" t="s">
        <v>377</v>
      </c>
      <c r="P2560" s="87" t="s">
        <v>372</v>
      </c>
    </row>
    <row r="2561" ht="15.75" customHeight="1">
      <c r="A2561" s="87" t="s">
        <v>7615</v>
      </c>
      <c r="B2561" s="88">
        <v>1.22E18</v>
      </c>
      <c r="C2561" s="87" t="s">
        <v>7616</v>
      </c>
      <c r="D2561" s="87" t="s">
        <v>56</v>
      </c>
      <c r="E2561" s="87" t="s">
        <v>248</v>
      </c>
      <c r="F2561" s="87" t="s">
        <v>2769</v>
      </c>
      <c r="G2561" s="93"/>
      <c r="H2561" s="93"/>
      <c r="I2561" s="87" t="s">
        <v>58</v>
      </c>
      <c r="J2561" s="87" t="s">
        <v>3081</v>
      </c>
      <c r="K2561" s="90">
        <v>0.0</v>
      </c>
      <c r="L2561" s="92"/>
      <c r="M2561" s="93"/>
      <c r="N2561" s="87" t="s">
        <v>7617</v>
      </c>
      <c r="O2561" s="87" t="s">
        <v>377</v>
      </c>
      <c r="P2561" s="87" t="s">
        <v>372</v>
      </c>
    </row>
    <row r="2562" ht="15.75" customHeight="1">
      <c r="A2562" s="87" t="s">
        <v>7618</v>
      </c>
      <c r="B2562" s="88">
        <v>1.22E18</v>
      </c>
      <c r="C2562" s="87" t="s">
        <v>7619</v>
      </c>
      <c r="D2562" s="87" t="s">
        <v>56</v>
      </c>
      <c r="E2562" s="87" t="s">
        <v>248</v>
      </c>
      <c r="F2562" s="87" t="s">
        <v>2769</v>
      </c>
      <c r="G2562" s="93"/>
      <c r="H2562" s="93"/>
      <c r="I2562" s="87" t="s">
        <v>58</v>
      </c>
      <c r="J2562" s="87" t="s">
        <v>3183</v>
      </c>
      <c r="K2562" s="90">
        <v>0.0</v>
      </c>
      <c r="L2562" s="92"/>
      <c r="M2562" s="93"/>
      <c r="N2562" s="87" t="s">
        <v>7617</v>
      </c>
      <c r="O2562" s="87" t="s">
        <v>377</v>
      </c>
      <c r="P2562" s="87" t="s">
        <v>372</v>
      </c>
    </row>
    <row r="2563" ht="15.75" customHeight="1">
      <c r="A2563" s="87" t="s">
        <v>7620</v>
      </c>
      <c r="B2563" s="88">
        <v>1.22E18</v>
      </c>
      <c r="C2563" s="87" t="s">
        <v>7621</v>
      </c>
      <c r="D2563" s="87" t="s">
        <v>56</v>
      </c>
      <c r="E2563" s="87" t="s">
        <v>248</v>
      </c>
      <c r="F2563" s="87" t="s">
        <v>2769</v>
      </c>
      <c r="G2563" s="93"/>
      <c r="H2563" s="93"/>
      <c r="I2563" s="87" t="s">
        <v>58</v>
      </c>
      <c r="J2563" s="87" t="s">
        <v>1994</v>
      </c>
      <c r="K2563" s="90">
        <v>0.0</v>
      </c>
      <c r="L2563" s="92"/>
      <c r="M2563" s="93"/>
      <c r="N2563" s="87" t="s">
        <v>7617</v>
      </c>
      <c r="O2563" s="87" t="s">
        <v>377</v>
      </c>
      <c r="P2563" s="87" t="s">
        <v>372</v>
      </c>
    </row>
    <row r="2564" ht="15.75" customHeight="1">
      <c r="A2564" s="87" t="s">
        <v>7622</v>
      </c>
      <c r="B2564" s="88">
        <v>1.22E18</v>
      </c>
      <c r="C2564" s="87" t="s">
        <v>7623</v>
      </c>
      <c r="D2564" s="87" t="s">
        <v>262</v>
      </c>
      <c r="E2564" s="87" t="s">
        <v>278</v>
      </c>
      <c r="F2564" s="87" t="s">
        <v>7623</v>
      </c>
      <c r="H2564" s="93"/>
      <c r="I2564" s="87" t="s">
        <v>58</v>
      </c>
      <c r="J2564" s="87" t="s">
        <v>7624</v>
      </c>
      <c r="L2564" s="92"/>
      <c r="M2564" s="93"/>
      <c r="N2564" s="87" t="s">
        <v>7617</v>
      </c>
      <c r="O2564" s="87" t="s">
        <v>377</v>
      </c>
      <c r="P2564" s="87" t="s">
        <v>2565</v>
      </c>
    </row>
    <row r="2565" ht="15.75" customHeight="1">
      <c r="A2565" s="87" t="s">
        <v>7625</v>
      </c>
      <c r="B2565" s="88">
        <v>1.22E18</v>
      </c>
      <c r="C2565" s="87" t="s">
        <v>7626</v>
      </c>
      <c r="D2565" s="87" t="s">
        <v>56</v>
      </c>
      <c r="E2565" s="87" t="s">
        <v>248</v>
      </c>
      <c r="F2565" s="87" t="s">
        <v>2769</v>
      </c>
      <c r="G2565" s="93"/>
      <c r="H2565" s="93"/>
      <c r="I2565" s="87" t="s">
        <v>58</v>
      </c>
      <c r="J2565" s="87" t="s">
        <v>7627</v>
      </c>
      <c r="K2565" s="90">
        <v>0.0</v>
      </c>
      <c r="L2565" s="92"/>
      <c r="M2565" s="93"/>
      <c r="N2565" s="87" t="s">
        <v>7628</v>
      </c>
      <c r="O2565" s="87" t="s">
        <v>377</v>
      </c>
      <c r="P2565" s="87" t="s">
        <v>372</v>
      </c>
    </row>
    <row r="2566" ht="15.75" customHeight="1">
      <c r="A2566" s="87" t="s">
        <v>7629</v>
      </c>
      <c r="B2566" s="88">
        <v>1.22E18</v>
      </c>
      <c r="C2566" s="87" t="s">
        <v>7630</v>
      </c>
      <c r="D2566" s="87" t="s">
        <v>262</v>
      </c>
      <c r="E2566" s="87" t="s">
        <v>278</v>
      </c>
      <c r="F2566" s="87" t="s">
        <v>1763</v>
      </c>
      <c r="I2566" s="93"/>
      <c r="J2566" s="87" t="s">
        <v>5440</v>
      </c>
      <c r="L2566" s="92"/>
      <c r="M2566" s="93"/>
      <c r="N2566" s="87" t="s">
        <v>7472</v>
      </c>
      <c r="O2566" s="87" t="s">
        <v>377</v>
      </c>
      <c r="P2566" s="87" t="s">
        <v>2565</v>
      </c>
    </row>
    <row r="2567" ht="15.75" customHeight="1">
      <c r="A2567" s="87" t="s">
        <v>7631</v>
      </c>
      <c r="B2567" s="88">
        <v>1.22E18</v>
      </c>
      <c r="C2567" s="87" t="s">
        <v>7632</v>
      </c>
      <c r="D2567" s="87" t="s">
        <v>56</v>
      </c>
      <c r="E2567" s="87" t="s">
        <v>102</v>
      </c>
      <c r="F2567" s="87" t="s">
        <v>1763</v>
      </c>
      <c r="I2567" s="93"/>
      <c r="J2567" s="87" t="s">
        <v>1082</v>
      </c>
      <c r="K2567" s="90">
        <v>0.0</v>
      </c>
      <c r="L2567" s="92"/>
      <c r="M2567" s="93"/>
      <c r="N2567" s="87" t="s">
        <v>7472</v>
      </c>
      <c r="O2567" s="87" t="s">
        <v>377</v>
      </c>
      <c r="P2567" s="87" t="s">
        <v>372</v>
      </c>
    </row>
    <row r="2568" ht="15.75" customHeight="1">
      <c r="A2568" s="87" t="s">
        <v>7633</v>
      </c>
      <c r="B2568" s="88">
        <v>1.22E18</v>
      </c>
      <c r="C2568" s="87" t="s">
        <v>7634</v>
      </c>
      <c r="D2568" s="87" t="s">
        <v>56</v>
      </c>
      <c r="E2568" s="87" t="s">
        <v>102</v>
      </c>
      <c r="F2568" s="87" t="s">
        <v>1763</v>
      </c>
      <c r="I2568" s="93"/>
      <c r="J2568" s="87" t="s">
        <v>5804</v>
      </c>
      <c r="K2568" s="90">
        <v>0.0</v>
      </c>
      <c r="L2568" s="92"/>
      <c r="M2568" s="93"/>
      <c r="N2568" s="87" t="s">
        <v>7472</v>
      </c>
      <c r="O2568" s="87" t="s">
        <v>377</v>
      </c>
      <c r="P2568" s="87" t="s">
        <v>372</v>
      </c>
    </row>
    <row r="2569" ht="15.75" customHeight="1">
      <c r="A2569" s="87" t="s">
        <v>7635</v>
      </c>
      <c r="B2569" s="88">
        <v>1.22E18</v>
      </c>
      <c r="C2569" s="87" t="s">
        <v>7636</v>
      </c>
      <c r="D2569" s="87" t="s">
        <v>56</v>
      </c>
      <c r="E2569" s="87" t="s">
        <v>102</v>
      </c>
      <c r="F2569" s="87" t="s">
        <v>1763</v>
      </c>
      <c r="I2569" s="93"/>
      <c r="J2569" s="87" t="s">
        <v>7637</v>
      </c>
      <c r="K2569" s="90">
        <v>0.0</v>
      </c>
      <c r="L2569" s="92"/>
      <c r="M2569" s="93"/>
      <c r="N2569" s="87" t="s">
        <v>7472</v>
      </c>
      <c r="O2569" s="87" t="s">
        <v>377</v>
      </c>
      <c r="P2569" s="87" t="s">
        <v>372</v>
      </c>
    </row>
    <row r="2570" ht="15.75" customHeight="1">
      <c r="A2570" s="87" t="s">
        <v>7638</v>
      </c>
      <c r="B2570" s="88">
        <v>1.22E18</v>
      </c>
      <c r="C2570" s="87" t="s">
        <v>7639</v>
      </c>
      <c r="D2570" s="87" t="s">
        <v>87</v>
      </c>
      <c r="E2570" s="87" t="s">
        <v>88</v>
      </c>
      <c r="F2570" s="87" t="s">
        <v>379</v>
      </c>
      <c r="G2570" s="93"/>
      <c r="H2570" s="93"/>
      <c r="I2570" s="87" t="s">
        <v>327</v>
      </c>
      <c r="J2570" s="87" t="s">
        <v>7640</v>
      </c>
      <c r="K2570" s="90">
        <v>100.0</v>
      </c>
      <c r="L2570" s="92"/>
      <c r="M2570" s="93"/>
      <c r="N2570" s="87" t="s">
        <v>390</v>
      </c>
      <c r="O2570" s="87" t="s">
        <v>377</v>
      </c>
      <c r="P2570" s="87" t="s">
        <v>372</v>
      </c>
    </row>
    <row r="2571" ht="15.75" customHeight="1">
      <c r="A2571" s="87" t="s">
        <v>7641</v>
      </c>
      <c r="B2571" s="88">
        <v>1.22E18</v>
      </c>
      <c r="C2571" s="87" t="s">
        <v>7642</v>
      </c>
      <c r="D2571" s="87" t="s">
        <v>87</v>
      </c>
      <c r="E2571" s="87" t="s">
        <v>88</v>
      </c>
      <c r="F2571" s="87" t="s">
        <v>379</v>
      </c>
      <c r="G2571" s="93"/>
      <c r="H2571" s="93"/>
      <c r="I2571" s="87" t="s">
        <v>340</v>
      </c>
      <c r="J2571" s="87" t="s">
        <v>7643</v>
      </c>
      <c r="K2571" s="90">
        <v>40000.0</v>
      </c>
      <c r="L2571" s="92"/>
      <c r="M2571" s="93"/>
      <c r="N2571" s="87" t="s">
        <v>2483</v>
      </c>
      <c r="O2571" s="87" t="s">
        <v>377</v>
      </c>
      <c r="P2571" s="87" t="s">
        <v>372</v>
      </c>
    </row>
    <row r="2572" ht="15.75" customHeight="1">
      <c r="A2572" s="87" t="s">
        <v>7644</v>
      </c>
      <c r="B2572" s="88">
        <v>1.22E18</v>
      </c>
      <c r="C2572" s="87" t="s">
        <v>7645</v>
      </c>
      <c r="D2572" s="87" t="s">
        <v>56</v>
      </c>
      <c r="E2572" s="87" t="s">
        <v>259</v>
      </c>
      <c r="F2572" s="87" t="s">
        <v>415</v>
      </c>
      <c r="G2572" s="93"/>
      <c r="H2572" s="93"/>
      <c r="I2572" s="87" t="s">
        <v>58</v>
      </c>
      <c r="J2572" s="87" t="s">
        <v>3426</v>
      </c>
      <c r="K2572" s="90">
        <v>0.0</v>
      </c>
      <c r="L2572" s="92"/>
      <c r="M2572" s="93"/>
      <c r="N2572" s="87" t="s">
        <v>2849</v>
      </c>
      <c r="O2572" s="87" t="s">
        <v>377</v>
      </c>
      <c r="P2572" s="87" t="s">
        <v>372</v>
      </c>
    </row>
    <row r="2573" ht="15.75" customHeight="1">
      <c r="A2573" s="87" t="s">
        <v>7646</v>
      </c>
      <c r="B2573" s="88">
        <v>1.22E18</v>
      </c>
      <c r="C2573" s="87" t="s">
        <v>7647</v>
      </c>
      <c r="D2573" s="87" t="s">
        <v>56</v>
      </c>
      <c r="E2573" s="87" t="s">
        <v>259</v>
      </c>
      <c r="F2573" s="87" t="s">
        <v>415</v>
      </c>
      <c r="G2573" s="93"/>
      <c r="H2573" s="93"/>
      <c r="I2573" s="87" t="s">
        <v>58</v>
      </c>
      <c r="J2573" s="87" t="s">
        <v>7494</v>
      </c>
      <c r="K2573" s="90">
        <v>0.0</v>
      </c>
      <c r="L2573" s="92"/>
      <c r="M2573" s="93"/>
      <c r="N2573" s="87" t="s">
        <v>2849</v>
      </c>
      <c r="O2573" s="87" t="s">
        <v>377</v>
      </c>
      <c r="P2573" s="87" t="s">
        <v>372</v>
      </c>
    </row>
    <row r="2574" ht="15.75" customHeight="1">
      <c r="A2574" s="87" t="s">
        <v>7648</v>
      </c>
      <c r="B2574" s="88">
        <v>1.22E18</v>
      </c>
      <c r="C2574" s="87" t="s">
        <v>7649</v>
      </c>
      <c r="D2574" s="87" t="s">
        <v>56</v>
      </c>
      <c r="E2574" s="87" t="s">
        <v>259</v>
      </c>
      <c r="F2574" s="87" t="s">
        <v>415</v>
      </c>
      <c r="G2574" s="93"/>
      <c r="H2574" s="93"/>
      <c r="I2574" s="87" t="s">
        <v>58</v>
      </c>
      <c r="J2574" s="87" t="s">
        <v>7650</v>
      </c>
      <c r="K2574" s="90">
        <v>0.0</v>
      </c>
      <c r="L2574" s="92"/>
      <c r="M2574" s="93"/>
      <c r="N2574" s="87" t="s">
        <v>2849</v>
      </c>
      <c r="O2574" s="87" t="s">
        <v>377</v>
      </c>
      <c r="P2574" s="87" t="s">
        <v>372</v>
      </c>
    </row>
    <row r="2575" ht="15.75" customHeight="1">
      <c r="A2575" s="87" t="s">
        <v>7651</v>
      </c>
      <c r="B2575" s="88">
        <v>1.22E18</v>
      </c>
      <c r="C2575" s="87" t="s">
        <v>7652</v>
      </c>
      <c r="D2575" s="87" t="s">
        <v>56</v>
      </c>
      <c r="E2575" s="87" t="s">
        <v>102</v>
      </c>
      <c r="F2575" s="87" t="s">
        <v>1763</v>
      </c>
      <c r="I2575" s="93"/>
      <c r="J2575" s="87" t="s">
        <v>7653</v>
      </c>
      <c r="K2575" s="90">
        <v>0.0</v>
      </c>
      <c r="L2575" s="92"/>
      <c r="M2575" s="93"/>
      <c r="N2575" s="87" t="s">
        <v>2572</v>
      </c>
      <c r="O2575" s="87" t="s">
        <v>377</v>
      </c>
      <c r="P2575" s="87" t="s">
        <v>372</v>
      </c>
    </row>
    <row r="2576" ht="15.75" customHeight="1">
      <c r="A2576" s="87" t="s">
        <v>7654</v>
      </c>
      <c r="B2576" s="88">
        <v>1.22E18</v>
      </c>
      <c r="C2576" s="87" t="s">
        <v>7655</v>
      </c>
      <c r="D2576" s="87" t="s">
        <v>56</v>
      </c>
      <c r="E2576" s="87" t="s">
        <v>102</v>
      </c>
      <c r="F2576" s="87" t="s">
        <v>1763</v>
      </c>
      <c r="I2576" s="87" t="s">
        <v>58</v>
      </c>
      <c r="J2576" s="87" t="s">
        <v>7656</v>
      </c>
      <c r="K2576" s="90">
        <v>0.0</v>
      </c>
      <c r="L2576" s="92"/>
      <c r="M2576" s="93"/>
      <c r="N2576" s="87" t="s">
        <v>4427</v>
      </c>
      <c r="O2576" s="87" t="s">
        <v>377</v>
      </c>
      <c r="P2576" s="87" t="s">
        <v>372</v>
      </c>
    </row>
    <row r="2577" ht="15.75" customHeight="1">
      <c r="A2577" s="87" t="s">
        <v>7657</v>
      </c>
      <c r="B2577" s="88">
        <v>1.22E18</v>
      </c>
      <c r="C2577" s="87" t="s">
        <v>7658</v>
      </c>
      <c r="D2577" s="87" t="s">
        <v>262</v>
      </c>
      <c r="E2577" s="87" t="s">
        <v>263</v>
      </c>
      <c r="F2577" s="87" t="s">
        <v>415</v>
      </c>
      <c r="G2577" s="93"/>
      <c r="H2577" s="93"/>
      <c r="I2577" s="87" t="s">
        <v>58</v>
      </c>
      <c r="J2577" s="87" t="s">
        <v>7659</v>
      </c>
      <c r="K2577" s="90">
        <v>0.0</v>
      </c>
      <c r="L2577" s="92"/>
      <c r="M2577" s="93"/>
      <c r="N2577" s="87" t="s">
        <v>6306</v>
      </c>
      <c r="O2577" s="87" t="s">
        <v>377</v>
      </c>
      <c r="P2577" s="87" t="s">
        <v>372</v>
      </c>
    </row>
    <row r="2578" ht="15.75" customHeight="1">
      <c r="A2578" s="87" t="s">
        <v>7660</v>
      </c>
      <c r="B2578" s="88">
        <v>1.22E18</v>
      </c>
      <c r="C2578" s="87" t="s">
        <v>7661</v>
      </c>
      <c r="D2578" s="87" t="s">
        <v>262</v>
      </c>
      <c r="E2578" s="87" t="s">
        <v>263</v>
      </c>
      <c r="F2578" s="87" t="s">
        <v>415</v>
      </c>
      <c r="G2578" s="93"/>
      <c r="H2578" s="93"/>
      <c r="I2578" s="87" t="s">
        <v>58</v>
      </c>
      <c r="J2578" s="87" t="s">
        <v>7662</v>
      </c>
      <c r="K2578" s="90">
        <v>0.0</v>
      </c>
      <c r="L2578" s="92"/>
      <c r="M2578" s="93"/>
      <c r="N2578" s="87" t="s">
        <v>6306</v>
      </c>
      <c r="O2578" s="87" t="s">
        <v>377</v>
      </c>
      <c r="P2578" s="87" t="s">
        <v>372</v>
      </c>
    </row>
    <row r="2579" ht="15.75" customHeight="1">
      <c r="A2579" s="87" t="s">
        <v>7663</v>
      </c>
      <c r="B2579" s="88">
        <v>1.22E18</v>
      </c>
      <c r="C2579" s="87" t="s">
        <v>7664</v>
      </c>
      <c r="D2579" s="87" t="s">
        <v>56</v>
      </c>
      <c r="E2579" s="87" t="s">
        <v>259</v>
      </c>
      <c r="F2579" s="87" t="s">
        <v>7664</v>
      </c>
      <c r="I2579" s="87" t="s">
        <v>58</v>
      </c>
      <c r="J2579" s="87" t="s">
        <v>7665</v>
      </c>
      <c r="K2579" s="90">
        <v>0.0</v>
      </c>
      <c r="L2579" s="92"/>
      <c r="M2579" s="93"/>
      <c r="N2579" s="87" t="s">
        <v>6306</v>
      </c>
      <c r="O2579" s="87" t="s">
        <v>377</v>
      </c>
      <c r="P2579" s="87" t="s">
        <v>372</v>
      </c>
    </row>
    <row r="2580" ht="15.75" customHeight="1">
      <c r="A2580" s="87" t="s">
        <v>7666</v>
      </c>
      <c r="B2580" s="88">
        <v>1.22E18</v>
      </c>
      <c r="C2580" s="87" t="s">
        <v>7667</v>
      </c>
      <c r="D2580" s="87" t="s">
        <v>87</v>
      </c>
      <c r="E2580" s="87" t="s">
        <v>88</v>
      </c>
      <c r="F2580" s="87" t="s">
        <v>379</v>
      </c>
      <c r="G2580" s="93"/>
      <c r="H2580" s="93"/>
      <c r="I2580" s="87" t="s">
        <v>58</v>
      </c>
      <c r="J2580" s="87" t="s">
        <v>7668</v>
      </c>
      <c r="K2580" s="90">
        <v>0.0</v>
      </c>
      <c r="L2580" s="92"/>
      <c r="M2580" s="93"/>
      <c r="N2580" s="87" t="s">
        <v>7152</v>
      </c>
      <c r="O2580" s="87" t="s">
        <v>377</v>
      </c>
      <c r="P2580" s="87" t="s">
        <v>372</v>
      </c>
    </row>
    <row r="2581" ht="15.75" customHeight="1">
      <c r="A2581" s="87" t="s">
        <v>7669</v>
      </c>
      <c r="B2581" s="88">
        <v>1.22E18</v>
      </c>
      <c r="C2581" s="87" t="s">
        <v>7670</v>
      </c>
      <c r="D2581" s="87" t="s">
        <v>87</v>
      </c>
      <c r="E2581" s="87" t="s">
        <v>88</v>
      </c>
      <c r="F2581" s="87" t="s">
        <v>379</v>
      </c>
      <c r="G2581" s="93"/>
      <c r="H2581" s="93"/>
      <c r="I2581" s="87" t="s">
        <v>58</v>
      </c>
      <c r="J2581" s="87" t="s">
        <v>7671</v>
      </c>
      <c r="K2581" s="90">
        <v>0.0</v>
      </c>
      <c r="L2581" s="92"/>
      <c r="M2581" s="93"/>
      <c r="N2581" s="87" t="s">
        <v>7152</v>
      </c>
      <c r="O2581" s="87" t="s">
        <v>377</v>
      </c>
      <c r="P2581" s="87" t="s">
        <v>372</v>
      </c>
    </row>
    <row r="2582" ht="15.75" customHeight="1">
      <c r="A2582" s="87" t="s">
        <v>7672</v>
      </c>
      <c r="B2582" s="88">
        <v>1.22E18</v>
      </c>
      <c r="C2582" s="87" t="s">
        <v>7673</v>
      </c>
      <c r="D2582" s="87" t="s">
        <v>87</v>
      </c>
      <c r="E2582" s="87" t="s">
        <v>88</v>
      </c>
      <c r="F2582" s="87" t="s">
        <v>379</v>
      </c>
      <c r="G2582" s="93"/>
      <c r="H2582" s="93"/>
      <c r="I2582" s="87" t="s">
        <v>58</v>
      </c>
      <c r="J2582" s="87" t="s">
        <v>7674</v>
      </c>
      <c r="K2582" s="90">
        <v>0.0</v>
      </c>
      <c r="L2582" s="92"/>
      <c r="M2582" s="93"/>
      <c r="N2582" s="87" t="s">
        <v>7152</v>
      </c>
      <c r="O2582" s="87" t="s">
        <v>377</v>
      </c>
      <c r="P2582" s="87" t="s">
        <v>372</v>
      </c>
    </row>
    <row r="2583" ht="15.75" customHeight="1">
      <c r="A2583" s="87" t="s">
        <v>7675</v>
      </c>
      <c r="B2583" s="88">
        <v>1.22E18</v>
      </c>
      <c r="C2583" s="87" t="s">
        <v>7676</v>
      </c>
      <c r="D2583" s="87" t="s">
        <v>87</v>
      </c>
      <c r="E2583" s="87" t="s">
        <v>88</v>
      </c>
      <c r="F2583" s="87" t="s">
        <v>379</v>
      </c>
      <c r="G2583" s="93"/>
      <c r="H2583" s="93"/>
      <c r="I2583" s="87" t="s">
        <v>58</v>
      </c>
      <c r="J2583" s="87" t="s">
        <v>7677</v>
      </c>
      <c r="K2583" s="90">
        <v>0.0</v>
      </c>
      <c r="L2583" s="92"/>
      <c r="M2583" s="93"/>
      <c r="N2583" s="87" t="s">
        <v>7152</v>
      </c>
      <c r="O2583" s="87" t="s">
        <v>377</v>
      </c>
      <c r="P2583" s="87" t="s">
        <v>372</v>
      </c>
    </row>
    <row r="2584" ht="15.75" customHeight="1">
      <c r="A2584" s="87" t="s">
        <v>7678</v>
      </c>
      <c r="B2584" s="88">
        <v>1.22E18</v>
      </c>
      <c r="C2584" s="87" t="s">
        <v>7679</v>
      </c>
      <c r="D2584" s="87" t="s">
        <v>87</v>
      </c>
      <c r="E2584" s="87" t="s">
        <v>88</v>
      </c>
      <c r="F2584" s="87" t="s">
        <v>379</v>
      </c>
      <c r="G2584" s="93"/>
      <c r="H2584" s="93"/>
      <c r="I2584" s="87" t="s">
        <v>58</v>
      </c>
      <c r="J2584" s="87" t="s">
        <v>7677</v>
      </c>
      <c r="K2584" s="90">
        <v>0.0</v>
      </c>
      <c r="L2584" s="92"/>
      <c r="M2584" s="93"/>
      <c r="N2584" s="87" t="s">
        <v>7152</v>
      </c>
      <c r="O2584" s="87" t="s">
        <v>377</v>
      </c>
      <c r="P2584" s="87" t="s">
        <v>372</v>
      </c>
    </row>
    <row r="2585" ht="15.75" customHeight="1">
      <c r="A2585" s="87" t="s">
        <v>7680</v>
      </c>
      <c r="B2585" s="88">
        <v>1.22E18</v>
      </c>
      <c r="C2585" s="87" t="s">
        <v>7681</v>
      </c>
      <c r="D2585" s="87" t="s">
        <v>87</v>
      </c>
      <c r="E2585" s="87" t="s">
        <v>88</v>
      </c>
      <c r="F2585" s="87" t="s">
        <v>379</v>
      </c>
      <c r="G2585" s="93"/>
      <c r="H2585" s="93"/>
      <c r="I2585" s="87" t="s">
        <v>58</v>
      </c>
      <c r="J2585" s="87" t="s">
        <v>7677</v>
      </c>
      <c r="K2585" s="90">
        <v>0.0</v>
      </c>
      <c r="L2585" s="92"/>
      <c r="M2585" s="93"/>
      <c r="N2585" s="87" t="s">
        <v>7152</v>
      </c>
      <c r="O2585" s="87" t="s">
        <v>377</v>
      </c>
      <c r="P2585" s="87" t="s">
        <v>372</v>
      </c>
    </row>
    <row r="2586" ht="15.75" customHeight="1">
      <c r="A2586" s="87" t="s">
        <v>7682</v>
      </c>
      <c r="B2586" s="88">
        <v>1.22E18</v>
      </c>
      <c r="C2586" s="87" t="s">
        <v>7683</v>
      </c>
      <c r="D2586" s="87" t="s">
        <v>87</v>
      </c>
      <c r="E2586" s="87" t="s">
        <v>241</v>
      </c>
      <c r="F2586" s="87" t="s">
        <v>373</v>
      </c>
      <c r="H2586" s="93"/>
      <c r="I2586" s="87" t="s">
        <v>495</v>
      </c>
      <c r="J2586" s="87" t="s">
        <v>7684</v>
      </c>
      <c r="K2586" s="90">
        <v>0.0</v>
      </c>
      <c r="L2586" s="92"/>
      <c r="M2586" s="93"/>
      <c r="N2586" s="87" t="s">
        <v>497</v>
      </c>
      <c r="O2586" s="87" t="s">
        <v>377</v>
      </c>
      <c r="P2586" s="87" t="s">
        <v>372</v>
      </c>
    </row>
    <row r="2587" ht="15.75" customHeight="1">
      <c r="A2587" s="87" t="s">
        <v>7685</v>
      </c>
      <c r="B2587" s="88">
        <v>1.22E18</v>
      </c>
      <c r="C2587" s="87" t="s">
        <v>7686</v>
      </c>
      <c r="D2587" s="87" t="s">
        <v>87</v>
      </c>
      <c r="E2587" s="87" t="s">
        <v>88</v>
      </c>
      <c r="F2587" s="87" t="s">
        <v>379</v>
      </c>
      <c r="G2587" s="93"/>
      <c r="H2587" s="93"/>
      <c r="I2587" s="87" t="s">
        <v>340</v>
      </c>
      <c r="J2587" s="87" t="s">
        <v>7687</v>
      </c>
      <c r="K2587" s="90">
        <v>960.0</v>
      </c>
      <c r="L2587" s="92"/>
      <c r="M2587" s="93"/>
      <c r="N2587" s="87" t="s">
        <v>7688</v>
      </c>
      <c r="O2587" s="87" t="s">
        <v>377</v>
      </c>
      <c r="P2587" s="87" t="s">
        <v>372</v>
      </c>
    </row>
    <row r="2588" ht="15.75" customHeight="1">
      <c r="A2588" s="87" t="s">
        <v>7689</v>
      </c>
      <c r="B2588" s="88">
        <v>1.22E18</v>
      </c>
      <c r="C2588" s="87" t="s">
        <v>7690</v>
      </c>
      <c r="D2588" s="87" t="s">
        <v>87</v>
      </c>
      <c r="E2588" s="87" t="s">
        <v>88</v>
      </c>
      <c r="F2588" s="87" t="s">
        <v>379</v>
      </c>
      <c r="G2588" s="93"/>
      <c r="H2588" s="93"/>
      <c r="I2588" s="87" t="s">
        <v>340</v>
      </c>
      <c r="J2588" s="87" t="s">
        <v>7687</v>
      </c>
      <c r="K2588" s="90">
        <v>900.0</v>
      </c>
      <c r="L2588" s="92"/>
      <c r="M2588" s="93"/>
      <c r="N2588" s="87" t="s">
        <v>7688</v>
      </c>
      <c r="O2588" s="87" t="s">
        <v>377</v>
      </c>
      <c r="P2588" s="87" t="s">
        <v>372</v>
      </c>
    </row>
    <row r="2589" ht="15.75" customHeight="1">
      <c r="A2589" s="87" t="s">
        <v>7691</v>
      </c>
      <c r="B2589" s="88">
        <v>1.22E18</v>
      </c>
      <c r="C2589" s="87" t="s">
        <v>7692</v>
      </c>
      <c r="D2589" s="87" t="s">
        <v>87</v>
      </c>
      <c r="E2589" s="87" t="s">
        <v>88</v>
      </c>
      <c r="F2589" s="87" t="s">
        <v>379</v>
      </c>
      <c r="G2589" s="93"/>
      <c r="H2589" s="93"/>
      <c r="I2589" s="87" t="s">
        <v>340</v>
      </c>
      <c r="J2589" s="87" t="s">
        <v>7693</v>
      </c>
      <c r="K2589" s="90">
        <v>1000.0</v>
      </c>
      <c r="L2589" s="92"/>
      <c r="M2589" s="93"/>
      <c r="N2589" s="87" t="s">
        <v>7688</v>
      </c>
      <c r="O2589" s="87" t="s">
        <v>377</v>
      </c>
      <c r="P2589" s="87" t="s">
        <v>372</v>
      </c>
    </row>
    <row r="2590" ht="15.75" customHeight="1">
      <c r="A2590" s="87" t="s">
        <v>7694</v>
      </c>
      <c r="B2590" s="88">
        <v>1.22E18</v>
      </c>
      <c r="C2590" s="87" t="s">
        <v>7695</v>
      </c>
      <c r="D2590" s="87" t="s">
        <v>87</v>
      </c>
      <c r="E2590" s="87" t="s">
        <v>88</v>
      </c>
      <c r="F2590" s="87" t="s">
        <v>379</v>
      </c>
      <c r="G2590" s="93"/>
      <c r="H2590" s="93"/>
      <c r="I2590" s="87" t="s">
        <v>340</v>
      </c>
      <c r="J2590" s="87" t="s">
        <v>7693</v>
      </c>
      <c r="K2590" s="90">
        <v>1000.0</v>
      </c>
      <c r="L2590" s="92"/>
      <c r="M2590" s="93"/>
      <c r="N2590" s="87" t="s">
        <v>7688</v>
      </c>
      <c r="O2590" s="87" t="s">
        <v>377</v>
      </c>
      <c r="P2590" s="87" t="s">
        <v>372</v>
      </c>
    </row>
    <row r="2591" ht="15.75" customHeight="1">
      <c r="A2591" s="87" t="s">
        <v>7696</v>
      </c>
      <c r="B2591" s="88">
        <v>1.22E18</v>
      </c>
      <c r="C2591" s="87" t="s">
        <v>7697</v>
      </c>
      <c r="D2591" s="87" t="s">
        <v>87</v>
      </c>
      <c r="E2591" s="87" t="s">
        <v>88</v>
      </c>
      <c r="F2591" s="87" t="s">
        <v>379</v>
      </c>
      <c r="G2591" s="93"/>
      <c r="H2591" s="93"/>
      <c r="I2591" s="87" t="s">
        <v>58</v>
      </c>
      <c r="J2591" s="87" t="s">
        <v>386</v>
      </c>
      <c r="K2591" s="90">
        <v>0.0</v>
      </c>
      <c r="L2591" s="92"/>
      <c r="M2591" s="93"/>
      <c r="N2591" s="87" t="s">
        <v>5952</v>
      </c>
      <c r="O2591" s="87" t="s">
        <v>377</v>
      </c>
      <c r="P2591" s="87" t="s">
        <v>372</v>
      </c>
    </row>
    <row r="2592" ht="15.75" customHeight="1">
      <c r="A2592" s="87" t="s">
        <v>7698</v>
      </c>
      <c r="B2592" s="88">
        <v>1.22E18</v>
      </c>
      <c r="C2592" s="87" t="s">
        <v>7699</v>
      </c>
      <c r="D2592" s="87" t="s">
        <v>87</v>
      </c>
      <c r="E2592" s="87" t="s">
        <v>88</v>
      </c>
      <c r="F2592" s="87" t="s">
        <v>7699</v>
      </c>
      <c r="I2592" s="87" t="s">
        <v>58</v>
      </c>
      <c r="J2592" s="87" t="s">
        <v>7700</v>
      </c>
      <c r="K2592" s="90">
        <v>0.0</v>
      </c>
      <c r="L2592" s="92"/>
      <c r="M2592" s="93"/>
      <c r="N2592" s="87" t="s">
        <v>3315</v>
      </c>
      <c r="O2592" s="87" t="s">
        <v>377</v>
      </c>
      <c r="P2592" s="87" t="s">
        <v>372</v>
      </c>
    </row>
    <row r="2593" ht="15.75" customHeight="1">
      <c r="A2593" s="87" t="s">
        <v>7701</v>
      </c>
      <c r="B2593" s="88">
        <v>1.22E18</v>
      </c>
      <c r="C2593" s="87" t="s">
        <v>7702</v>
      </c>
      <c r="D2593" s="87" t="s">
        <v>87</v>
      </c>
      <c r="E2593" s="87" t="s">
        <v>88</v>
      </c>
      <c r="F2593" s="87" t="s">
        <v>7702</v>
      </c>
      <c r="I2593" s="87" t="s">
        <v>58</v>
      </c>
      <c r="J2593" s="87" t="s">
        <v>7703</v>
      </c>
      <c r="K2593" s="90">
        <v>0.0</v>
      </c>
      <c r="L2593" s="92"/>
      <c r="M2593" s="93"/>
      <c r="N2593" s="87" t="s">
        <v>2572</v>
      </c>
      <c r="O2593" s="87" t="s">
        <v>377</v>
      </c>
      <c r="P2593" s="87" t="s">
        <v>372</v>
      </c>
    </row>
    <row r="2594" ht="15.75" customHeight="1">
      <c r="A2594" s="87" t="s">
        <v>7704</v>
      </c>
      <c r="B2594" s="88">
        <v>1.22E18</v>
      </c>
      <c r="C2594" s="87" t="s">
        <v>7705</v>
      </c>
      <c r="D2594" s="87" t="s">
        <v>87</v>
      </c>
      <c r="E2594" s="87" t="s">
        <v>88</v>
      </c>
      <c r="F2594" s="87" t="s">
        <v>7705</v>
      </c>
      <c r="I2594" s="87" t="s">
        <v>58</v>
      </c>
      <c r="J2594" s="87" t="s">
        <v>7706</v>
      </c>
      <c r="K2594" s="90">
        <v>0.0</v>
      </c>
      <c r="L2594" s="92"/>
      <c r="M2594" s="93"/>
      <c r="N2594" s="87" t="s">
        <v>2572</v>
      </c>
      <c r="O2594" s="87" t="s">
        <v>377</v>
      </c>
      <c r="P2594" s="87" t="s">
        <v>372</v>
      </c>
    </row>
    <row r="2595" ht="15.75" customHeight="1">
      <c r="A2595" s="87" t="s">
        <v>7707</v>
      </c>
      <c r="B2595" s="88">
        <v>1.22E18</v>
      </c>
      <c r="C2595" s="87" t="s">
        <v>7708</v>
      </c>
      <c r="D2595" s="87" t="s">
        <v>56</v>
      </c>
      <c r="E2595" s="87" t="s">
        <v>102</v>
      </c>
      <c r="F2595" s="87" t="s">
        <v>1763</v>
      </c>
      <c r="I2595" s="87" t="s">
        <v>58</v>
      </c>
      <c r="J2595" s="87" t="s">
        <v>7709</v>
      </c>
      <c r="K2595" s="90">
        <v>0.0</v>
      </c>
      <c r="L2595" s="92"/>
      <c r="M2595" s="93"/>
      <c r="N2595" s="87" t="s">
        <v>2572</v>
      </c>
      <c r="O2595" s="87" t="s">
        <v>377</v>
      </c>
      <c r="P2595" s="87" t="s">
        <v>372</v>
      </c>
    </row>
    <row r="2596" ht="15.75" customHeight="1">
      <c r="A2596" s="87" t="s">
        <v>7710</v>
      </c>
      <c r="B2596" s="88">
        <v>1.22E18</v>
      </c>
      <c r="C2596" s="87" t="s">
        <v>7711</v>
      </c>
      <c r="D2596" s="87" t="s">
        <v>262</v>
      </c>
      <c r="E2596" s="87" t="s">
        <v>263</v>
      </c>
      <c r="F2596" s="87" t="s">
        <v>415</v>
      </c>
      <c r="G2596" s="93"/>
      <c r="H2596" s="93"/>
      <c r="I2596" s="87" t="s">
        <v>58</v>
      </c>
      <c r="J2596" s="87" t="s">
        <v>7712</v>
      </c>
      <c r="K2596" s="90">
        <v>0.0</v>
      </c>
      <c r="L2596" s="92"/>
      <c r="M2596" s="93"/>
      <c r="N2596" s="87" t="s">
        <v>6306</v>
      </c>
      <c r="O2596" s="87" t="s">
        <v>377</v>
      </c>
      <c r="P2596" s="87" t="s">
        <v>372</v>
      </c>
    </row>
    <row r="2597" ht="15.75" customHeight="1">
      <c r="A2597" s="87" t="s">
        <v>7713</v>
      </c>
      <c r="B2597" s="88">
        <v>1.22E18</v>
      </c>
      <c r="C2597" s="87" t="s">
        <v>7714</v>
      </c>
      <c r="D2597" s="87" t="s">
        <v>262</v>
      </c>
      <c r="E2597" s="87" t="s">
        <v>263</v>
      </c>
      <c r="F2597" s="87" t="s">
        <v>415</v>
      </c>
      <c r="G2597" s="93"/>
      <c r="H2597" s="93"/>
      <c r="I2597" s="87" t="s">
        <v>58</v>
      </c>
      <c r="J2597" s="87" t="s">
        <v>7715</v>
      </c>
      <c r="K2597" s="90">
        <v>1.0</v>
      </c>
      <c r="L2597" s="92"/>
      <c r="M2597" s="93"/>
      <c r="N2597" s="87" t="s">
        <v>6200</v>
      </c>
      <c r="O2597" s="87" t="s">
        <v>377</v>
      </c>
      <c r="P2597" s="87" t="s">
        <v>372</v>
      </c>
    </row>
    <row r="2598" ht="15.75" customHeight="1">
      <c r="A2598" s="87" t="s">
        <v>7716</v>
      </c>
      <c r="B2598" s="88">
        <v>1.22E18</v>
      </c>
      <c r="C2598" s="87" t="s">
        <v>7717</v>
      </c>
      <c r="D2598" s="87" t="s">
        <v>56</v>
      </c>
      <c r="E2598" s="87" t="s">
        <v>102</v>
      </c>
      <c r="F2598" s="87" t="s">
        <v>1763</v>
      </c>
      <c r="I2598" s="87" t="s">
        <v>457</v>
      </c>
      <c r="J2598" s="87" t="s">
        <v>4382</v>
      </c>
      <c r="K2598" s="90">
        <v>0.0</v>
      </c>
      <c r="L2598" s="92"/>
      <c r="M2598" s="93"/>
      <c r="N2598" s="87" t="s">
        <v>6896</v>
      </c>
      <c r="O2598" s="87" t="s">
        <v>377</v>
      </c>
      <c r="P2598" s="87" t="s">
        <v>372</v>
      </c>
    </row>
    <row r="2599" ht="15.75" customHeight="1">
      <c r="A2599" s="87" t="s">
        <v>7718</v>
      </c>
      <c r="B2599" s="88">
        <v>1.22E18</v>
      </c>
      <c r="C2599" s="87" t="s">
        <v>7719</v>
      </c>
      <c r="D2599" s="87" t="s">
        <v>262</v>
      </c>
      <c r="E2599" s="87" t="s">
        <v>267</v>
      </c>
      <c r="F2599" s="87" t="s">
        <v>1749</v>
      </c>
      <c r="H2599" s="93"/>
      <c r="I2599" s="87" t="s">
        <v>58</v>
      </c>
      <c r="J2599" s="87" t="s">
        <v>7720</v>
      </c>
      <c r="K2599" s="90">
        <v>0.0</v>
      </c>
      <c r="L2599" s="92"/>
      <c r="M2599" s="93"/>
      <c r="N2599" s="87" t="s">
        <v>7721</v>
      </c>
      <c r="O2599" s="87" t="s">
        <v>377</v>
      </c>
      <c r="P2599" s="87" t="s">
        <v>372</v>
      </c>
    </row>
    <row r="2600" ht="15.75" customHeight="1">
      <c r="A2600" s="87" t="s">
        <v>7722</v>
      </c>
      <c r="B2600" s="88">
        <v>1.22E18</v>
      </c>
      <c r="C2600" s="87" t="s">
        <v>7723</v>
      </c>
      <c r="D2600" s="87" t="s">
        <v>87</v>
      </c>
      <c r="E2600" s="87" t="s">
        <v>228</v>
      </c>
      <c r="F2600" s="87" t="s">
        <v>379</v>
      </c>
      <c r="G2600" s="93"/>
      <c r="H2600" s="93"/>
      <c r="I2600" s="87" t="s">
        <v>340</v>
      </c>
      <c r="J2600" s="87" t="s">
        <v>7724</v>
      </c>
      <c r="K2600" s="90">
        <v>8000.0</v>
      </c>
      <c r="L2600" s="92"/>
      <c r="M2600" s="93"/>
      <c r="N2600" s="87" t="s">
        <v>6273</v>
      </c>
      <c r="O2600" s="87" t="s">
        <v>377</v>
      </c>
      <c r="P2600" s="87" t="s">
        <v>372</v>
      </c>
    </row>
    <row r="2601" ht="15.75" customHeight="1">
      <c r="A2601" s="87" t="s">
        <v>7725</v>
      </c>
      <c r="B2601" s="88">
        <v>1.22E18</v>
      </c>
      <c r="C2601" s="87" t="s">
        <v>7726</v>
      </c>
      <c r="D2601" s="87" t="s">
        <v>87</v>
      </c>
      <c r="E2601" s="87" t="s">
        <v>228</v>
      </c>
      <c r="F2601" s="87" t="s">
        <v>379</v>
      </c>
      <c r="G2601" s="93"/>
      <c r="H2601" s="93"/>
      <c r="I2601" s="87" t="s">
        <v>340</v>
      </c>
      <c r="J2601" s="87" t="s">
        <v>7724</v>
      </c>
      <c r="K2601" s="90">
        <v>9000.0</v>
      </c>
      <c r="L2601" s="92"/>
      <c r="M2601" s="93"/>
      <c r="N2601" s="87" t="s">
        <v>6273</v>
      </c>
      <c r="O2601" s="87" t="s">
        <v>377</v>
      </c>
      <c r="P2601" s="87" t="s">
        <v>372</v>
      </c>
    </row>
    <row r="2602" ht="15.75" customHeight="1">
      <c r="A2602" s="87" t="s">
        <v>7727</v>
      </c>
      <c r="B2602" s="88">
        <v>1.22E18</v>
      </c>
      <c r="C2602" s="87" t="s">
        <v>7728</v>
      </c>
      <c r="D2602" s="87" t="s">
        <v>87</v>
      </c>
      <c r="E2602" s="87" t="s">
        <v>102</v>
      </c>
      <c r="F2602" s="87" t="s">
        <v>7728</v>
      </c>
      <c r="I2602" s="87" t="s">
        <v>58</v>
      </c>
      <c r="J2602" s="87" t="s">
        <v>7729</v>
      </c>
      <c r="K2602" s="90">
        <v>0.0</v>
      </c>
      <c r="L2602" s="92"/>
      <c r="M2602" s="93"/>
      <c r="N2602" s="87" t="s">
        <v>1772</v>
      </c>
      <c r="O2602" s="87" t="s">
        <v>377</v>
      </c>
      <c r="P2602" s="87" t="s">
        <v>372</v>
      </c>
    </row>
    <row r="2603" ht="15.75" customHeight="1">
      <c r="A2603" s="87" t="s">
        <v>7730</v>
      </c>
      <c r="B2603" s="88">
        <v>1.22E18</v>
      </c>
      <c r="C2603" s="87" t="s">
        <v>7731</v>
      </c>
      <c r="D2603" s="87" t="s">
        <v>87</v>
      </c>
      <c r="E2603" s="87" t="s">
        <v>102</v>
      </c>
      <c r="F2603" s="87" t="s">
        <v>7731</v>
      </c>
      <c r="I2603" s="87" t="s">
        <v>58</v>
      </c>
      <c r="J2603" s="87" t="s">
        <v>7732</v>
      </c>
      <c r="K2603" s="90">
        <v>0.0</v>
      </c>
      <c r="L2603" s="92"/>
      <c r="M2603" s="93"/>
      <c r="N2603" s="87" t="s">
        <v>2572</v>
      </c>
      <c r="O2603" s="87" t="s">
        <v>377</v>
      </c>
      <c r="P2603" s="87" t="s">
        <v>372</v>
      </c>
    </row>
    <row r="2604" ht="15.75" customHeight="1">
      <c r="A2604" s="87" t="s">
        <v>7733</v>
      </c>
      <c r="B2604" s="88">
        <v>1.22E18</v>
      </c>
      <c r="C2604" s="87" t="s">
        <v>7734</v>
      </c>
      <c r="D2604" s="87" t="s">
        <v>87</v>
      </c>
      <c r="E2604" s="87" t="s">
        <v>88</v>
      </c>
      <c r="F2604" s="87" t="s">
        <v>379</v>
      </c>
      <c r="G2604" s="93"/>
      <c r="H2604" s="93"/>
      <c r="I2604" s="87" t="s">
        <v>340</v>
      </c>
      <c r="J2604" s="87" t="s">
        <v>7735</v>
      </c>
      <c r="K2604" s="90">
        <v>100.0</v>
      </c>
      <c r="L2604" s="92"/>
      <c r="M2604" s="93"/>
      <c r="N2604" s="87" t="s">
        <v>2483</v>
      </c>
      <c r="O2604" s="87" t="s">
        <v>377</v>
      </c>
      <c r="P2604" s="87" t="s">
        <v>372</v>
      </c>
    </row>
    <row r="2605" ht="15.75" customHeight="1">
      <c r="A2605" s="87" t="s">
        <v>7736</v>
      </c>
      <c r="B2605" s="88">
        <v>1.22E18</v>
      </c>
      <c r="C2605" s="87" t="s">
        <v>7737</v>
      </c>
      <c r="D2605" s="87" t="s">
        <v>87</v>
      </c>
      <c r="E2605" s="87" t="s">
        <v>88</v>
      </c>
      <c r="F2605" s="87" t="s">
        <v>379</v>
      </c>
      <c r="G2605" s="93"/>
      <c r="H2605" s="93"/>
      <c r="I2605" s="87" t="s">
        <v>340</v>
      </c>
      <c r="J2605" s="87" t="s">
        <v>7735</v>
      </c>
      <c r="K2605" s="90">
        <v>100.0</v>
      </c>
      <c r="L2605" s="92"/>
      <c r="M2605" s="93"/>
      <c r="N2605" s="87" t="s">
        <v>2483</v>
      </c>
      <c r="O2605" s="87" t="s">
        <v>377</v>
      </c>
      <c r="P2605" s="87" t="s">
        <v>372</v>
      </c>
    </row>
    <row r="2606" ht="15.75" customHeight="1">
      <c r="A2606" s="87" t="s">
        <v>7738</v>
      </c>
      <c r="B2606" s="88">
        <v>1.22E18</v>
      </c>
      <c r="C2606" s="87" t="s">
        <v>7739</v>
      </c>
      <c r="D2606" s="87" t="s">
        <v>87</v>
      </c>
      <c r="E2606" s="87" t="s">
        <v>88</v>
      </c>
      <c r="F2606" s="87" t="s">
        <v>379</v>
      </c>
      <c r="G2606" s="93"/>
      <c r="H2606" s="93"/>
      <c r="I2606" s="87" t="s">
        <v>340</v>
      </c>
      <c r="J2606" s="87" t="s">
        <v>7735</v>
      </c>
      <c r="K2606" s="90">
        <v>100.0</v>
      </c>
      <c r="L2606" s="92"/>
      <c r="M2606" s="93"/>
      <c r="N2606" s="87" t="s">
        <v>2483</v>
      </c>
      <c r="O2606" s="87" t="s">
        <v>377</v>
      </c>
      <c r="P2606" s="87" t="s">
        <v>372</v>
      </c>
    </row>
    <row r="2607" ht="15.75" customHeight="1">
      <c r="A2607" s="87" t="s">
        <v>7740</v>
      </c>
      <c r="B2607" s="88">
        <v>1.22E18</v>
      </c>
      <c r="C2607" s="87" t="s">
        <v>7741</v>
      </c>
      <c r="D2607" s="87" t="s">
        <v>87</v>
      </c>
      <c r="E2607" s="87" t="s">
        <v>88</v>
      </c>
      <c r="F2607" s="87" t="s">
        <v>379</v>
      </c>
      <c r="G2607" s="93"/>
      <c r="H2607" s="93"/>
      <c r="I2607" s="87" t="s">
        <v>340</v>
      </c>
      <c r="J2607" s="87" t="s">
        <v>7735</v>
      </c>
      <c r="K2607" s="90">
        <v>100.0</v>
      </c>
      <c r="L2607" s="92"/>
      <c r="M2607" s="93"/>
      <c r="N2607" s="87" t="s">
        <v>2483</v>
      </c>
      <c r="O2607" s="87" t="s">
        <v>377</v>
      </c>
      <c r="P2607" s="87" t="s">
        <v>372</v>
      </c>
    </row>
    <row r="2608" ht="15.75" customHeight="1">
      <c r="A2608" s="87" t="s">
        <v>7742</v>
      </c>
      <c r="B2608" s="88">
        <v>1.22E18</v>
      </c>
      <c r="C2608" s="87" t="s">
        <v>7743</v>
      </c>
      <c r="D2608" s="87" t="s">
        <v>87</v>
      </c>
      <c r="E2608" s="87" t="s">
        <v>88</v>
      </c>
      <c r="F2608" s="87" t="s">
        <v>379</v>
      </c>
      <c r="G2608" s="93"/>
      <c r="H2608" s="93"/>
      <c r="I2608" s="87" t="s">
        <v>340</v>
      </c>
      <c r="J2608" s="87" t="s">
        <v>7744</v>
      </c>
      <c r="K2608" s="90">
        <v>500.0</v>
      </c>
      <c r="L2608" s="92"/>
      <c r="M2608" s="93"/>
      <c r="N2608" s="87" t="s">
        <v>2483</v>
      </c>
      <c r="O2608" s="87" t="s">
        <v>377</v>
      </c>
      <c r="P2608" s="87" t="s">
        <v>372</v>
      </c>
    </row>
    <row r="2609" ht="15.75" customHeight="1">
      <c r="A2609" s="87" t="s">
        <v>7745</v>
      </c>
      <c r="B2609" s="88">
        <v>1.22E18</v>
      </c>
      <c r="C2609" s="87" t="s">
        <v>7746</v>
      </c>
      <c r="D2609" s="87" t="s">
        <v>87</v>
      </c>
      <c r="E2609" s="87" t="s">
        <v>88</v>
      </c>
      <c r="F2609" s="87" t="s">
        <v>379</v>
      </c>
      <c r="G2609" s="93"/>
      <c r="H2609" s="93"/>
      <c r="I2609" s="87" t="s">
        <v>340</v>
      </c>
      <c r="J2609" s="87" t="s">
        <v>4159</v>
      </c>
      <c r="K2609" s="90">
        <v>500.0</v>
      </c>
      <c r="L2609" s="92"/>
      <c r="M2609" s="93"/>
      <c r="N2609" s="87" t="s">
        <v>2483</v>
      </c>
      <c r="O2609" s="87" t="s">
        <v>377</v>
      </c>
      <c r="P2609" s="87" t="s">
        <v>372</v>
      </c>
    </row>
    <row r="2610" ht="15.75" customHeight="1">
      <c r="A2610" s="87" t="s">
        <v>7747</v>
      </c>
      <c r="B2610" s="88">
        <v>1.22E18</v>
      </c>
      <c r="C2610" s="87" t="s">
        <v>7748</v>
      </c>
      <c r="D2610" s="87" t="s">
        <v>87</v>
      </c>
      <c r="E2610" s="87" t="s">
        <v>88</v>
      </c>
      <c r="F2610" s="87" t="s">
        <v>379</v>
      </c>
      <c r="G2610" s="93"/>
      <c r="H2610" s="93"/>
      <c r="I2610" s="87" t="s">
        <v>340</v>
      </c>
      <c r="J2610" s="87" t="s">
        <v>934</v>
      </c>
      <c r="K2610" s="90">
        <v>860.0</v>
      </c>
      <c r="L2610" s="92"/>
      <c r="M2610" s="93"/>
      <c r="N2610" s="87" t="s">
        <v>2483</v>
      </c>
      <c r="O2610" s="87" t="s">
        <v>377</v>
      </c>
      <c r="P2610" s="87" t="s">
        <v>372</v>
      </c>
    </row>
    <row r="2611" ht="15.75" customHeight="1">
      <c r="A2611" s="87" t="s">
        <v>7749</v>
      </c>
      <c r="B2611" s="88">
        <v>1.22E18</v>
      </c>
      <c r="C2611" s="87" t="s">
        <v>7750</v>
      </c>
      <c r="D2611" s="87" t="s">
        <v>87</v>
      </c>
      <c r="E2611" s="87" t="s">
        <v>88</v>
      </c>
      <c r="F2611" s="87" t="s">
        <v>379</v>
      </c>
      <c r="G2611" s="93"/>
      <c r="H2611" s="93"/>
      <c r="I2611" s="87" t="s">
        <v>340</v>
      </c>
      <c r="J2611" s="87" t="s">
        <v>4001</v>
      </c>
      <c r="K2611" s="90">
        <v>860.0</v>
      </c>
      <c r="L2611" s="92"/>
      <c r="M2611" s="93"/>
      <c r="N2611" s="87" t="s">
        <v>2483</v>
      </c>
      <c r="O2611" s="87" t="s">
        <v>377</v>
      </c>
      <c r="P2611" s="87" t="s">
        <v>372</v>
      </c>
    </row>
    <row r="2612" ht="15.75" customHeight="1">
      <c r="A2612" s="87" t="s">
        <v>7751</v>
      </c>
      <c r="B2612" s="88">
        <v>1.22E18</v>
      </c>
      <c r="C2612" s="87" t="s">
        <v>7752</v>
      </c>
      <c r="D2612" s="87" t="s">
        <v>87</v>
      </c>
      <c r="E2612" s="87" t="s">
        <v>88</v>
      </c>
      <c r="F2612" s="87" t="s">
        <v>379</v>
      </c>
      <c r="G2612" s="93"/>
      <c r="H2612" s="93"/>
      <c r="I2612" s="87" t="s">
        <v>340</v>
      </c>
      <c r="J2612" s="87" t="s">
        <v>4001</v>
      </c>
      <c r="K2612" s="90">
        <v>860.0</v>
      </c>
      <c r="L2612" s="92"/>
      <c r="M2612" s="93"/>
      <c r="N2612" s="87" t="s">
        <v>2483</v>
      </c>
      <c r="O2612" s="87" t="s">
        <v>377</v>
      </c>
      <c r="P2612" s="87" t="s">
        <v>372</v>
      </c>
    </row>
    <row r="2613" ht="15.75" customHeight="1">
      <c r="A2613" s="87" t="s">
        <v>7753</v>
      </c>
      <c r="B2613" s="88">
        <v>1.22E18</v>
      </c>
      <c r="C2613" s="87" t="s">
        <v>7754</v>
      </c>
      <c r="D2613" s="87" t="s">
        <v>87</v>
      </c>
      <c r="E2613" s="87" t="s">
        <v>228</v>
      </c>
      <c r="F2613" s="87" t="s">
        <v>379</v>
      </c>
      <c r="G2613" s="93"/>
      <c r="H2613" s="93"/>
      <c r="I2613" s="87" t="s">
        <v>340</v>
      </c>
      <c r="J2613" s="87" t="s">
        <v>7755</v>
      </c>
      <c r="K2613" s="90">
        <v>200.0</v>
      </c>
      <c r="L2613" s="92"/>
      <c r="M2613" s="93"/>
      <c r="N2613" s="87" t="s">
        <v>6386</v>
      </c>
      <c r="O2613" s="87" t="s">
        <v>377</v>
      </c>
      <c r="P2613" s="87" t="s">
        <v>372</v>
      </c>
    </row>
    <row r="2614" ht="15.75" customHeight="1">
      <c r="A2614" s="87" t="s">
        <v>7756</v>
      </c>
      <c r="B2614" s="88">
        <v>1.22E18</v>
      </c>
      <c r="C2614" s="87" t="s">
        <v>7757</v>
      </c>
      <c r="D2614" s="87" t="s">
        <v>87</v>
      </c>
      <c r="E2614" s="87" t="s">
        <v>228</v>
      </c>
      <c r="F2614" s="87" t="s">
        <v>379</v>
      </c>
      <c r="G2614" s="93"/>
      <c r="H2614" s="93"/>
      <c r="I2614" s="87" t="s">
        <v>340</v>
      </c>
      <c r="J2614" s="87" t="s">
        <v>7755</v>
      </c>
      <c r="K2614" s="90">
        <v>200.0</v>
      </c>
      <c r="L2614" s="92"/>
      <c r="M2614" s="93"/>
      <c r="N2614" s="87" t="s">
        <v>6386</v>
      </c>
      <c r="O2614" s="87" t="s">
        <v>377</v>
      </c>
      <c r="P2614" s="87" t="s">
        <v>372</v>
      </c>
    </row>
    <row r="2615" ht="15.75" customHeight="1">
      <c r="A2615" s="87" t="s">
        <v>7758</v>
      </c>
      <c r="B2615" s="88">
        <v>1.22E18</v>
      </c>
      <c r="C2615" s="87" t="s">
        <v>7759</v>
      </c>
      <c r="D2615" s="87" t="s">
        <v>87</v>
      </c>
      <c r="E2615" s="87" t="s">
        <v>228</v>
      </c>
      <c r="F2615" s="87" t="s">
        <v>379</v>
      </c>
      <c r="G2615" s="93"/>
      <c r="H2615" s="93"/>
      <c r="I2615" s="87" t="s">
        <v>340</v>
      </c>
      <c r="J2615" s="87" t="s">
        <v>1275</v>
      </c>
      <c r="K2615" s="90">
        <v>200.0</v>
      </c>
      <c r="L2615" s="92"/>
      <c r="M2615" s="93"/>
      <c r="N2615" s="93"/>
      <c r="O2615" s="87" t="s">
        <v>377</v>
      </c>
      <c r="P2615" s="87" t="s">
        <v>372</v>
      </c>
    </row>
    <row r="2616" ht="15.75" customHeight="1">
      <c r="A2616" s="87" t="s">
        <v>7760</v>
      </c>
      <c r="B2616" s="88">
        <v>1.22E18</v>
      </c>
      <c r="C2616" s="87" t="s">
        <v>7761</v>
      </c>
      <c r="D2616" s="87" t="s">
        <v>87</v>
      </c>
      <c r="E2616" s="87" t="s">
        <v>228</v>
      </c>
      <c r="F2616" s="87" t="s">
        <v>379</v>
      </c>
      <c r="G2616" s="93"/>
      <c r="H2616" s="93"/>
      <c r="I2616" s="87" t="s">
        <v>340</v>
      </c>
      <c r="J2616" s="87" t="s">
        <v>1275</v>
      </c>
      <c r="K2616" s="90">
        <v>200.0</v>
      </c>
      <c r="L2616" s="92"/>
      <c r="M2616" s="93"/>
      <c r="N2616" s="87" t="s">
        <v>6386</v>
      </c>
      <c r="O2616" s="87" t="s">
        <v>377</v>
      </c>
      <c r="P2616" s="87" t="s">
        <v>372</v>
      </c>
    </row>
    <row r="2617" ht="15.75" customHeight="1">
      <c r="A2617" s="87" t="s">
        <v>7762</v>
      </c>
      <c r="B2617" s="88">
        <v>1.22E18</v>
      </c>
      <c r="C2617" s="87" t="s">
        <v>7763</v>
      </c>
      <c r="D2617" s="87" t="s">
        <v>87</v>
      </c>
      <c r="E2617" s="87" t="s">
        <v>228</v>
      </c>
      <c r="F2617" s="87" t="s">
        <v>379</v>
      </c>
      <c r="G2617" s="93"/>
      <c r="H2617" s="93"/>
      <c r="I2617" s="87" t="s">
        <v>340</v>
      </c>
      <c r="J2617" s="87" t="s">
        <v>1275</v>
      </c>
      <c r="K2617" s="90">
        <v>2000.0</v>
      </c>
      <c r="L2617" s="92"/>
      <c r="M2617" s="93"/>
      <c r="N2617" s="87" t="s">
        <v>6386</v>
      </c>
      <c r="O2617" s="87" t="s">
        <v>377</v>
      </c>
      <c r="P2617" s="87" t="s">
        <v>372</v>
      </c>
    </row>
    <row r="2618" ht="15.75" customHeight="1">
      <c r="A2618" s="87" t="s">
        <v>7764</v>
      </c>
      <c r="B2618" s="88">
        <v>1.22E18</v>
      </c>
      <c r="C2618" s="87" t="s">
        <v>7765</v>
      </c>
      <c r="D2618" s="87" t="s">
        <v>87</v>
      </c>
      <c r="E2618" s="87" t="s">
        <v>88</v>
      </c>
      <c r="F2618" s="87" t="s">
        <v>379</v>
      </c>
      <c r="G2618" s="93"/>
      <c r="H2618" s="93"/>
      <c r="I2618" s="87" t="s">
        <v>58</v>
      </c>
      <c r="J2618" s="87" t="s">
        <v>7766</v>
      </c>
      <c r="K2618" s="90">
        <v>1.0</v>
      </c>
      <c r="L2618" s="92"/>
      <c r="M2618" s="93"/>
      <c r="N2618" s="87" t="s">
        <v>6386</v>
      </c>
      <c r="O2618" s="87" t="s">
        <v>377</v>
      </c>
      <c r="P2618" s="87" t="s">
        <v>372</v>
      </c>
    </row>
    <row r="2619" ht="15.75" customHeight="1">
      <c r="A2619" s="87" t="s">
        <v>7767</v>
      </c>
      <c r="B2619" s="88">
        <v>1.22E18</v>
      </c>
      <c r="C2619" s="87" t="s">
        <v>7768</v>
      </c>
      <c r="D2619" s="87" t="s">
        <v>87</v>
      </c>
      <c r="E2619" s="87" t="s">
        <v>228</v>
      </c>
      <c r="F2619" s="87" t="s">
        <v>379</v>
      </c>
      <c r="G2619" s="93"/>
      <c r="H2619" s="93"/>
      <c r="I2619" s="87" t="s">
        <v>340</v>
      </c>
      <c r="J2619" s="87" t="s">
        <v>1275</v>
      </c>
      <c r="K2619" s="90">
        <v>2000.0</v>
      </c>
      <c r="L2619" s="92"/>
      <c r="M2619" s="93"/>
      <c r="N2619" s="87" t="s">
        <v>6386</v>
      </c>
      <c r="O2619" s="87" t="s">
        <v>377</v>
      </c>
      <c r="P2619" s="87" t="s">
        <v>372</v>
      </c>
    </row>
    <row r="2620" ht="15.75" customHeight="1">
      <c r="A2620" s="87" t="s">
        <v>7769</v>
      </c>
      <c r="B2620" s="88">
        <v>1.22E18</v>
      </c>
      <c r="C2620" s="87" t="s">
        <v>7770</v>
      </c>
      <c r="D2620" s="87" t="s">
        <v>87</v>
      </c>
      <c r="E2620" s="87" t="s">
        <v>228</v>
      </c>
      <c r="F2620" s="87" t="s">
        <v>379</v>
      </c>
      <c r="G2620" s="93"/>
      <c r="H2620" s="93"/>
      <c r="I2620" s="87" t="s">
        <v>340</v>
      </c>
      <c r="J2620" s="87" t="s">
        <v>1275</v>
      </c>
      <c r="K2620" s="90">
        <v>2000.0</v>
      </c>
      <c r="L2620" s="92"/>
      <c r="M2620" s="93"/>
      <c r="N2620" s="87" t="s">
        <v>6386</v>
      </c>
      <c r="O2620" s="87" t="s">
        <v>377</v>
      </c>
      <c r="P2620" s="87" t="s">
        <v>372</v>
      </c>
    </row>
    <row r="2621" ht="15.75" customHeight="1">
      <c r="A2621" s="87" t="s">
        <v>7771</v>
      </c>
      <c r="B2621" s="88">
        <v>1.22E18</v>
      </c>
      <c r="C2621" s="87" t="s">
        <v>7772</v>
      </c>
      <c r="D2621" s="87" t="s">
        <v>87</v>
      </c>
      <c r="E2621" s="87" t="s">
        <v>228</v>
      </c>
      <c r="F2621" s="87" t="s">
        <v>379</v>
      </c>
      <c r="G2621" s="93"/>
      <c r="H2621" s="93"/>
      <c r="I2621" s="87" t="s">
        <v>340</v>
      </c>
      <c r="J2621" s="87" t="s">
        <v>1275</v>
      </c>
      <c r="K2621" s="90">
        <v>2000.0</v>
      </c>
      <c r="L2621" s="92"/>
      <c r="M2621" s="93"/>
      <c r="N2621" s="87" t="s">
        <v>6386</v>
      </c>
      <c r="O2621" s="87" t="s">
        <v>377</v>
      </c>
      <c r="P2621" s="87" t="s">
        <v>372</v>
      </c>
    </row>
    <row r="2622" ht="15.75" customHeight="1">
      <c r="A2622" s="87" t="s">
        <v>7773</v>
      </c>
      <c r="B2622" s="88">
        <v>1.22E18</v>
      </c>
      <c r="C2622" s="87" t="s">
        <v>7774</v>
      </c>
      <c r="D2622" s="87" t="s">
        <v>87</v>
      </c>
      <c r="E2622" s="87" t="s">
        <v>228</v>
      </c>
      <c r="F2622" s="87" t="s">
        <v>7774</v>
      </c>
      <c r="I2622" s="87" t="s">
        <v>340</v>
      </c>
      <c r="J2622" s="87" t="s">
        <v>1275</v>
      </c>
      <c r="K2622" s="90">
        <v>2000.0</v>
      </c>
      <c r="L2622" s="92"/>
      <c r="M2622" s="93"/>
      <c r="N2622" s="87" t="s">
        <v>6386</v>
      </c>
      <c r="O2622" s="87" t="s">
        <v>377</v>
      </c>
      <c r="P2622" s="87" t="s">
        <v>372</v>
      </c>
    </row>
    <row r="2623" ht="15.75" customHeight="1">
      <c r="A2623" s="87" t="s">
        <v>7775</v>
      </c>
      <c r="B2623" s="88">
        <v>1.22E18</v>
      </c>
      <c r="C2623" s="87" t="s">
        <v>7776</v>
      </c>
      <c r="D2623" s="87" t="s">
        <v>87</v>
      </c>
      <c r="E2623" s="87" t="s">
        <v>228</v>
      </c>
      <c r="F2623" s="87" t="s">
        <v>379</v>
      </c>
      <c r="G2623" s="93"/>
      <c r="H2623" s="93"/>
      <c r="I2623" s="87" t="s">
        <v>340</v>
      </c>
      <c r="J2623" s="87" t="s">
        <v>1275</v>
      </c>
      <c r="K2623" s="90">
        <v>2000.0</v>
      </c>
      <c r="L2623" s="92"/>
      <c r="M2623" s="93"/>
      <c r="N2623" s="87" t="s">
        <v>6386</v>
      </c>
      <c r="O2623" s="87" t="s">
        <v>377</v>
      </c>
      <c r="P2623" s="87" t="s">
        <v>372</v>
      </c>
    </row>
    <row r="2624" ht="15.75" customHeight="1">
      <c r="A2624" s="87" t="s">
        <v>7777</v>
      </c>
      <c r="B2624" s="88">
        <v>1.22E18</v>
      </c>
      <c r="C2624" s="87" t="s">
        <v>7778</v>
      </c>
      <c r="D2624" s="87" t="s">
        <v>87</v>
      </c>
      <c r="E2624" s="87" t="s">
        <v>228</v>
      </c>
      <c r="F2624" s="87" t="s">
        <v>379</v>
      </c>
      <c r="G2624" s="93"/>
      <c r="H2624" s="93"/>
      <c r="I2624" s="87" t="s">
        <v>340</v>
      </c>
      <c r="J2624" s="87" t="s">
        <v>1275</v>
      </c>
      <c r="K2624" s="90">
        <v>2000.0</v>
      </c>
      <c r="L2624" s="92"/>
      <c r="M2624" s="93"/>
      <c r="N2624" s="87" t="s">
        <v>6386</v>
      </c>
      <c r="O2624" s="87" t="s">
        <v>377</v>
      </c>
      <c r="P2624" s="87" t="s">
        <v>372</v>
      </c>
    </row>
    <row r="2625" ht="15.75" customHeight="1">
      <c r="A2625" s="87" t="s">
        <v>7779</v>
      </c>
      <c r="B2625" s="88">
        <v>1.22E18</v>
      </c>
      <c r="C2625" s="87" t="s">
        <v>7780</v>
      </c>
      <c r="D2625" s="87" t="s">
        <v>87</v>
      </c>
      <c r="E2625" s="87" t="s">
        <v>228</v>
      </c>
      <c r="F2625" s="87" t="s">
        <v>7780</v>
      </c>
      <c r="I2625" s="87" t="s">
        <v>340</v>
      </c>
      <c r="J2625" s="87" t="s">
        <v>1275</v>
      </c>
      <c r="K2625" s="90">
        <v>2000.0</v>
      </c>
      <c r="L2625" s="92"/>
      <c r="M2625" s="93"/>
      <c r="N2625" s="87" t="s">
        <v>6386</v>
      </c>
      <c r="O2625" s="87" t="s">
        <v>377</v>
      </c>
      <c r="P2625" s="87" t="s">
        <v>372</v>
      </c>
    </row>
    <row r="2626" ht="15.75" customHeight="1">
      <c r="A2626" s="87" t="s">
        <v>7781</v>
      </c>
      <c r="B2626" s="88">
        <v>1.22E18</v>
      </c>
      <c r="C2626" s="87" t="s">
        <v>7782</v>
      </c>
      <c r="D2626" s="87" t="s">
        <v>87</v>
      </c>
      <c r="E2626" s="87" t="s">
        <v>228</v>
      </c>
      <c r="F2626" s="87" t="s">
        <v>379</v>
      </c>
      <c r="G2626" s="93"/>
      <c r="H2626" s="93"/>
      <c r="I2626" s="87" t="s">
        <v>340</v>
      </c>
      <c r="J2626" s="87" t="s">
        <v>1275</v>
      </c>
      <c r="K2626" s="90">
        <v>400.0</v>
      </c>
      <c r="L2626" s="92"/>
      <c r="M2626" s="93"/>
      <c r="N2626" s="87" t="s">
        <v>6386</v>
      </c>
      <c r="O2626" s="87" t="s">
        <v>377</v>
      </c>
      <c r="P2626" s="87" t="s">
        <v>372</v>
      </c>
    </row>
    <row r="2627" ht="15.75" customHeight="1">
      <c r="A2627" s="87" t="s">
        <v>7783</v>
      </c>
      <c r="B2627" s="88">
        <v>1.22E18</v>
      </c>
      <c r="C2627" s="87" t="s">
        <v>7784</v>
      </c>
      <c r="D2627" s="87" t="s">
        <v>56</v>
      </c>
      <c r="E2627" s="87" t="s">
        <v>102</v>
      </c>
      <c r="F2627" s="87" t="s">
        <v>1763</v>
      </c>
      <c r="I2627" s="87" t="s">
        <v>58</v>
      </c>
      <c r="J2627" s="87" t="s">
        <v>7785</v>
      </c>
      <c r="K2627" s="90">
        <v>0.0</v>
      </c>
      <c r="L2627" s="92"/>
      <c r="M2627" s="93"/>
      <c r="N2627" s="87" t="s">
        <v>7786</v>
      </c>
      <c r="O2627" s="87" t="s">
        <v>377</v>
      </c>
      <c r="P2627" s="87" t="s">
        <v>372</v>
      </c>
    </row>
    <row r="2628" ht="15.75" customHeight="1">
      <c r="A2628" s="87" t="s">
        <v>7787</v>
      </c>
      <c r="B2628" s="88">
        <v>1.22E18</v>
      </c>
      <c r="C2628" s="87" t="s">
        <v>7788</v>
      </c>
      <c r="D2628" s="87" t="s">
        <v>56</v>
      </c>
      <c r="E2628" s="87" t="s">
        <v>102</v>
      </c>
      <c r="F2628" s="87" t="s">
        <v>1763</v>
      </c>
      <c r="I2628" s="87" t="s">
        <v>58</v>
      </c>
      <c r="J2628" s="87" t="s">
        <v>7785</v>
      </c>
      <c r="K2628" s="90">
        <v>0.0</v>
      </c>
      <c r="L2628" s="92"/>
      <c r="M2628" s="93"/>
      <c r="N2628" s="87" t="s">
        <v>7786</v>
      </c>
      <c r="O2628" s="87" t="s">
        <v>377</v>
      </c>
      <c r="P2628" s="87" t="s">
        <v>372</v>
      </c>
    </row>
    <row r="2629" ht="15.75" customHeight="1">
      <c r="A2629" s="87" t="s">
        <v>7789</v>
      </c>
      <c r="B2629" s="88">
        <v>1.22E18</v>
      </c>
      <c r="C2629" s="87" t="s">
        <v>7790</v>
      </c>
      <c r="D2629" s="87" t="s">
        <v>56</v>
      </c>
      <c r="E2629" s="87" t="s">
        <v>102</v>
      </c>
      <c r="F2629" s="87" t="s">
        <v>1763</v>
      </c>
      <c r="I2629" s="87" t="s">
        <v>58</v>
      </c>
      <c r="J2629" s="87" t="s">
        <v>7785</v>
      </c>
      <c r="K2629" s="90">
        <v>0.0</v>
      </c>
      <c r="L2629" s="92"/>
      <c r="M2629" s="93"/>
      <c r="N2629" s="87" t="s">
        <v>7786</v>
      </c>
      <c r="O2629" s="87" t="s">
        <v>377</v>
      </c>
      <c r="P2629" s="87" t="s">
        <v>372</v>
      </c>
    </row>
    <row r="2630" ht="15.75" customHeight="1">
      <c r="A2630" s="87" t="s">
        <v>7791</v>
      </c>
      <c r="B2630" s="88">
        <v>1.22E18</v>
      </c>
      <c r="C2630" s="87" t="s">
        <v>7792</v>
      </c>
      <c r="D2630" s="87" t="s">
        <v>56</v>
      </c>
      <c r="E2630" s="87" t="s">
        <v>102</v>
      </c>
      <c r="F2630" s="87" t="s">
        <v>1763</v>
      </c>
      <c r="I2630" s="87" t="s">
        <v>58</v>
      </c>
      <c r="J2630" s="87" t="s">
        <v>7785</v>
      </c>
      <c r="K2630" s="90">
        <v>0.0</v>
      </c>
      <c r="L2630" s="92"/>
      <c r="M2630" s="93"/>
      <c r="N2630" s="87" t="s">
        <v>7786</v>
      </c>
      <c r="O2630" s="87" t="s">
        <v>377</v>
      </c>
      <c r="P2630" s="87" t="s">
        <v>372</v>
      </c>
    </row>
    <row r="2631" ht="15.75" customHeight="1">
      <c r="A2631" s="87" t="s">
        <v>7793</v>
      </c>
      <c r="B2631" s="88">
        <v>1.22E18</v>
      </c>
      <c r="C2631" s="87" t="s">
        <v>7794</v>
      </c>
      <c r="D2631" s="87" t="s">
        <v>56</v>
      </c>
      <c r="E2631" s="87" t="s">
        <v>102</v>
      </c>
      <c r="F2631" s="87" t="s">
        <v>1763</v>
      </c>
      <c r="I2631" s="87" t="s">
        <v>58</v>
      </c>
      <c r="J2631" s="87" t="s">
        <v>7795</v>
      </c>
      <c r="K2631" s="90">
        <v>0.0</v>
      </c>
      <c r="L2631" s="92"/>
      <c r="M2631" s="93"/>
      <c r="N2631" s="87" t="s">
        <v>4427</v>
      </c>
      <c r="O2631" s="87" t="s">
        <v>377</v>
      </c>
      <c r="P2631" s="87" t="s">
        <v>372</v>
      </c>
    </row>
    <row r="2632" ht="15.75" customHeight="1">
      <c r="A2632" s="87" t="s">
        <v>7796</v>
      </c>
      <c r="B2632" s="88">
        <v>1.22E18</v>
      </c>
      <c r="C2632" s="87" t="s">
        <v>7797</v>
      </c>
      <c r="D2632" s="87" t="s">
        <v>87</v>
      </c>
      <c r="E2632" s="87" t="s">
        <v>88</v>
      </c>
      <c r="F2632" s="87" t="s">
        <v>373</v>
      </c>
      <c r="H2632" s="93"/>
      <c r="I2632" s="87" t="s">
        <v>340</v>
      </c>
      <c r="J2632" s="87" t="s">
        <v>7798</v>
      </c>
      <c r="K2632" s="90">
        <v>420000.0</v>
      </c>
      <c r="L2632" s="92"/>
      <c r="M2632" s="93"/>
      <c r="N2632" s="87" t="s">
        <v>4427</v>
      </c>
      <c r="O2632" s="87" t="s">
        <v>377</v>
      </c>
      <c r="P2632" s="87" t="s">
        <v>372</v>
      </c>
    </row>
    <row r="2633" ht="15.75" customHeight="1">
      <c r="A2633" s="87" t="s">
        <v>7799</v>
      </c>
      <c r="B2633" s="88">
        <v>1.22E18</v>
      </c>
      <c r="C2633" s="87" t="s">
        <v>7800</v>
      </c>
      <c r="D2633" s="87" t="s">
        <v>87</v>
      </c>
      <c r="E2633" s="87" t="s">
        <v>88</v>
      </c>
      <c r="F2633" s="87" t="s">
        <v>373</v>
      </c>
      <c r="H2633" s="93"/>
      <c r="I2633" s="87" t="s">
        <v>340</v>
      </c>
      <c r="J2633" s="87" t="s">
        <v>7801</v>
      </c>
      <c r="K2633" s="90">
        <v>380000.0</v>
      </c>
      <c r="L2633" s="92"/>
      <c r="M2633" s="93"/>
      <c r="N2633" s="87" t="s">
        <v>4427</v>
      </c>
      <c r="O2633" s="87" t="s">
        <v>377</v>
      </c>
      <c r="P2633" s="87" t="s">
        <v>372</v>
      </c>
    </row>
    <row r="2634" ht="15.75" customHeight="1">
      <c r="A2634" s="87" t="s">
        <v>7802</v>
      </c>
      <c r="B2634" s="88">
        <v>1.22E18</v>
      </c>
      <c r="C2634" s="87" t="s">
        <v>7803</v>
      </c>
      <c r="D2634" s="87" t="s">
        <v>87</v>
      </c>
      <c r="E2634" s="87" t="s">
        <v>88</v>
      </c>
      <c r="F2634" s="87" t="s">
        <v>373</v>
      </c>
      <c r="H2634" s="93"/>
      <c r="I2634" s="87" t="s">
        <v>340</v>
      </c>
      <c r="J2634" s="87" t="s">
        <v>7804</v>
      </c>
      <c r="K2634" s="90">
        <v>500000.0</v>
      </c>
      <c r="L2634" s="92"/>
      <c r="M2634" s="93"/>
      <c r="N2634" s="87" t="s">
        <v>4427</v>
      </c>
      <c r="O2634" s="87" t="s">
        <v>377</v>
      </c>
      <c r="P2634" s="87" t="s">
        <v>372</v>
      </c>
    </row>
    <row r="2635" ht="15.75" customHeight="1">
      <c r="A2635" s="87" t="s">
        <v>7805</v>
      </c>
      <c r="B2635" s="88">
        <v>1.22E18</v>
      </c>
      <c r="C2635" s="87" t="s">
        <v>7806</v>
      </c>
      <c r="D2635" s="87" t="s">
        <v>87</v>
      </c>
      <c r="E2635" s="87" t="s">
        <v>88</v>
      </c>
      <c r="F2635" s="87" t="s">
        <v>373</v>
      </c>
      <c r="H2635" s="93"/>
      <c r="I2635" s="87" t="s">
        <v>340</v>
      </c>
      <c r="J2635" s="87" t="s">
        <v>7807</v>
      </c>
      <c r="K2635" s="90">
        <v>300000.0</v>
      </c>
      <c r="L2635" s="92"/>
      <c r="M2635" s="93"/>
      <c r="N2635" s="87" t="s">
        <v>4427</v>
      </c>
      <c r="O2635" s="87" t="s">
        <v>377</v>
      </c>
      <c r="P2635" s="87" t="s">
        <v>372</v>
      </c>
    </row>
    <row r="2636" ht="15.75" customHeight="1">
      <c r="A2636" s="87" t="s">
        <v>7808</v>
      </c>
      <c r="B2636" s="88">
        <v>1.22E18</v>
      </c>
      <c r="C2636" s="87" t="s">
        <v>7809</v>
      </c>
      <c r="D2636" s="87" t="s">
        <v>87</v>
      </c>
      <c r="E2636" s="87" t="s">
        <v>102</v>
      </c>
      <c r="F2636" s="87" t="s">
        <v>7809</v>
      </c>
      <c r="I2636" s="87" t="s">
        <v>58</v>
      </c>
      <c r="J2636" s="87" t="s">
        <v>6792</v>
      </c>
      <c r="K2636" s="90">
        <v>0.0</v>
      </c>
      <c r="L2636" s="92"/>
      <c r="M2636" s="93"/>
      <c r="N2636" s="87" t="s">
        <v>4427</v>
      </c>
      <c r="O2636" s="87" t="s">
        <v>377</v>
      </c>
      <c r="P2636" s="87" t="s">
        <v>372</v>
      </c>
    </row>
    <row r="2637" ht="15.75" customHeight="1">
      <c r="A2637" s="87" t="s">
        <v>7810</v>
      </c>
      <c r="B2637" s="88">
        <v>1.22E18</v>
      </c>
      <c r="C2637" s="87" t="s">
        <v>7811</v>
      </c>
      <c r="D2637" s="87" t="s">
        <v>87</v>
      </c>
      <c r="E2637" s="87" t="s">
        <v>88</v>
      </c>
      <c r="F2637" s="87" t="s">
        <v>7811</v>
      </c>
      <c r="I2637" s="87" t="s">
        <v>58</v>
      </c>
      <c r="J2637" s="87" t="s">
        <v>2070</v>
      </c>
      <c r="K2637" s="90">
        <v>0.0</v>
      </c>
      <c r="L2637" s="92"/>
      <c r="M2637" s="93"/>
      <c r="N2637" s="87" t="s">
        <v>4427</v>
      </c>
      <c r="O2637" s="87" t="s">
        <v>377</v>
      </c>
      <c r="P2637" s="87" t="s">
        <v>372</v>
      </c>
    </row>
    <row r="2638" ht="15.75" customHeight="1">
      <c r="A2638" s="87" t="s">
        <v>7812</v>
      </c>
      <c r="B2638" s="88">
        <v>1.22E18</v>
      </c>
      <c r="C2638" s="87" t="s">
        <v>7813</v>
      </c>
      <c r="D2638" s="87" t="s">
        <v>87</v>
      </c>
      <c r="E2638" s="87" t="s">
        <v>88</v>
      </c>
      <c r="F2638" s="87" t="s">
        <v>373</v>
      </c>
      <c r="H2638" s="93"/>
      <c r="I2638" s="87" t="s">
        <v>315</v>
      </c>
      <c r="J2638" s="87" t="s">
        <v>7814</v>
      </c>
      <c r="K2638" s="90">
        <v>850000.0</v>
      </c>
      <c r="L2638" s="92"/>
      <c r="M2638" s="93"/>
      <c r="N2638" s="93"/>
      <c r="O2638" s="87" t="s">
        <v>377</v>
      </c>
      <c r="P2638" s="87" t="s">
        <v>372</v>
      </c>
    </row>
    <row r="2639" ht="15.75" customHeight="1">
      <c r="A2639" s="87" t="s">
        <v>7815</v>
      </c>
      <c r="B2639" s="88">
        <v>1.22E18</v>
      </c>
      <c r="C2639" s="87" t="s">
        <v>7816</v>
      </c>
      <c r="D2639" s="87" t="s">
        <v>56</v>
      </c>
      <c r="E2639" s="87" t="s">
        <v>248</v>
      </c>
      <c r="F2639" s="87" t="s">
        <v>1763</v>
      </c>
      <c r="I2639" s="87" t="s">
        <v>58</v>
      </c>
      <c r="J2639" s="87" t="s">
        <v>7817</v>
      </c>
      <c r="K2639" s="90">
        <v>0.0</v>
      </c>
      <c r="L2639" s="92"/>
      <c r="M2639" s="93"/>
      <c r="N2639" s="87" t="s">
        <v>2849</v>
      </c>
      <c r="O2639" s="87" t="s">
        <v>377</v>
      </c>
      <c r="P2639" s="87" t="s">
        <v>372</v>
      </c>
    </row>
    <row r="2640" ht="15.75" customHeight="1">
      <c r="A2640" s="87" t="s">
        <v>7818</v>
      </c>
      <c r="B2640" s="88">
        <v>1.22E18</v>
      </c>
      <c r="C2640" s="87" t="s">
        <v>7819</v>
      </c>
      <c r="D2640" s="87" t="s">
        <v>56</v>
      </c>
      <c r="E2640" s="87" t="s">
        <v>102</v>
      </c>
      <c r="F2640" s="87" t="s">
        <v>1763</v>
      </c>
      <c r="I2640" s="87" t="s">
        <v>58</v>
      </c>
      <c r="J2640" s="87" t="s">
        <v>7820</v>
      </c>
      <c r="K2640" s="90">
        <v>0.0</v>
      </c>
      <c r="L2640" s="92"/>
      <c r="M2640" s="93"/>
      <c r="N2640" s="87" t="s">
        <v>2468</v>
      </c>
      <c r="O2640" s="87" t="s">
        <v>377</v>
      </c>
      <c r="P2640" s="87" t="s">
        <v>372</v>
      </c>
    </row>
    <row r="2641" ht="15.75" customHeight="1">
      <c r="A2641" s="87" t="s">
        <v>7821</v>
      </c>
      <c r="B2641" s="88">
        <v>1.22E18</v>
      </c>
      <c r="C2641" s="87" t="s">
        <v>7822</v>
      </c>
      <c r="D2641" s="87" t="s">
        <v>262</v>
      </c>
      <c r="E2641" s="87" t="s">
        <v>278</v>
      </c>
      <c r="F2641" s="87" t="s">
        <v>7822</v>
      </c>
      <c r="H2641" s="93"/>
      <c r="I2641" s="87" t="s">
        <v>58</v>
      </c>
      <c r="J2641" s="87" t="s">
        <v>7823</v>
      </c>
      <c r="L2641" s="92"/>
      <c r="M2641" s="93"/>
      <c r="N2641" s="87" t="s">
        <v>7824</v>
      </c>
      <c r="O2641" s="87" t="s">
        <v>377</v>
      </c>
      <c r="P2641" s="87" t="s">
        <v>2565</v>
      </c>
    </row>
    <row r="2642" ht="15.75" customHeight="1">
      <c r="A2642" s="87" t="s">
        <v>7825</v>
      </c>
      <c r="B2642" s="88">
        <v>1.22E18</v>
      </c>
      <c r="C2642" s="87" t="s">
        <v>7826</v>
      </c>
      <c r="D2642" s="87" t="s">
        <v>87</v>
      </c>
      <c r="E2642" s="87" t="s">
        <v>102</v>
      </c>
      <c r="F2642" s="87" t="s">
        <v>1763</v>
      </c>
      <c r="I2642" s="87" t="s">
        <v>58</v>
      </c>
      <c r="J2642" s="87" t="s">
        <v>1143</v>
      </c>
      <c r="K2642" s="90">
        <v>700.0</v>
      </c>
      <c r="L2642" s="92"/>
      <c r="M2642" s="93"/>
      <c r="N2642" s="87" t="s">
        <v>4427</v>
      </c>
      <c r="O2642" s="87" t="s">
        <v>377</v>
      </c>
      <c r="P2642" s="87" t="s">
        <v>372</v>
      </c>
    </row>
    <row r="2643" ht="15.75" customHeight="1">
      <c r="A2643" s="87" t="s">
        <v>7827</v>
      </c>
      <c r="B2643" s="88">
        <v>1.22E18</v>
      </c>
      <c r="C2643" s="87" t="s">
        <v>7828</v>
      </c>
      <c r="D2643" s="87" t="s">
        <v>87</v>
      </c>
      <c r="E2643" s="87" t="s">
        <v>102</v>
      </c>
      <c r="F2643" s="87" t="s">
        <v>1763</v>
      </c>
      <c r="I2643" s="87" t="s">
        <v>58</v>
      </c>
      <c r="J2643" s="87" t="s">
        <v>7829</v>
      </c>
      <c r="K2643" s="90">
        <v>0.0</v>
      </c>
      <c r="L2643" s="92"/>
      <c r="M2643" s="93"/>
      <c r="N2643" s="87" t="s">
        <v>4427</v>
      </c>
      <c r="O2643" s="87" t="s">
        <v>377</v>
      </c>
      <c r="P2643" s="87" t="s">
        <v>372</v>
      </c>
    </row>
    <row r="2644" ht="15.75" customHeight="1">
      <c r="A2644" s="87" t="s">
        <v>7830</v>
      </c>
      <c r="B2644" s="88">
        <v>1.22E18</v>
      </c>
      <c r="C2644" s="87" t="s">
        <v>7831</v>
      </c>
      <c r="D2644" s="87" t="s">
        <v>87</v>
      </c>
      <c r="E2644" s="87" t="s">
        <v>102</v>
      </c>
      <c r="F2644" s="87" t="s">
        <v>1763</v>
      </c>
      <c r="I2644" s="87" t="s">
        <v>58</v>
      </c>
      <c r="J2644" s="87" t="s">
        <v>7829</v>
      </c>
      <c r="K2644" s="90">
        <v>0.0</v>
      </c>
      <c r="L2644" s="92"/>
      <c r="M2644" s="93"/>
      <c r="N2644" s="87" t="s">
        <v>4427</v>
      </c>
      <c r="O2644" s="87" t="s">
        <v>377</v>
      </c>
      <c r="P2644" s="87" t="s">
        <v>372</v>
      </c>
    </row>
    <row r="2645" ht="15.75" customHeight="1">
      <c r="A2645" s="87" t="s">
        <v>7832</v>
      </c>
      <c r="B2645" s="88">
        <v>1.22E18</v>
      </c>
      <c r="C2645" s="87" t="s">
        <v>7833</v>
      </c>
      <c r="D2645" s="87" t="s">
        <v>262</v>
      </c>
      <c r="E2645" s="87" t="s">
        <v>270</v>
      </c>
      <c r="F2645" s="87" t="s">
        <v>1749</v>
      </c>
      <c r="H2645" s="93"/>
      <c r="I2645" s="87" t="s">
        <v>58</v>
      </c>
      <c r="J2645" s="87" t="s">
        <v>2070</v>
      </c>
      <c r="K2645" s="90">
        <v>0.0</v>
      </c>
      <c r="L2645" s="92"/>
      <c r="M2645" s="93"/>
      <c r="N2645" s="87" t="s">
        <v>5364</v>
      </c>
      <c r="O2645" s="87" t="s">
        <v>377</v>
      </c>
      <c r="P2645" s="87" t="s">
        <v>372</v>
      </c>
    </row>
    <row r="2646" ht="15.75" customHeight="1">
      <c r="A2646" s="87" t="s">
        <v>7834</v>
      </c>
      <c r="B2646" s="88">
        <v>1.22E18</v>
      </c>
      <c r="C2646" s="87" t="s">
        <v>7835</v>
      </c>
      <c r="D2646" s="87" t="s">
        <v>262</v>
      </c>
      <c r="E2646" s="87" t="s">
        <v>270</v>
      </c>
      <c r="F2646" s="87" t="s">
        <v>1749</v>
      </c>
      <c r="H2646" s="93"/>
      <c r="I2646" s="87" t="s">
        <v>58</v>
      </c>
      <c r="J2646" s="87" t="s">
        <v>3738</v>
      </c>
      <c r="K2646" s="90">
        <v>0.0</v>
      </c>
      <c r="L2646" s="92"/>
      <c r="M2646" s="93"/>
      <c r="N2646" s="87" t="s">
        <v>5364</v>
      </c>
      <c r="O2646" s="87" t="s">
        <v>377</v>
      </c>
      <c r="P2646" s="87" t="s">
        <v>372</v>
      </c>
    </row>
    <row r="2647" ht="15.75" customHeight="1">
      <c r="A2647" s="87" t="s">
        <v>7836</v>
      </c>
      <c r="B2647" s="88">
        <v>1.22E18</v>
      </c>
      <c r="C2647" s="87" t="s">
        <v>7837</v>
      </c>
      <c r="D2647" s="87" t="s">
        <v>262</v>
      </c>
      <c r="E2647" s="87" t="s">
        <v>270</v>
      </c>
      <c r="F2647" s="87" t="s">
        <v>1749</v>
      </c>
      <c r="H2647" s="93"/>
      <c r="I2647" s="87" t="s">
        <v>58</v>
      </c>
      <c r="J2647" s="87" t="s">
        <v>4878</v>
      </c>
      <c r="K2647" s="90">
        <v>0.0</v>
      </c>
      <c r="L2647" s="92"/>
      <c r="M2647" s="93"/>
      <c r="N2647" s="87" t="s">
        <v>5364</v>
      </c>
      <c r="O2647" s="87" t="s">
        <v>377</v>
      </c>
      <c r="P2647" s="87" t="s">
        <v>372</v>
      </c>
    </row>
    <row r="2648" ht="15.75" customHeight="1">
      <c r="A2648" s="87" t="s">
        <v>7838</v>
      </c>
      <c r="B2648" s="88">
        <v>1.22E18</v>
      </c>
      <c r="C2648" s="87" t="s">
        <v>7839</v>
      </c>
      <c r="D2648" s="87" t="s">
        <v>262</v>
      </c>
      <c r="E2648" s="87" t="s">
        <v>270</v>
      </c>
      <c r="F2648" s="87" t="s">
        <v>1749</v>
      </c>
      <c r="H2648" s="93"/>
      <c r="I2648" s="87" t="s">
        <v>58</v>
      </c>
      <c r="J2648" s="87" t="s">
        <v>7840</v>
      </c>
      <c r="K2648" s="90">
        <v>0.0</v>
      </c>
      <c r="L2648" s="92"/>
      <c r="M2648" s="93"/>
      <c r="N2648" s="87" t="s">
        <v>5364</v>
      </c>
      <c r="O2648" s="87" t="s">
        <v>377</v>
      </c>
      <c r="P2648" s="87" t="s">
        <v>372</v>
      </c>
    </row>
    <row r="2649" ht="15.75" customHeight="1">
      <c r="A2649" s="87" t="s">
        <v>7841</v>
      </c>
      <c r="B2649" s="88">
        <v>1.22E18</v>
      </c>
      <c r="C2649" s="87" t="s">
        <v>7842</v>
      </c>
      <c r="D2649" s="87" t="s">
        <v>262</v>
      </c>
      <c r="E2649" s="87" t="s">
        <v>270</v>
      </c>
      <c r="F2649" s="87" t="s">
        <v>1749</v>
      </c>
      <c r="H2649" s="93"/>
      <c r="I2649" s="87" t="s">
        <v>58</v>
      </c>
      <c r="J2649" s="87" t="s">
        <v>7840</v>
      </c>
      <c r="K2649" s="90">
        <v>0.0</v>
      </c>
      <c r="L2649" s="92"/>
      <c r="M2649" s="93"/>
      <c r="N2649" s="87" t="s">
        <v>5364</v>
      </c>
      <c r="O2649" s="87" t="s">
        <v>377</v>
      </c>
      <c r="P2649" s="87" t="s">
        <v>372</v>
      </c>
    </row>
    <row r="2650" ht="15.75" customHeight="1">
      <c r="A2650" s="87" t="s">
        <v>7843</v>
      </c>
      <c r="B2650" s="88">
        <v>1.22E18</v>
      </c>
      <c r="C2650" s="87" t="s">
        <v>7844</v>
      </c>
      <c r="D2650" s="87" t="s">
        <v>262</v>
      </c>
      <c r="E2650" s="87" t="s">
        <v>270</v>
      </c>
      <c r="F2650" s="87" t="s">
        <v>1749</v>
      </c>
      <c r="H2650" s="93"/>
      <c r="I2650" s="87" t="s">
        <v>58</v>
      </c>
      <c r="J2650" s="87" t="s">
        <v>2038</v>
      </c>
      <c r="K2650" s="90">
        <v>0.0</v>
      </c>
      <c r="L2650" s="92"/>
      <c r="M2650" s="93"/>
      <c r="N2650" s="87" t="s">
        <v>5364</v>
      </c>
      <c r="O2650" s="87" t="s">
        <v>377</v>
      </c>
      <c r="P2650" s="87" t="s">
        <v>372</v>
      </c>
    </row>
    <row r="2651" ht="15.75" customHeight="1">
      <c r="A2651" s="87" t="s">
        <v>7845</v>
      </c>
      <c r="B2651" s="88">
        <v>1.22E18</v>
      </c>
      <c r="C2651" s="87" t="s">
        <v>7846</v>
      </c>
      <c r="D2651" s="87" t="s">
        <v>262</v>
      </c>
      <c r="E2651" s="87" t="s">
        <v>270</v>
      </c>
      <c r="F2651" s="87" t="s">
        <v>1749</v>
      </c>
      <c r="H2651" s="93"/>
      <c r="I2651" s="87" t="s">
        <v>58</v>
      </c>
      <c r="J2651" s="87" t="s">
        <v>2535</v>
      </c>
      <c r="K2651" s="90">
        <v>0.0</v>
      </c>
      <c r="L2651" s="92"/>
      <c r="M2651" s="93"/>
      <c r="N2651" s="87" t="s">
        <v>5364</v>
      </c>
      <c r="O2651" s="87" t="s">
        <v>377</v>
      </c>
      <c r="P2651" s="87" t="s">
        <v>372</v>
      </c>
    </row>
    <row r="2652" ht="15.75" customHeight="1">
      <c r="A2652" s="87" t="s">
        <v>7847</v>
      </c>
      <c r="B2652" s="88">
        <v>1.22E18</v>
      </c>
      <c r="C2652" s="87" t="s">
        <v>7848</v>
      </c>
      <c r="D2652" s="87" t="s">
        <v>56</v>
      </c>
      <c r="E2652" s="87" t="s">
        <v>248</v>
      </c>
      <c r="F2652" s="87" t="s">
        <v>1749</v>
      </c>
      <c r="H2652" s="93"/>
      <c r="I2652" s="87" t="s">
        <v>58</v>
      </c>
      <c r="J2652" s="87" t="s">
        <v>7849</v>
      </c>
      <c r="K2652" s="90">
        <v>0.0</v>
      </c>
      <c r="L2652" s="92"/>
      <c r="M2652" s="93"/>
      <c r="N2652" s="87" t="s">
        <v>5364</v>
      </c>
      <c r="O2652" s="87" t="s">
        <v>377</v>
      </c>
      <c r="P2652" s="87" t="s">
        <v>372</v>
      </c>
    </row>
    <row r="2653" ht="15.75" customHeight="1">
      <c r="A2653" s="87" t="s">
        <v>7850</v>
      </c>
      <c r="B2653" s="88">
        <v>1.22E18</v>
      </c>
      <c r="C2653" s="87" t="s">
        <v>7851</v>
      </c>
      <c r="D2653" s="87" t="s">
        <v>87</v>
      </c>
      <c r="E2653" s="87" t="s">
        <v>88</v>
      </c>
      <c r="F2653" s="87" t="s">
        <v>373</v>
      </c>
      <c r="H2653" s="93"/>
      <c r="I2653" s="87" t="s">
        <v>327</v>
      </c>
      <c r="J2653" s="87" t="s">
        <v>7852</v>
      </c>
      <c r="K2653" s="90">
        <v>500000.0</v>
      </c>
      <c r="L2653" s="92"/>
      <c r="M2653" s="93"/>
      <c r="N2653" s="87" t="s">
        <v>2572</v>
      </c>
      <c r="O2653" s="87" t="s">
        <v>377</v>
      </c>
      <c r="P2653" s="87" t="s">
        <v>372</v>
      </c>
    </row>
    <row r="2654" ht="15.75" customHeight="1">
      <c r="A2654" s="87" t="s">
        <v>7853</v>
      </c>
      <c r="B2654" s="88">
        <v>1.22E18</v>
      </c>
      <c r="C2654" s="87" t="s">
        <v>7854</v>
      </c>
      <c r="D2654" s="87" t="s">
        <v>87</v>
      </c>
      <c r="E2654" s="87" t="s">
        <v>88</v>
      </c>
      <c r="F2654" s="87" t="s">
        <v>373</v>
      </c>
      <c r="H2654" s="93"/>
      <c r="I2654" s="87" t="s">
        <v>327</v>
      </c>
      <c r="J2654" s="87" t="s">
        <v>7855</v>
      </c>
      <c r="K2654" s="90">
        <v>500000.0</v>
      </c>
      <c r="L2654" s="92"/>
      <c r="M2654" s="93"/>
      <c r="N2654" s="93"/>
      <c r="O2654" s="87" t="s">
        <v>377</v>
      </c>
      <c r="P2654" s="87" t="s">
        <v>372</v>
      </c>
    </row>
    <row r="2655" ht="15.75" customHeight="1">
      <c r="A2655" s="87" t="s">
        <v>7856</v>
      </c>
      <c r="B2655" s="88">
        <v>1.22E18</v>
      </c>
      <c r="C2655" s="87" t="s">
        <v>7857</v>
      </c>
      <c r="D2655" s="87" t="s">
        <v>87</v>
      </c>
      <c r="E2655" s="87" t="s">
        <v>88</v>
      </c>
      <c r="F2655" s="87" t="s">
        <v>373</v>
      </c>
      <c r="H2655" s="93"/>
      <c r="I2655" s="87" t="s">
        <v>327</v>
      </c>
      <c r="J2655" s="87" t="s">
        <v>7858</v>
      </c>
      <c r="K2655" s="90">
        <v>100000.0</v>
      </c>
      <c r="L2655" s="92"/>
      <c r="M2655" s="93"/>
      <c r="N2655" s="87" t="s">
        <v>2572</v>
      </c>
      <c r="O2655" s="87" t="s">
        <v>377</v>
      </c>
      <c r="P2655" s="87" t="s">
        <v>372</v>
      </c>
    </row>
    <row r="2656" ht="15.75" customHeight="1">
      <c r="A2656" s="87" t="s">
        <v>7859</v>
      </c>
      <c r="B2656" s="88">
        <v>1.22E18</v>
      </c>
      <c r="C2656" s="87" t="s">
        <v>7860</v>
      </c>
      <c r="D2656" s="87" t="s">
        <v>87</v>
      </c>
      <c r="E2656" s="87" t="s">
        <v>88</v>
      </c>
      <c r="F2656" s="87" t="s">
        <v>373</v>
      </c>
      <c r="H2656" s="93"/>
      <c r="I2656" s="87" t="s">
        <v>327</v>
      </c>
      <c r="J2656" s="87" t="s">
        <v>7861</v>
      </c>
      <c r="K2656" s="90">
        <v>500000.0</v>
      </c>
      <c r="L2656" s="92"/>
      <c r="M2656" s="93"/>
      <c r="N2656" s="87" t="s">
        <v>2572</v>
      </c>
      <c r="O2656" s="87" t="s">
        <v>377</v>
      </c>
      <c r="P2656" s="87" t="s">
        <v>372</v>
      </c>
    </row>
    <row r="2657" ht="15.75" customHeight="1">
      <c r="A2657" s="87" t="s">
        <v>7862</v>
      </c>
      <c r="B2657" s="88">
        <v>1.22E18</v>
      </c>
      <c r="C2657" s="87" t="s">
        <v>7863</v>
      </c>
      <c r="D2657" s="87" t="s">
        <v>87</v>
      </c>
      <c r="E2657" s="87" t="s">
        <v>88</v>
      </c>
      <c r="F2657" s="87" t="s">
        <v>373</v>
      </c>
      <c r="H2657" s="93"/>
      <c r="I2657" s="87" t="s">
        <v>327</v>
      </c>
      <c r="J2657" s="87" t="s">
        <v>7864</v>
      </c>
      <c r="K2657" s="90">
        <v>350000.0</v>
      </c>
      <c r="L2657" s="92"/>
      <c r="M2657" s="93"/>
      <c r="N2657" s="87" t="s">
        <v>2572</v>
      </c>
      <c r="O2657" s="87" t="s">
        <v>377</v>
      </c>
      <c r="P2657" s="87" t="s">
        <v>372</v>
      </c>
    </row>
    <row r="2658" ht="15.75" customHeight="1">
      <c r="A2658" s="87" t="s">
        <v>7865</v>
      </c>
      <c r="B2658" s="88">
        <v>1.22E18</v>
      </c>
      <c r="C2658" s="87" t="s">
        <v>7866</v>
      </c>
      <c r="D2658" s="87" t="s">
        <v>87</v>
      </c>
      <c r="E2658" s="87" t="s">
        <v>88</v>
      </c>
      <c r="F2658" s="87" t="s">
        <v>373</v>
      </c>
      <c r="H2658" s="93"/>
      <c r="I2658" s="87" t="s">
        <v>327</v>
      </c>
      <c r="J2658" s="87" t="s">
        <v>7867</v>
      </c>
      <c r="K2658" s="90">
        <v>500000.0</v>
      </c>
      <c r="L2658" s="92"/>
      <c r="M2658" s="93"/>
      <c r="N2658" s="87" t="s">
        <v>2572</v>
      </c>
      <c r="O2658" s="87" t="s">
        <v>377</v>
      </c>
      <c r="P2658" s="87" t="s">
        <v>372</v>
      </c>
    </row>
    <row r="2659" ht="15.75" customHeight="1">
      <c r="A2659" s="87" t="s">
        <v>7868</v>
      </c>
      <c r="B2659" s="88">
        <v>1.22E18</v>
      </c>
      <c r="C2659" s="87" t="s">
        <v>7869</v>
      </c>
      <c r="D2659" s="87" t="s">
        <v>87</v>
      </c>
      <c r="E2659" s="87" t="s">
        <v>88</v>
      </c>
      <c r="F2659" s="87" t="s">
        <v>373</v>
      </c>
      <c r="H2659" s="93"/>
      <c r="I2659" s="87" t="s">
        <v>327</v>
      </c>
      <c r="J2659" s="87" t="s">
        <v>7870</v>
      </c>
      <c r="K2659" s="90">
        <v>500000.0</v>
      </c>
      <c r="L2659" s="92"/>
      <c r="M2659" s="93"/>
      <c r="N2659" s="87" t="s">
        <v>2572</v>
      </c>
      <c r="O2659" s="87" t="s">
        <v>377</v>
      </c>
      <c r="P2659" s="87" t="s">
        <v>372</v>
      </c>
    </row>
    <row r="2660" ht="15.75" customHeight="1">
      <c r="A2660" s="87" t="s">
        <v>7871</v>
      </c>
      <c r="B2660" s="88">
        <v>1.22E18</v>
      </c>
      <c r="C2660" s="87" t="s">
        <v>7872</v>
      </c>
      <c r="D2660" s="87" t="s">
        <v>87</v>
      </c>
      <c r="E2660" s="87" t="s">
        <v>88</v>
      </c>
      <c r="F2660" s="87" t="s">
        <v>373</v>
      </c>
      <c r="H2660" s="93"/>
      <c r="I2660" s="87" t="s">
        <v>327</v>
      </c>
      <c r="J2660" s="87" t="s">
        <v>7873</v>
      </c>
      <c r="K2660" s="90">
        <v>500000.0</v>
      </c>
      <c r="L2660" s="92"/>
      <c r="M2660" s="93"/>
      <c r="N2660" s="87" t="s">
        <v>2572</v>
      </c>
      <c r="O2660" s="87" t="s">
        <v>377</v>
      </c>
      <c r="P2660" s="87" t="s">
        <v>372</v>
      </c>
    </row>
    <row r="2661" ht="15.75" customHeight="1">
      <c r="A2661" s="87" t="s">
        <v>7874</v>
      </c>
      <c r="B2661" s="88">
        <v>1.22E18</v>
      </c>
      <c r="C2661" s="87" t="s">
        <v>7875</v>
      </c>
      <c r="D2661" s="87" t="s">
        <v>87</v>
      </c>
      <c r="E2661" s="87" t="s">
        <v>88</v>
      </c>
      <c r="F2661" s="87" t="s">
        <v>373</v>
      </c>
      <c r="H2661" s="93"/>
      <c r="I2661" s="87" t="s">
        <v>327</v>
      </c>
      <c r="J2661" s="87" t="s">
        <v>7876</v>
      </c>
      <c r="K2661" s="90">
        <v>100000.0</v>
      </c>
      <c r="L2661" s="92"/>
      <c r="M2661" s="93"/>
      <c r="N2661" s="87" t="s">
        <v>2572</v>
      </c>
      <c r="O2661" s="87" t="s">
        <v>377</v>
      </c>
      <c r="P2661" s="87" t="s">
        <v>372</v>
      </c>
    </row>
    <row r="2662" ht="15.75" customHeight="1">
      <c r="A2662" s="87" t="s">
        <v>7877</v>
      </c>
      <c r="B2662" s="88">
        <v>1.22E18</v>
      </c>
      <c r="C2662" s="87" t="s">
        <v>7878</v>
      </c>
      <c r="D2662" s="87" t="s">
        <v>87</v>
      </c>
      <c r="E2662" s="87" t="s">
        <v>88</v>
      </c>
      <c r="F2662" s="87" t="s">
        <v>373</v>
      </c>
      <c r="H2662" s="93"/>
      <c r="I2662" s="87" t="s">
        <v>327</v>
      </c>
      <c r="J2662" s="87" t="s">
        <v>7879</v>
      </c>
      <c r="K2662" s="90">
        <v>500000.0</v>
      </c>
      <c r="L2662" s="92"/>
      <c r="M2662" s="93"/>
      <c r="N2662" s="87" t="s">
        <v>2572</v>
      </c>
      <c r="O2662" s="87" t="s">
        <v>377</v>
      </c>
      <c r="P2662" s="87" t="s">
        <v>372</v>
      </c>
    </row>
    <row r="2663" ht="15.75" customHeight="1">
      <c r="A2663" s="87" t="s">
        <v>7880</v>
      </c>
      <c r="B2663" s="88">
        <v>1.22E18</v>
      </c>
      <c r="C2663" s="87" t="s">
        <v>7881</v>
      </c>
      <c r="D2663" s="87" t="s">
        <v>87</v>
      </c>
      <c r="E2663" s="87" t="s">
        <v>88</v>
      </c>
      <c r="F2663" s="87" t="s">
        <v>373</v>
      </c>
      <c r="H2663" s="93"/>
      <c r="I2663" s="87" t="s">
        <v>327</v>
      </c>
      <c r="J2663" s="87" t="s">
        <v>7882</v>
      </c>
      <c r="K2663" s="90">
        <v>500000.0</v>
      </c>
      <c r="L2663" s="92"/>
      <c r="M2663" s="93"/>
      <c r="N2663" s="87" t="s">
        <v>2572</v>
      </c>
      <c r="O2663" s="87" t="s">
        <v>377</v>
      </c>
      <c r="P2663" s="87" t="s">
        <v>372</v>
      </c>
    </row>
    <row r="2664" ht="15.75" customHeight="1">
      <c r="A2664" s="87" t="s">
        <v>7883</v>
      </c>
      <c r="B2664" s="88">
        <v>1.22E18</v>
      </c>
      <c r="C2664" s="87" t="s">
        <v>7884</v>
      </c>
      <c r="D2664" s="87" t="s">
        <v>87</v>
      </c>
      <c r="E2664" s="87" t="s">
        <v>88</v>
      </c>
      <c r="F2664" s="87" t="s">
        <v>373</v>
      </c>
      <c r="H2664" s="93"/>
      <c r="I2664" s="87" t="s">
        <v>327</v>
      </c>
      <c r="J2664" s="87" t="s">
        <v>7885</v>
      </c>
      <c r="K2664" s="90">
        <v>450000.0</v>
      </c>
      <c r="L2664" s="92"/>
      <c r="M2664" s="93"/>
      <c r="N2664" s="87" t="s">
        <v>2572</v>
      </c>
      <c r="O2664" s="87" t="s">
        <v>377</v>
      </c>
      <c r="P2664" s="87" t="s">
        <v>372</v>
      </c>
    </row>
    <row r="2665" ht="15.75" customHeight="1">
      <c r="A2665" s="87" t="s">
        <v>7886</v>
      </c>
      <c r="B2665" s="88">
        <v>1.22E18</v>
      </c>
      <c r="C2665" s="87" t="s">
        <v>7887</v>
      </c>
      <c r="D2665" s="87" t="s">
        <v>87</v>
      </c>
      <c r="E2665" s="87" t="s">
        <v>88</v>
      </c>
      <c r="F2665" s="87" t="s">
        <v>373</v>
      </c>
      <c r="H2665" s="93"/>
      <c r="I2665" s="87" t="s">
        <v>315</v>
      </c>
      <c r="J2665" s="87" t="s">
        <v>7888</v>
      </c>
      <c r="K2665" s="90">
        <v>40000.0</v>
      </c>
      <c r="L2665" s="92"/>
      <c r="M2665" s="93"/>
      <c r="N2665" s="87" t="s">
        <v>390</v>
      </c>
      <c r="O2665" s="87" t="s">
        <v>377</v>
      </c>
      <c r="P2665" s="87" t="s">
        <v>372</v>
      </c>
    </row>
    <row r="2666" ht="15.75" customHeight="1">
      <c r="A2666" s="87" t="s">
        <v>7889</v>
      </c>
      <c r="B2666" s="88">
        <v>1.22E18</v>
      </c>
      <c r="C2666" s="87" t="s">
        <v>7890</v>
      </c>
      <c r="D2666" s="87" t="s">
        <v>56</v>
      </c>
      <c r="E2666" s="87" t="s">
        <v>102</v>
      </c>
      <c r="F2666" s="87" t="s">
        <v>1763</v>
      </c>
      <c r="I2666" s="87" t="s">
        <v>58</v>
      </c>
      <c r="J2666" s="87" t="s">
        <v>7891</v>
      </c>
      <c r="K2666" s="90">
        <v>0.0</v>
      </c>
      <c r="L2666" s="92"/>
      <c r="M2666" s="93"/>
      <c r="N2666" s="87" t="s">
        <v>7369</v>
      </c>
      <c r="O2666" s="87" t="s">
        <v>377</v>
      </c>
      <c r="P2666" s="87" t="s">
        <v>372</v>
      </c>
    </row>
    <row r="2667" ht="15.75" customHeight="1">
      <c r="A2667" s="87" t="s">
        <v>7892</v>
      </c>
      <c r="B2667" s="88">
        <v>1.22E18</v>
      </c>
      <c r="C2667" s="87" t="s">
        <v>7893</v>
      </c>
      <c r="D2667" s="87" t="s">
        <v>56</v>
      </c>
      <c r="E2667" s="87" t="s">
        <v>102</v>
      </c>
      <c r="F2667" s="87" t="s">
        <v>1763</v>
      </c>
      <c r="I2667" s="87" t="s">
        <v>58</v>
      </c>
      <c r="J2667" s="87" t="s">
        <v>7894</v>
      </c>
      <c r="K2667" s="90">
        <v>0.0</v>
      </c>
      <c r="L2667" s="92"/>
      <c r="M2667" s="93"/>
      <c r="N2667" s="87" t="s">
        <v>7369</v>
      </c>
      <c r="O2667" s="87" t="s">
        <v>377</v>
      </c>
      <c r="P2667" s="87" t="s">
        <v>372</v>
      </c>
    </row>
    <row r="2668" ht="15.75" customHeight="1">
      <c r="A2668" s="87" t="s">
        <v>7895</v>
      </c>
      <c r="B2668" s="88">
        <v>1.22E18</v>
      </c>
      <c r="C2668" s="87" t="s">
        <v>7896</v>
      </c>
      <c r="D2668" s="87" t="s">
        <v>56</v>
      </c>
      <c r="E2668" s="87" t="s">
        <v>102</v>
      </c>
      <c r="F2668" s="87" t="s">
        <v>1763</v>
      </c>
      <c r="I2668" s="87" t="s">
        <v>58</v>
      </c>
      <c r="J2668" s="87" t="s">
        <v>7897</v>
      </c>
      <c r="K2668" s="90">
        <v>0.0</v>
      </c>
      <c r="L2668" s="92"/>
      <c r="M2668" s="93"/>
      <c r="N2668" s="87" t="s">
        <v>7369</v>
      </c>
      <c r="O2668" s="87" t="s">
        <v>377</v>
      </c>
      <c r="P2668" s="87" t="s">
        <v>372</v>
      </c>
    </row>
    <row r="2669" ht="15.75" customHeight="1">
      <c r="A2669" s="87" t="s">
        <v>7898</v>
      </c>
      <c r="B2669" s="88">
        <v>1.22E18</v>
      </c>
      <c r="C2669" s="87" t="s">
        <v>7899</v>
      </c>
      <c r="D2669" s="87" t="s">
        <v>87</v>
      </c>
      <c r="E2669" s="87" t="s">
        <v>88</v>
      </c>
      <c r="F2669" s="87" t="s">
        <v>7899</v>
      </c>
      <c r="I2669" s="87" t="s">
        <v>495</v>
      </c>
      <c r="J2669" s="87" t="s">
        <v>4412</v>
      </c>
      <c r="K2669" s="90">
        <v>0.0</v>
      </c>
      <c r="L2669" s="92"/>
      <c r="M2669" s="93"/>
      <c r="N2669" s="87" t="s">
        <v>3499</v>
      </c>
      <c r="O2669" s="87" t="s">
        <v>377</v>
      </c>
      <c r="P2669" s="87" t="s">
        <v>372</v>
      </c>
    </row>
    <row r="2670" ht="15.75" customHeight="1">
      <c r="A2670" s="87" t="s">
        <v>7900</v>
      </c>
      <c r="B2670" s="88">
        <v>1.22E18</v>
      </c>
      <c r="C2670" s="87" t="s">
        <v>7901</v>
      </c>
      <c r="D2670" s="87" t="s">
        <v>87</v>
      </c>
      <c r="E2670" s="87" t="s">
        <v>88</v>
      </c>
      <c r="F2670" s="87" t="s">
        <v>373</v>
      </c>
      <c r="H2670" s="93"/>
      <c r="I2670" s="87" t="s">
        <v>340</v>
      </c>
      <c r="J2670" s="87" t="s">
        <v>7902</v>
      </c>
      <c r="K2670" s="90">
        <v>3000.0</v>
      </c>
      <c r="L2670" s="92"/>
      <c r="M2670" s="93"/>
      <c r="N2670" s="87" t="s">
        <v>617</v>
      </c>
      <c r="O2670" s="87" t="s">
        <v>377</v>
      </c>
      <c r="P2670" s="87" t="s">
        <v>372</v>
      </c>
    </row>
    <row r="2671" ht="15.75" customHeight="1">
      <c r="A2671" s="87" t="s">
        <v>7903</v>
      </c>
      <c r="B2671" s="88">
        <v>1.22E18</v>
      </c>
      <c r="C2671" s="87" t="s">
        <v>7904</v>
      </c>
      <c r="D2671" s="87" t="s">
        <v>87</v>
      </c>
      <c r="E2671" s="87" t="s">
        <v>88</v>
      </c>
      <c r="F2671" s="87" t="s">
        <v>373</v>
      </c>
      <c r="H2671" s="93"/>
      <c r="I2671" s="87" t="s">
        <v>340</v>
      </c>
      <c r="J2671" s="87" t="s">
        <v>7902</v>
      </c>
      <c r="K2671" s="90">
        <v>1000.0</v>
      </c>
      <c r="L2671" s="92"/>
      <c r="M2671" s="93"/>
      <c r="N2671" s="87" t="s">
        <v>617</v>
      </c>
      <c r="O2671" s="87" t="s">
        <v>377</v>
      </c>
      <c r="P2671" s="87" t="s">
        <v>372</v>
      </c>
    </row>
    <row r="2672" ht="15.75" customHeight="1">
      <c r="A2672" s="87" t="s">
        <v>7905</v>
      </c>
      <c r="B2672" s="88">
        <v>1.22E18</v>
      </c>
      <c r="C2672" s="87" t="s">
        <v>7906</v>
      </c>
      <c r="D2672" s="87" t="s">
        <v>87</v>
      </c>
      <c r="E2672" s="87" t="s">
        <v>88</v>
      </c>
      <c r="F2672" s="87" t="s">
        <v>373</v>
      </c>
      <c r="H2672" s="93"/>
      <c r="I2672" s="87" t="s">
        <v>340</v>
      </c>
      <c r="J2672" s="87" t="s">
        <v>7902</v>
      </c>
      <c r="K2672" s="90">
        <v>1000.0</v>
      </c>
      <c r="L2672" s="92"/>
      <c r="M2672" s="93"/>
      <c r="N2672" s="87" t="s">
        <v>617</v>
      </c>
      <c r="O2672" s="87" t="s">
        <v>377</v>
      </c>
      <c r="P2672" s="87" t="s">
        <v>372</v>
      </c>
    </row>
    <row r="2673" ht="15.75" customHeight="1">
      <c r="A2673" s="87" t="s">
        <v>7907</v>
      </c>
      <c r="B2673" s="88">
        <v>1.22E18</v>
      </c>
      <c r="C2673" s="87" t="s">
        <v>7908</v>
      </c>
      <c r="D2673" s="87" t="s">
        <v>87</v>
      </c>
      <c r="E2673" s="87" t="s">
        <v>88</v>
      </c>
      <c r="F2673" s="87" t="s">
        <v>373</v>
      </c>
      <c r="H2673" s="93"/>
      <c r="I2673" s="87" t="s">
        <v>340</v>
      </c>
      <c r="J2673" s="87" t="s">
        <v>7902</v>
      </c>
      <c r="K2673" s="90">
        <v>1000.0</v>
      </c>
      <c r="L2673" s="92"/>
      <c r="M2673" s="93"/>
      <c r="N2673" s="87" t="s">
        <v>617</v>
      </c>
      <c r="O2673" s="87" t="s">
        <v>377</v>
      </c>
      <c r="P2673" s="87" t="s">
        <v>372</v>
      </c>
    </row>
    <row r="2674" ht="15.75" customHeight="1">
      <c r="A2674" s="87" t="s">
        <v>7909</v>
      </c>
      <c r="B2674" s="88">
        <v>1.22E18</v>
      </c>
      <c r="C2674" s="87" t="s">
        <v>7910</v>
      </c>
      <c r="D2674" s="87" t="s">
        <v>87</v>
      </c>
      <c r="E2674" s="87" t="s">
        <v>88</v>
      </c>
      <c r="F2674" s="87" t="s">
        <v>373</v>
      </c>
      <c r="H2674" s="93"/>
      <c r="I2674" s="87" t="s">
        <v>340</v>
      </c>
      <c r="J2674" s="87" t="s">
        <v>7911</v>
      </c>
      <c r="K2674" s="90">
        <v>1000.0</v>
      </c>
      <c r="L2674" s="92"/>
      <c r="M2674" s="93"/>
      <c r="N2674" s="87" t="s">
        <v>617</v>
      </c>
      <c r="O2674" s="87" t="s">
        <v>377</v>
      </c>
      <c r="P2674" s="87" t="s">
        <v>372</v>
      </c>
    </row>
    <row r="2675" ht="15.75" customHeight="1">
      <c r="A2675" s="87" t="s">
        <v>7912</v>
      </c>
      <c r="B2675" s="88">
        <v>1.22E18</v>
      </c>
      <c r="C2675" s="87" t="s">
        <v>7913</v>
      </c>
      <c r="D2675" s="87" t="s">
        <v>87</v>
      </c>
      <c r="E2675" s="87" t="s">
        <v>88</v>
      </c>
      <c r="F2675" s="87" t="s">
        <v>373</v>
      </c>
      <c r="H2675" s="93"/>
      <c r="I2675" s="87" t="s">
        <v>340</v>
      </c>
      <c r="J2675" s="87" t="s">
        <v>7911</v>
      </c>
      <c r="K2675" s="90">
        <v>1000.0</v>
      </c>
      <c r="L2675" s="92"/>
      <c r="M2675" s="93"/>
      <c r="N2675" s="87" t="s">
        <v>617</v>
      </c>
      <c r="O2675" s="87" t="s">
        <v>377</v>
      </c>
      <c r="P2675" s="87" t="s">
        <v>372</v>
      </c>
    </row>
    <row r="2676" ht="15.75" customHeight="1">
      <c r="A2676" s="87" t="s">
        <v>7914</v>
      </c>
      <c r="B2676" s="88">
        <v>1.22E18</v>
      </c>
      <c r="C2676" s="87" t="s">
        <v>7915</v>
      </c>
      <c r="D2676" s="87" t="s">
        <v>87</v>
      </c>
      <c r="E2676" s="87" t="s">
        <v>88</v>
      </c>
      <c r="F2676" s="87" t="s">
        <v>373</v>
      </c>
      <c r="H2676" s="93"/>
      <c r="I2676" s="87" t="s">
        <v>340</v>
      </c>
      <c r="J2676" s="87" t="s">
        <v>7916</v>
      </c>
      <c r="K2676" s="90">
        <v>2000.0</v>
      </c>
      <c r="L2676" s="92"/>
      <c r="M2676" s="93"/>
      <c r="N2676" s="87" t="s">
        <v>617</v>
      </c>
      <c r="O2676" s="87" t="s">
        <v>377</v>
      </c>
      <c r="P2676" s="87" t="s">
        <v>372</v>
      </c>
    </row>
    <row r="2677" ht="15.75" customHeight="1">
      <c r="A2677" s="87" t="s">
        <v>7917</v>
      </c>
      <c r="B2677" s="88">
        <v>1.22E18</v>
      </c>
      <c r="C2677" s="87" t="s">
        <v>7918</v>
      </c>
      <c r="D2677" s="87" t="s">
        <v>87</v>
      </c>
      <c r="E2677" s="87" t="s">
        <v>88</v>
      </c>
      <c r="F2677" s="87" t="s">
        <v>373</v>
      </c>
      <c r="H2677" s="93"/>
      <c r="I2677" s="87" t="s">
        <v>315</v>
      </c>
      <c r="J2677" s="87" t="s">
        <v>7919</v>
      </c>
      <c r="K2677" s="90">
        <v>50000.0</v>
      </c>
      <c r="L2677" s="92"/>
      <c r="M2677" s="93"/>
      <c r="N2677" s="87" t="s">
        <v>617</v>
      </c>
      <c r="O2677" s="87" t="s">
        <v>377</v>
      </c>
      <c r="P2677" s="87" t="s">
        <v>372</v>
      </c>
    </row>
    <row r="2678" ht="15.75" customHeight="1">
      <c r="A2678" s="87" t="s">
        <v>7920</v>
      </c>
      <c r="B2678" s="88">
        <v>1.22E18</v>
      </c>
      <c r="C2678" s="87" t="s">
        <v>7921</v>
      </c>
      <c r="D2678" s="87" t="s">
        <v>87</v>
      </c>
      <c r="E2678" s="87" t="s">
        <v>88</v>
      </c>
      <c r="F2678" s="87" t="s">
        <v>373</v>
      </c>
      <c r="H2678" s="93"/>
      <c r="I2678" s="87" t="s">
        <v>340</v>
      </c>
      <c r="J2678" s="87" t="s">
        <v>7922</v>
      </c>
      <c r="K2678" s="90">
        <v>1100.0</v>
      </c>
      <c r="L2678" s="92"/>
      <c r="M2678" s="93"/>
      <c r="N2678" s="87" t="s">
        <v>617</v>
      </c>
      <c r="O2678" s="87" t="s">
        <v>377</v>
      </c>
      <c r="P2678" s="87" t="s">
        <v>372</v>
      </c>
    </row>
    <row r="2679" ht="15.75" customHeight="1">
      <c r="A2679" s="87" t="s">
        <v>7923</v>
      </c>
      <c r="B2679" s="88">
        <v>1.22E18</v>
      </c>
      <c r="C2679" s="87" t="s">
        <v>7924</v>
      </c>
      <c r="D2679" s="87" t="s">
        <v>87</v>
      </c>
      <c r="E2679" s="87" t="s">
        <v>88</v>
      </c>
      <c r="F2679" s="87" t="s">
        <v>373</v>
      </c>
      <c r="H2679" s="93"/>
      <c r="I2679" s="87" t="s">
        <v>340</v>
      </c>
      <c r="J2679" s="87" t="s">
        <v>7925</v>
      </c>
      <c r="K2679" s="90">
        <v>1000.0</v>
      </c>
      <c r="L2679" s="92"/>
      <c r="M2679" s="93"/>
      <c r="N2679" s="87" t="s">
        <v>617</v>
      </c>
      <c r="O2679" s="87" t="s">
        <v>377</v>
      </c>
      <c r="P2679" s="87" t="s">
        <v>372</v>
      </c>
    </row>
    <row r="2680" ht="15.75" customHeight="1">
      <c r="A2680" s="87" t="s">
        <v>7926</v>
      </c>
      <c r="B2680" s="88">
        <v>1.22E18</v>
      </c>
      <c r="C2680" s="87" t="s">
        <v>7927</v>
      </c>
      <c r="D2680" s="87" t="s">
        <v>87</v>
      </c>
      <c r="E2680" s="87" t="s">
        <v>88</v>
      </c>
      <c r="F2680" s="87" t="s">
        <v>373</v>
      </c>
      <c r="H2680" s="93"/>
      <c r="I2680" s="87" t="s">
        <v>340</v>
      </c>
      <c r="J2680" s="87" t="s">
        <v>7891</v>
      </c>
      <c r="K2680" s="90">
        <v>1000.0</v>
      </c>
      <c r="L2680" s="92"/>
      <c r="M2680" s="93"/>
      <c r="N2680" s="87" t="s">
        <v>6725</v>
      </c>
      <c r="O2680" s="87" t="s">
        <v>377</v>
      </c>
      <c r="P2680" s="87" t="s">
        <v>372</v>
      </c>
    </row>
    <row r="2681" ht="15.75" customHeight="1">
      <c r="A2681" s="87" t="s">
        <v>7928</v>
      </c>
      <c r="B2681" s="88">
        <v>1.22E18</v>
      </c>
      <c r="C2681" s="87" t="s">
        <v>7929</v>
      </c>
      <c r="D2681" s="87" t="s">
        <v>87</v>
      </c>
      <c r="E2681" s="87" t="s">
        <v>88</v>
      </c>
      <c r="F2681" s="87" t="s">
        <v>373</v>
      </c>
      <c r="H2681" s="93"/>
      <c r="I2681" s="87" t="s">
        <v>340</v>
      </c>
      <c r="J2681" s="87" t="s">
        <v>7930</v>
      </c>
      <c r="K2681" s="90">
        <v>1000.0</v>
      </c>
      <c r="L2681" s="92"/>
      <c r="M2681" s="93"/>
      <c r="N2681" s="87" t="s">
        <v>6725</v>
      </c>
      <c r="O2681" s="87" t="s">
        <v>377</v>
      </c>
      <c r="P2681" s="87" t="s">
        <v>372</v>
      </c>
    </row>
    <row r="2682" ht="15.75" customHeight="1">
      <c r="A2682" s="87" t="s">
        <v>7931</v>
      </c>
      <c r="B2682" s="88">
        <v>1.22E18</v>
      </c>
      <c r="C2682" s="87" t="s">
        <v>7932</v>
      </c>
      <c r="D2682" s="87" t="s">
        <v>87</v>
      </c>
      <c r="E2682" s="87" t="s">
        <v>88</v>
      </c>
      <c r="F2682" s="87" t="s">
        <v>373</v>
      </c>
      <c r="H2682" s="93"/>
      <c r="I2682" s="87" t="s">
        <v>340</v>
      </c>
      <c r="J2682" s="87" t="s">
        <v>3435</v>
      </c>
      <c r="K2682" s="90">
        <v>1000.0</v>
      </c>
      <c r="L2682" s="92"/>
      <c r="M2682" s="93"/>
      <c r="N2682" s="87" t="s">
        <v>6725</v>
      </c>
      <c r="O2682" s="87" t="s">
        <v>377</v>
      </c>
      <c r="P2682" s="87" t="s">
        <v>372</v>
      </c>
    </row>
    <row r="2683" ht="15.75" customHeight="1">
      <c r="A2683" s="87" t="s">
        <v>7933</v>
      </c>
      <c r="B2683" s="88">
        <v>1.22E18</v>
      </c>
      <c r="C2683" s="87" t="s">
        <v>7934</v>
      </c>
      <c r="D2683" s="87" t="s">
        <v>87</v>
      </c>
      <c r="E2683" s="87" t="s">
        <v>88</v>
      </c>
      <c r="F2683" s="87" t="s">
        <v>373</v>
      </c>
      <c r="H2683" s="93"/>
      <c r="I2683" s="87" t="s">
        <v>340</v>
      </c>
      <c r="J2683" s="87" t="s">
        <v>3435</v>
      </c>
      <c r="K2683" s="90">
        <v>1000.0</v>
      </c>
      <c r="L2683" s="92"/>
      <c r="M2683" s="93"/>
      <c r="N2683" s="87" t="s">
        <v>6725</v>
      </c>
      <c r="O2683" s="87" t="s">
        <v>377</v>
      </c>
      <c r="P2683" s="87" t="s">
        <v>372</v>
      </c>
    </row>
    <row r="2684" ht="15.75" customHeight="1">
      <c r="A2684" s="87" t="s">
        <v>7935</v>
      </c>
      <c r="B2684" s="88">
        <v>1.22E18</v>
      </c>
      <c r="C2684" s="87" t="s">
        <v>7936</v>
      </c>
      <c r="D2684" s="87" t="s">
        <v>87</v>
      </c>
      <c r="E2684" s="87" t="s">
        <v>228</v>
      </c>
      <c r="F2684" s="87" t="s">
        <v>373</v>
      </c>
      <c r="H2684" s="93"/>
      <c r="I2684" s="87" t="s">
        <v>340</v>
      </c>
      <c r="J2684" s="87" t="s">
        <v>7937</v>
      </c>
      <c r="K2684" s="90">
        <v>2000.0</v>
      </c>
      <c r="L2684" s="92"/>
      <c r="M2684" s="93"/>
      <c r="N2684" s="87" t="s">
        <v>6725</v>
      </c>
      <c r="O2684" s="87" t="s">
        <v>377</v>
      </c>
      <c r="P2684" s="87" t="s">
        <v>372</v>
      </c>
    </row>
    <row r="2685" ht="15.75" customHeight="1">
      <c r="A2685" s="87" t="s">
        <v>7938</v>
      </c>
      <c r="B2685" s="88">
        <v>1.22E18</v>
      </c>
      <c r="C2685" s="87" t="s">
        <v>7939</v>
      </c>
      <c r="D2685" s="87" t="s">
        <v>87</v>
      </c>
      <c r="E2685" s="87" t="s">
        <v>88</v>
      </c>
      <c r="F2685" s="87" t="s">
        <v>373</v>
      </c>
      <c r="H2685" s="93"/>
      <c r="I2685" s="87" t="s">
        <v>340</v>
      </c>
      <c r="J2685" s="87" t="s">
        <v>7940</v>
      </c>
      <c r="K2685" s="90">
        <v>1000.0</v>
      </c>
      <c r="L2685" s="92"/>
      <c r="M2685" s="93"/>
      <c r="N2685" s="87" t="s">
        <v>7941</v>
      </c>
      <c r="O2685" s="87" t="s">
        <v>377</v>
      </c>
      <c r="P2685" s="87" t="s">
        <v>372</v>
      </c>
    </row>
    <row r="2686" ht="15.75" customHeight="1">
      <c r="A2686" s="87" t="s">
        <v>7942</v>
      </c>
      <c r="B2686" s="88">
        <v>1.22E18</v>
      </c>
      <c r="C2686" s="87" t="s">
        <v>7943</v>
      </c>
      <c r="D2686" s="87" t="s">
        <v>87</v>
      </c>
      <c r="E2686" s="87" t="s">
        <v>228</v>
      </c>
      <c r="F2686" s="87" t="s">
        <v>373</v>
      </c>
      <c r="H2686" s="93"/>
      <c r="I2686" s="87" t="s">
        <v>340</v>
      </c>
      <c r="J2686" s="87" t="s">
        <v>7944</v>
      </c>
      <c r="K2686" s="90">
        <v>1000.0</v>
      </c>
      <c r="L2686" s="92"/>
      <c r="M2686" s="93"/>
      <c r="N2686" s="87" t="s">
        <v>7941</v>
      </c>
      <c r="O2686" s="87" t="s">
        <v>377</v>
      </c>
      <c r="P2686" s="87" t="s">
        <v>372</v>
      </c>
    </row>
    <row r="2687" ht="15.75" customHeight="1">
      <c r="A2687" s="87" t="s">
        <v>7945</v>
      </c>
      <c r="B2687" s="88">
        <v>1.22E18</v>
      </c>
      <c r="C2687" s="87" t="s">
        <v>7946</v>
      </c>
      <c r="D2687" s="87" t="s">
        <v>87</v>
      </c>
      <c r="E2687" s="87" t="s">
        <v>88</v>
      </c>
      <c r="F2687" s="87" t="s">
        <v>373</v>
      </c>
      <c r="H2687" s="93"/>
      <c r="I2687" s="87" t="s">
        <v>340</v>
      </c>
      <c r="J2687" s="87" t="s">
        <v>7940</v>
      </c>
      <c r="K2687" s="90">
        <v>1000.0</v>
      </c>
      <c r="L2687" s="92"/>
      <c r="M2687" s="93"/>
      <c r="N2687" s="87" t="s">
        <v>7941</v>
      </c>
      <c r="O2687" s="87" t="s">
        <v>377</v>
      </c>
      <c r="P2687" s="87" t="s">
        <v>372</v>
      </c>
    </row>
    <row r="2688" ht="15.75" customHeight="1">
      <c r="A2688" s="87" t="s">
        <v>7947</v>
      </c>
      <c r="B2688" s="88">
        <v>1.22E18</v>
      </c>
      <c r="C2688" s="87" t="s">
        <v>7948</v>
      </c>
      <c r="D2688" s="87" t="s">
        <v>87</v>
      </c>
      <c r="E2688" s="87" t="s">
        <v>228</v>
      </c>
      <c r="F2688" s="87" t="s">
        <v>373</v>
      </c>
      <c r="H2688" s="93"/>
      <c r="I2688" s="87" t="s">
        <v>340</v>
      </c>
      <c r="J2688" s="87" t="s">
        <v>7944</v>
      </c>
      <c r="K2688" s="90">
        <v>1000.0</v>
      </c>
      <c r="L2688" s="92"/>
      <c r="M2688" s="93"/>
      <c r="N2688" s="87" t="s">
        <v>7941</v>
      </c>
      <c r="O2688" s="87" t="s">
        <v>377</v>
      </c>
      <c r="P2688" s="87" t="s">
        <v>372</v>
      </c>
    </row>
    <row r="2689" ht="15.75" customHeight="1">
      <c r="A2689" s="87" t="s">
        <v>7949</v>
      </c>
      <c r="B2689" s="88">
        <v>1.22E18</v>
      </c>
      <c r="C2689" s="87" t="s">
        <v>7950</v>
      </c>
      <c r="D2689" s="87" t="s">
        <v>87</v>
      </c>
      <c r="E2689" s="87" t="s">
        <v>228</v>
      </c>
      <c r="F2689" s="87" t="s">
        <v>379</v>
      </c>
      <c r="G2689" s="93"/>
      <c r="H2689" s="93"/>
      <c r="I2689" s="87" t="s">
        <v>340</v>
      </c>
      <c r="J2689" s="87" t="s">
        <v>7951</v>
      </c>
      <c r="K2689" s="90">
        <v>1000.0</v>
      </c>
      <c r="L2689" s="92"/>
      <c r="M2689" s="93"/>
      <c r="N2689" s="87" t="s">
        <v>408</v>
      </c>
      <c r="O2689" s="87" t="s">
        <v>377</v>
      </c>
      <c r="P2689" s="87" t="s">
        <v>372</v>
      </c>
    </row>
    <row r="2690" ht="15.75" customHeight="1">
      <c r="A2690" s="87" t="s">
        <v>7952</v>
      </c>
      <c r="B2690" s="88">
        <v>1.22E18</v>
      </c>
      <c r="C2690" s="87" t="s">
        <v>7953</v>
      </c>
      <c r="D2690" s="87" t="s">
        <v>87</v>
      </c>
      <c r="E2690" s="87" t="s">
        <v>228</v>
      </c>
      <c r="F2690" s="87" t="s">
        <v>373</v>
      </c>
      <c r="H2690" s="93"/>
      <c r="I2690" s="87" t="s">
        <v>340</v>
      </c>
      <c r="J2690" s="87" t="s">
        <v>7951</v>
      </c>
      <c r="K2690" s="90">
        <v>1000.0</v>
      </c>
      <c r="L2690" s="92"/>
      <c r="M2690" s="93"/>
      <c r="N2690" s="87" t="s">
        <v>408</v>
      </c>
      <c r="O2690" s="87" t="s">
        <v>377</v>
      </c>
      <c r="P2690" s="87" t="s">
        <v>372</v>
      </c>
    </row>
    <row r="2691" ht="15.75" customHeight="1">
      <c r="A2691" s="87" t="s">
        <v>7954</v>
      </c>
      <c r="B2691" s="88">
        <v>1.22E18</v>
      </c>
      <c r="C2691" s="87" t="s">
        <v>7955</v>
      </c>
      <c r="D2691" s="87" t="s">
        <v>87</v>
      </c>
      <c r="E2691" s="87" t="s">
        <v>228</v>
      </c>
      <c r="F2691" s="87" t="s">
        <v>373</v>
      </c>
      <c r="H2691" s="93"/>
      <c r="I2691" s="87" t="s">
        <v>340</v>
      </c>
      <c r="J2691" s="87" t="s">
        <v>7897</v>
      </c>
      <c r="K2691" s="90">
        <v>0.0</v>
      </c>
      <c r="L2691" s="92"/>
      <c r="M2691" s="93"/>
      <c r="N2691" s="87" t="s">
        <v>4517</v>
      </c>
      <c r="O2691" s="87" t="s">
        <v>377</v>
      </c>
      <c r="P2691" s="87" t="s">
        <v>372</v>
      </c>
    </row>
    <row r="2692" ht="15.75" customHeight="1">
      <c r="A2692" s="87" t="s">
        <v>7956</v>
      </c>
      <c r="B2692" s="88">
        <v>1.22E18</v>
      </c>
      <c r="C2692" s="87" t="s">
        <v>7957</v>
      </c>
      <c r="D2692" s="87" t="s">
        <v>87</v>
      </c>
      <c r="E2692" s="87" t="s">
        <v>228</v>
      </c>
      <c r="F2692" s="87" t="s">
        <v>373</v>
      </c>
      <c r="H2692" s="93"/>
      <c r="I2692" s="87" t="s">
        <v>340</v>
      </c>
      <c r="J2692" s="87" t="s">
        <v>7897</v>
      </c>
      <c r="K2692" s="90">
        <v>0.0</v>
      </c>
      <c r="L2692" s="92"/>
      <c r="M2692" s="93"/>
      <c r="N2692" s="87" t="s">
        <v>4517</v>
      </c>
      <c r="O2692" s="87" t="s">
        <v>377</v>
      </c>
      <c r="P2692" s="87" t="s">
        <v>372</v>
      </c>
    </row>
    <row r="2693" ht="15.75" customHeight="1">
      <c r="A2693" s="87" t="s">
        <v>7958</v>
      </c>
      <c r="B2693" s="88">
        <v>1.22E18</v>
      </c>
      <c r="C2693" s="87" t="s">
        <v>7959</v>
      </c>
      <c r="D2693" s="87" t="s">
        <v>87</v>
      </c>
      <c r="E2693" s="87" t="s">
        <v>228</v>
      </c>
      <c r="F2693" s="87" t="s">
        <v>379</v>
      </c>
      <c r="G2693" s="93"/>
      <c r="H2693" s="93"/>
      <c r="I2693" s="87" t="s">
        <v>340</v>
      </c>
      <c r="J2693" s="87" t="s">
        <v>7960</v>
      </c>
      <c r="K2693" s="90">
        <v>2900.0</v>
      </c>
      <c r="L2693" s="92"/>
      <c r="M2693" s="93"/>
      <c r="N2693" s="87" t="s">
        <v>6386</v>
      </c>
      <c r="O2693" s="87" t="s">
        <v>377</v>
      </c>
      <c r="P2693" s="87" t="s">
        <v>372</v>
      </c>
    </row>
    <row r="2694" ht="15.75" customHeight="1">
      <c r="A2694" s="87" t="s">
        <v>7961</v>
      </c>
      <c r="B2694" s="88">
        <v>1.22E18</v>
      </c>
      <c r="C2694" s="87" t="s">
        <v>7962</v>
      </c>
      <c r="D2694" s="87" t="s">
        <v>87</v>
      </c>
      <c r="E2694" s="87" t="s">
        <v>228</v>
      </c>
      <c r="F2694" s="87" t="s">
        <v>379</v>
      </c>
      <c r="G2694" s="93"/>
      <c r="H2694" s="93"/>
      <c r="I2694" s="87" t="s">
        <v>340</v>
      </c>
      <c r="J2694" s="87" t="s">
        <v>7960</v>
      </c>
      <c r="K2694" s="90">
        <v>2850.0</v>
      </c>
      <c r="L2694" s="92"/>
      <c r="M2694" s="93"/>
      <c r="N2694" s="87" t="s">
        <v>6386</v>
      </c>
      <c r="O2694" s="87" t="s">
        <v>377</v>
      </c>
      <c r="P2694" s="87" t="s">
        <v>372</v>
      </c>
    </row>
    <row r="2695" ht="15.75" customHeight="1">
      <c r="A2695" s="87" t="s">
        <v>7963</v>
      </c>
      <c r="B2695" s="88">
        <v>1.22E18</v>
      </c>
      <c r="C2695" s="87" t="s">
        <v>7964</v>
      </c>
      <c r="D2695" s="87" t="s">
        <v>87</v>
      </c>
      <c r="E2695" s="87" t="s">
        <v>228</v>
      </c>
      <c r="F2695" s="87" t="s">
        <v>379</v>
      </c>
      <c r="G2695" s="93"/>
      <c r="H2695" s="93"/>
      <c r="I2695" s="87" t="s">
        <v>340</v>
      </c>
      <c r="J2695" s="87" t="s">
        <v>405</v>
      </c>
      <c r="K2695" s="90">
        <v>1700.0</v>
      </c>
      <c r="L2695" s="92"/>
      <c r="M2695" s="93"/>
      <c r="N2695" s="87" t="s">
        <v>6386</v>
      </c>
      <c r="O2695" s="87" t="s">
        <v>377</v>
      </c>
      <c r="P2695" s="87" t="s">
        <v>372</v>
      </c>
    </row>
    <row r="2696" ht="15.75" customHeight="1">
      <c r="A2696" s="87" t="s">
        <v>7965</v>
      </c>
      <c r="B2696" s="88">
        <v>1.22E18</v>
      </c>
      <c r="C2696" s="87" t="s">
        <v>7966</v>
      </c>
      <c r="D2696" s="87" t="s">
        <v>87</v>
      </c>
      <c r="E2696" s="87" t="s">
        <v>228</v>
      </c>
      <c r="F2696" s="87" t="s">
        <v>379</v>
      </c>
      <c r="G2696" s="93"/>
      <c r="H2696" s="93"/>
      <c r="I2696" s="87" t="s">
        <v>340</v>
      </c>
      <c r="J2696" s="87" t="s">
        <v>405</v>
      </c>
      <c r="K2696" s="90">
        <v>1750.0</v>
      </c>
      <c r="L2696" s="92"/>
      <c r="M2696" s="93"/>
      <c r="N2696" s="87" t="s">
        <v>6386</v>
      </c>
      <c r="O2696" s="87" t="s">
        <v>377</v>
      </c>
      <c r="P2696" s="87" t="s">
        <v>372</v>
      </c>
    </row>
    <row r="2697" ht="15.75" customHeight="1">
      <c r="A2697" s="87" t="s">
        <v>7967</v>
      </c>
      <c r="B2697" s="88">
        <v>1.22E18</v>
      </c>
      <c r="C2697" s="87" t="s">
        <v>7968</v>
      </c>
      <c r="D2697" s="87" t="s">
        <v>87</v>
      </c>
      <c r="E2697" s="87" t="s">
        <v>88</v>
      </c>
      <c r="F2697" s="87" t="s">
        <v>379</v>
      </c>
      <c r="G2697" s="93"/>
      <c r="H2697" s="93"/>
      <c r="I2697" s="87" t="s">
        <v>340</v>
      </c>
      <c r="J2697" s="87" t="s">
        <v>405</v>
      </c>
      <c r="K2697" s="90">
        <v>5000.0</v>
      </c>
      <c r="L2697" s="92"/>
      <c r="M2697" s="93"/>
      <c r="N2697" s="87" t="s">
        <v>6386</v>
      </c>
      <c r="O2697" s="87" t="s">
        <v>377</v>
      </c>
      <c r="P2697" s="87" t="s">
        <v>372</v>
      </c>
    </row>
    <row r="2698" ht="15.75" customHeight="1">
      <c r="A2698" s="87" t="s">
        <v>7969</v>
      </c>
      <c r="B2698" s="88">
        <v>1.22E18</v>
      </c>
      <c r="C2698" s="87" t="s">
        <v>7970</v>
      </c>
      <c r="D2698" s="87" t="s">
        <v>87</v>
      </c>
      <c r="E2698" s="87" t="s">
        <v>88</v>
      </c>
      <c r="F2698" s="87" t="s">
        <v>379</v>
      </c>
      <c r="G2698" s="93"/>
      <c r="H2698" s="93"/>
      <c r="I2698" s="87" t="s">
        <v>340</v>
      </c>
      <c r="J2698" s="87" t="s">
        <v>405</v>
      </c>
      <c r="K2698" s="90">
        <v>5000.0</v>
      </c>
      <c r="L2698" s="92"/>
      <c r="M2698" s="93"/>
      <c r="N2698" s="87" t="s">
        <v>6386</v>
      </c>
      <c r="O2698" s="87" t="s">
        <v>377</v>
      </c>
      <c r="P2698" s="87" t="s">
        <v>372</v>
      </c>
    </row>
    <row r="2699" ht="15.75" customHeight="1">
      <c r="A2699" s="87" t="s">
        <v>7971</v>
      </c>
      <c r="B2699" s="88">
        <v>1.22E18</v>
      </c>
      <c r="C2699" s="87" t="s">
        <v>7972</v>
      </c>
      <c r="D2699" s="87" t="s">
        <v>87</v>
      </c>
      <c r="E2699" s="87" t="s">
        <v>88</v>
      </c>
      <c r="F2699" s="87" t="s">
        <v>379</v>
      </c>
      <c r="G2699" s="93"/>
      <c r="H2699" s="93"/>
      <c r="I2699" s="87" t="s">
        <v>340</v>
      </c>
      <c r="J2699" s="87" t="s">
        <v>405</v>
      </c>
      <c r="K2699" s="90">
        <v>100.0</v>
      </c>
      <c r="L2699" s="92"/>
      <c r="M2699" s="93"/>
      <c r="N2699" s="87" t="s">
        <v>6386</v>
      </c>
      <c r="O2699" s="87" t="s">
        <v>377</v>
      </c>
      <c r="P2699" s="87" t="s">
        <v>372</v>
      </c>
    </row>
    <row r="2700" ht="15.75" customHeight="1">
      <c r="A2700" s="87" t="s">
        <v>7973</v>
      </c>
      <c r="B2700" s="88">
        <v>1.22E18</v>
      </c>
      <c r="C2700" s="87" t="s">
        <v>7974</v>
      </c>
      <c r="D2700" s="87" t="s">
        <v>262</v>
      </c>
      <c r="E2700" s="87" t="s">
        <v>267</v>
      </c>
      <c r="F2700" s="87" t="s">
        <v>1749</v>
      </c>
      <c r="H2700" s="93"/>
      <c r="I2700" s="87" t="s">
        <v>58</v>
      </c>
      <c r="J2700" s="87" t="s">
        <v>3806</v>
      </c>
      <c r="K2700" s="90">
        <v>0.0</v>
      </c>
      <c r="L2700" s="92"/>
      <c r="M2700" s="93"/>
      <c r="N2700" s="87" t="s">
        <v>1729</v>
      </c>
      <c r="O2700" s="87" t="s">
        <v>377</v>
      </c>
      <c r="P2700" s="87" t="s">
        <v>372</v>
      </c>
    </row>
    <row r="2701" ht="15.75" customHeight="1">
      <c r="A2701" s="87" t="s">
        <v>7975</v>
      </c>
      <c r="B2701" s="88">
        <v>1.22E18</v>
      </c>
      <c r="C2701" s="87" t="s">
        <v>7976</v>
      </c>
      <c r="D2701" s="87" t="s">
        <v>87</v>
      </c>
      <c r="E2701" s="87" t="s">
        <v>88</v>
      </c>
      <c r="F2701" s="87" t="s">
        <v>373</v>
      </c>
      <c r="H2701" s="93"/>
      <c r="I2701" s="87" t="s">
        <v>327</v>
      </c>
      <c r="J2701" s="87" t="s">
        <v>7977</v>
      </c>
      <c r="K2701" s="90">
        <v>0.0</v>
      </c>
      <c r="L2701" s="92"/>
      <c r="M2701" s="93"/>
      <c r="N2701" s="87" t="s">
        <v>390</v>
      </c>
      <c r="O2701" s="87" t="s">
        <v>377</v>
      </c>
      <c r="P2701" s="87" t="s">
        <v>372</v>
      </c>
    </row>
    <row r="2702" ht="15.75" customHeight="1">
      <c r="A2702" s="87" t="s">
        <v>7978</v>
      </c>
      <c r="B2702" s="88">
        <v>1.22E18</v>
      </c>
      <c r="C2702" s="87" t="s">
        <v>7979</v>
      </c>
      <c r="D2702" s="87" t="s">
        <v>87</v>
      </c>
      <c r="E2702" s="87" t="s">
        <v>88</v>
      </c>
      <c r="F2702" s="87" t="s">
        <v>373</v>
      </c>
      <c r="H2702" s="93"/>
      <c r="I2702" s="87" t="s">
        <v>315</v>
      </c>
      <c r="J2702" s="87" t="s">
        <v>7980</v>
      </c>
      <c r="K2702" s="90">
        <v>0.0</v>
      </c>
      <c r="L2702" s="92"/>
      <c r="M2702" s="93"/>
      <c r="N2702" s="87" t="s">
        <v>390</v>
      </c>
      <c r="O2702" s="87" t="s">
        <v>377</v>
      </c>
      <c r="P2702" s="87" t="s">
        <v>372</v>
      </c>
    </row>
    <row r="2703" ht="15.75" customHeight="1">
      <c r="A2703" s="87" t="s">
        <v>7981</v>
      </c>
      <c r="B2703" s="88">
        <v>1.22E18</v>
      </c>
      <c r="C2703" s="87" t="s">
        <v>7982</v>
      </c>
      <c r="D2703" s="87" t="s">
        <v>87</v>
      </c>
      <c r="E2703" s="87" t="s">
        <v>88</v>
      </c>
      <c r="F2703" s="87" t="s">
        <v>7982</v>
      </c>
      <c r="I2703" s="87" t="s">
        <v>340</v>
      </c>
      <c r="J2703" s="87" t="s">
        <v>7983</v>
      </c>
      <c r="K2703" s="90">
        <v>0.0</v>
      </c>
      <c r="L2703" s="92"/>
      <c r="M2703" s="93"/>
      <c r="N2703" s="87" t="s">
        <v>390</v>
      </c>
      <c r="O2703" s="87" t="s">
        <v>377</v>
      </c>
      <c r="P2703" s="87" t="s">
        <v>372</v>
      </c>
    </row>
    <row r="2704" ht="15.75" customHeight="1">
      <c r="A2704" s="87" t="s">
        <v>7984</v>
      </c>
      <c r="B2704" s="88">
        <v>1.22E18</v>
      </c>
      <c r="C2704" s="87" t="s">
        <v>7985</v>
      </c>
      <c r="D2704" s="87" t="s">
        <v>87</v>
      </c>
      <c r="E2704" s="87" t="s">
        <v>88</v>
      </c>
      <c r="F2704" s="87" t="s">
        <v>373</v>
      </c>
      <c r="H2704" s="93"/>
      <c r="I2704" s="87" t="s">
        <v>58</v>
      </c>
      <c r="J2704" s="87" t="s">
        <v>7986</v>
      </c>
      <c r="K2704" s="90">
        <v>0.0</v>
      </c>
      <c r="L2704" s="92"/>
      <c r="M2704" s="93"/>
      <c r="N2704" s="87" t="s">
        <v>5849</v>
      </c>
      <c r="O2704" s="87" t="s">
        <v>377</v>
      </c>
      <c r="P2704" s="87" t="s">
        <v>372</v>
      </c>
    </row>
    <row r="2705" ht="15.75" customHeight="1">
      <c r="A2705" s="87" t="s">
        <v>7987</v>
      </c>
      <c r="B2705" s="88">
        <v>1.22E18</v>
      </c>
      <c r="C2705" s="87" t="s">
        <v>7988</v>
      </c>
      <c r="D2705" s="87" t="s">
        <v>87</v>
      </c>
      <c r="E2705" s="87" t="s">
        <v>102</v>
      </c>
      <c r="F2705" s="87" t="s">
        <v>1763</v>
      </c>
      <c r="I2705" s="87" t="s">
        <v>58</v>
      </c>
      <c r="J2705" s="87" t="s">
        <v>7989</v>
      </c>
      <c r="K2705" s="90">
        <v>0.0</v>
      </c>
      <c r="L2705" s="92"/>
      <c r="M2705" s="93"/>
      <c r="N2705" s="87" t="s">
        <v>474</v>
      </c>
      <c r="O2705" s="87" t="s">
        <v>377</v>
      </c>
      <c r="P2705" s="87" t="s">
        <v>372</v>
      </c>
    </row>
    <row r="2706" ht="15.75" customHeight="1">
      <c r="A2706" s="87" t="s">
        <v>7990</v>
      </c>
      <c r="B2706" s="88">
        <v>1.22E18</v>
      </c>
      <c r="C2706" s="87" t="s">
        <v>7991</v>
      </c>
      <c r="D2706" s="87" t="s">
        <v>56</v>
      </c>
      <c r="E2706" s="87" t="s">
        <v>102</v>
      </c>
      <c r="F2706" s="87" t="s">
        <v>1763</v>
      </c>
      <c r="I2706" s="87" t="s">
        <v>58</v>
      </c>
      <c r="J2706" s="87" t="s">
        <v>4962</v>
      </c>
      <c r="K2706" s="90">
        <v>0.0</v>
      </c>
      <c r="L2706" s="92"/>
      <c r="M2706" s="93"/>
      <c r="N2706" s="87" t="s">
        <v>1772</v>
      </c>
      <c r="O2706" s="87" t="s">
        <v>377</v>
      </c>
      <c r="P2706" s="87" t="s">
        <v>372</v>
      </c>
    </row>
    <row r="2707" ht="15.75" customHeight="1">
      <c r="A2707" s="87" t="s">
        <v>7992</v>
      </c>
      <c r="B2707" s="88">
        <v>1.22E18</v>
      </c>
      <c r="C2707" s="87" t="s">
        <v>7993</v>
      </c>
      <c r="D2707" s="87" t="s">
        <v>56</v>
      </c>
      <c r="E2707" s="87" t="s">
        <v>102</v>
      </c>
      <c r="F2707" s="87" t="s">
        <v>1763</v>
      </c>
      <c r="I2707" s="87" t="s">
        <v>58</v>
      </c>
      <c r="J2707" s="87" t="s">
        <v>7994</v>
      </c>
      <c r="K2707" s="90">
        <v>0.0</v>
      </c>
      <c r="L2707" s="92"/>
      <c r="M2707" s="93"/>
      <c r="N2707" s="87" t="s">
        <v>1772</v>
      </c>
      <c r="O2707" s="87" t="s">
        <v>377</v>
      </c>
      <c r="P2707" s="87" t="s">
        <v>372</v>
      </c>
    </row>
    <row r="2708" ht="15.75" customHeight="1">
      <c r="A2708" s="87" t="s">
        <v>7995</v>
      </c>
      <c r="B2708" s="88">
        <v>1.22E18</v>
      </c>
      <c r="C2708" s="87" t="s">
        <v>7996</v>
      </c>
      <c r="D2708" s="87" t="s">
        <v>87</v>
      </c>
      <c r="E2708" s="87" t="s">
        <v>88</v>
      </c>
      <c r="F2708" s="87" t="s">
        <v>379</v>
      </c>
      <c r="G2708" s="93"/>
      <c r="H2708" s="93"/>
      <c r="I2708" s="87" t="s">
        <v>340</v>
      </c>
      <c r="J2708" s="87" t="s">
        <v>7997</v>
      </c>
      <c r="K2708" s="90">
        <v>50000.0</v>
      </c>
      <c r="L2708" s="92"/>
      <c r="M2708" s="93"/>
      <c r="N2708" s="87" t="s">
        <v>617</v>
      </c>
      <c r="O2708" s="87" t="s">
        <v>377</v>
      </c>
      <c r="P2708" s="87" t="s">
        <v>372</v>
      </c>
    </row>
    <row r="2709" ht="15.75" customHeight="1">
      <c r="A2709" s="87" t="s">
        <v>7998</v>
      </c>
      <c r="B2709" s="88">
        <v>1.22E18</v>
      </c>
      <c r="C2709" s="87" t="s">
        <v>7999</v>
      </c>
      <c r="D2709" s="87" t="s">
        <v>87</v>
      </c>
      <c r="E2709" s="87" t="s">
        <v>228</v>
      </c>
      <c r="F2709" s="87" t="s">
        <v>373</v>
      </c>
      <c r="H2709" s="93"/>
      <c r="I2709" s="87" t="s">
        <v>340</v>
      </c>
      <c r="J2709" s="87" t="s">
        <v>8000</v>
      </c>
      <c r="K2709" s="90">
        <v>1000.0</v>
      </c>
      <c r="L2709" s="92"/>
      <c r="M2709" s="93"/>
      <c r="N2709" s="87" t="s">
        <v>6273</v>
      </c>
      <c r="O2709" s="87" t="s">
        <v>377</v>
      </c>
      <c r="P2709" s="87" t="s">
        <v>372</v>
      </c>
    </row>
    <row r="2710" ht="15.75" customHeight="1">
      <c r="A2710" s="87" t="s">
        <v>8001</v>
      </c>
      <c r="B2710" s="88">
        <v>1.22E18</v>
      </c>
      <c r="C2710" s="87" t="s">
        <v>8002</v>
      </c>
      <c r="D2710" s="87" t="s">
        <v>87</v>
      </c>
      <c r="E2710" s="87" t="s">
        <v>228</v>
      </c>
      <c r="F2710" s="87" t="s">
        <v>373</v>
      </c>
      <c r="H2710" s="93"/>
      <c r="I2710" s="87" t="s">
        <v>340</v>
      </c>
      <c r="J2710" s="87" t="s">
        <v>8000</v>
      </c>
      <c r="K2710" s="90">
        <v>1000.0</v>
      </c>
      <c r="L2710" s="92"/>
      <c r="M2710" s="93"/>
      <c r="N2710" s="87" t="s">
        <v>6273</v>
      </c>
      <c r="O2710" s="87" t="s">
        <v>377</v>
      </c>
      <c r="P2710" s="87" t="s">
        <v>372</v>
      </c>
    </row>
    <row r="2711" ht="15.75" customHeight="1">
      <c r="A2711" s="87" t="s">
        <v>8003</v>
      </c>
      <c r="B2711" s="88">
        <v>1.22E18</v>
      </c>
      <c r="C2711" s="87" t="s">
        <v>8004</v>
      </c>
      <c r="D2711" s="87" t="s">
        <v>56</v>
      </c>
      <c r="E2711" s="87" t="s">
        <v>102</v>
      </c>
      <c r="F2711" s="87" t="s">
        <v>1763</v>
      </c>
      <c r="I2711" s="87" t="s">
        <v>58</v>
      </c>
      <c r="J2711" s="87" t="s">
        <v>8005</v>
      </c>
      <c r="K2711" s="90">
        <v>0.0</v>
      </c>
      <c r="L2711" s="92"/>
      <c r="M2711" s="93"/>
      <c r="N2711" s="87" t="s">
        <v>2468</v>
      </c>
      <c r="O2711" s="87" t="s">
        <v>377</v>
      </c>
      <c r="P2711" s="87" t="s">
        <v>372</v>
      </c>
    </row>
    <row r="2712" ht="15.75" customHeight="1">
      <c r="A2712" s="87" t="s">
        <v>8006</v>
      </c>
      <c r="B2712" s="88">
        <v>1.22E18</v>
      </c>
      <c r="C2712" s="87" t="s">
        <v>8007</v>
      </c>
      <c r="D2712" s="87" t="s">
        <v>87</v>
      </c>
      <c r="E2712" s="87" t="s">
        <v>88</v>
      </c>
      <c r="F2712" s="87" t="s">
        <v>373</v>
      </c>
      <c r="H2712" s="93"/>
      <c r="I2712" s="87" t="s">
        <v>340</v>
      </c>
      <c r="J2712" s="87" t="s">
        <v>1379</v>
      </c>
      <c r="K2712" s="90">
        <v>0.0</v>
      </c>
      <c r="L2712" s="92"/>
      <c r="M2712" s="93"/>
      <c r="N2712" s="87" t="s">
        <v>2370</v>
      </c>
      <c r="O2712" s="87" t="s">
        <v>377</v>
      </c>
      <c r="P2712" s="87" t="s">
        <v>372</v>
      </c>
    </row>
    <row r="2713" ht="15.75" customHeight="1">
      <c r="A2713" s="87" t="s">
        <v>8008</v>
      </c>
      <c r="B2713" s="88">
        <v>1.22E18</v>
      </c>
      <c r="C2713" s="87" t="s">
        <v>8009</v>
      </c>
      <c r="D2713" s="87" t="s">
        <v>87</v>
      </c>
      <c r="E2713" s="87" t="s">
        <v>88</v>
      </c>
      <c r="F2713" s="87" t="s">
        <v>373</v>
      </c>
      <c r="H2713" s="93"/>
      <c r="I2713" s="87" t="s">
        <v>58</v>
      </c>
      <c r="J2713" s="87" t="s">
        <v>8010</v>
      </c>
      <c r="K2713" s="90">
        <v>0.0</v>
      </c>
      <c r="L2713" s="92"/>
      <c r="M2713" s="93"/>
      <c r="N2713" s="93"/>
      <c r="O2713" s="87" t="s">
        <v>377</v>
      </c>
      <c r="P2713" s="87" t="s">
        <v>372</v>
      </c>
    </row>
    <row r="2714" ht="15.75" customHeight="1">
      <c r="A2714" s="87" t="s">
        <v>8011</v>
      </c>
      <c r="B2714" s="88">
        <v>1.22E18</v>
      </c>
      <c r="C2714" s="87" t="s">
        <v>8012</v>
      </c>
      <c r="D2714" s="87" t="s">
        <v>87</v>
      </c>
      <c r="E2714" s="87" t="s">
        <v>88</v>
      </c>
      <c r="F2714" s="87" t="s">
        <v>373</v>
      </c>
      <c r="H2714" s="93"/>
      <c r="I2714" s="87" t="s">
        <v>1123</v>
      </c>
      <c r="J2714" s="87" t="s">
        <v>8013</v>
      </c>
      <c r="K2714" s="90">
        <v>0.0</v>
      </c>
      <c r="L2714" s="92"/>
      <c r="M2714" s="93"/>
      <c r="N2714" s="93"/>
      <c r="O2714" s="87" t="s">
        <v>377</v>
      </c>
      <c r="P2714" s="87" t="s">
        <v>372</v>
      </c>
    </row>
    <row r="2715" ht="15.75" customHeight="1">
      <c r="A2715" s="87" t="s">
        <v>8014</v>
      </c>
      <c r="B2715" s="88">
        <v>1.22E18</v>
      </c>
      <c r="C2715" s="87" t="s">
        <v>8015</v>
      </c>
      <c r="D2715" s="87" t="s">
        <v>87</v>
      </c>
      <c r="E2715" s="87" t="s">
        <v>88</v>
      </c>
      <c r="F2715" s="87" t="s">
        <v>373</v>
      </c>
      <c r="H2715" s="93"/>
      <c r="I2715" s="87" t="s">
        <v>58</v>
      </c>
      <c r="J2715" s="87" t="s">
        <v>8016</v>
      </c>
      <c r="K2715" s="90">
        <v>0.0</v>
      </c>
      <c r="L2715" s="92"/>
      <c r="M2715" s="93"/>
      <c r="N2715" s="93"/>
      <c r="O2715" s="87" t="s">
        <v>377</v>
      </c>
      <c r="P2715" s="87" t="s">
        <v>372</v>
      </c>
    </row>
    <row r="2716" ht="15.75" customHeight="1">
      <c r="A2716" s="87" t="s">
        <v>8017</v>
      </c>
      <c r="B2716" s="88">
        <v>1.22E18</v>
      </c>
      <c r="C2716" s="87" t="s">
        <v>8018</v>
      </c>
      <c r="D2716" s="87" t="s">
        <v>87</v>
      </c>
      <c r="E2716" s="87" t="s">
        <v>228</v>
      </c>
      <c r="F2716" s="87" t="s">
        <v>379</v>
      </c>
      <c r="G2716" s="93"/>
      <c r="H2716" s="93"/>
      <c r="I2716" s="87" t="s">
        <v>340</v>
      </c>
      <c r="J2716" s="87" t="s">
        <v>8019</v>
      </c>
      <c r="K2716" s="90">
        <v>2400.0</v>
      </c>
      <c r="L2716" s="92"/>
      <c r="M2716" s="93"/>
      <c r="N2716" s="93"/>
      <c r="O2716" s="87" t="s">
        <v>377</v>
      </c>
      <c r="P2716" s="87" t="s">
        <v>372</v>
      </c>
    </row>
    <row r="2717" ht="15.75" customHeight="1">
      <c r="A2717" s="87" t="s">
        <v>8020</v>
      </c>
      <c r="B2717" s="88">
        <v>1.22E18</v>
      </c>
      <c r="C2717" s="87" t="s">
        <v>8021</v>
      </c>
      <c r="D2717" s="87" t="s">
        <v>87</v>
      </c>
      <c r="E2717" s="87" t="s">
        <v>228</v>
      </c>
      <c r="F2717" s="87" t="s">
        <v>379</v>
      </c>
      <c r="G2717" s="93"/>
      <c r="H2717" s="93"/>
      <c r="I2717" s="87" t="s">
        <v>340</v>
      </c>
      <c r="J2717" s="87" t="s">
        <v>8019</v>
      </c>
      <c r="K2717" s="90">
        <v>400.0</v>
      </c>
      <c r="L2717" s="92"/>
      <c r="M2717" s="93"/>
      <c r="N2717" s="87" t="s">
        <v>6273</v>
      </c>
      <c r="O2717" s="87" t="s">
        <v>377</v>
      </c>
      <c r="P2717" s="87" t="s">
        <v>372</v>
      </c>
    </row>
    <row r="2718" ht="15.75" customHeight="1">
      <c r="A2718" s="87" t="s">
        <v>8022</v>
      </c>
      <c r="B2718" s="88">
        <v>1.22E18</v>
      </c>
      <c r="C2718" s="87" t="s">
        <v>8023</v>
      </c>
      <c r="D2718" s="87" t="s">
        <v>87</v>
      </c>
      <c r="E2718" s="87" t="s">
        <v>228</v>
      </c>
      <c r="F2718" s="87" t="s">
        <v>8023</v>
      </c>
      <c r="H2718" s="93"/>
      <c r="I2718" s="87" t="s">
        <v>340</v>
      </c>
      <c r="J2718" s="87" t="s">
        <v>887</v>
      </c>
      <c r="K2718" s="90">
        <v>1000.0</v>
      </c>
      <c r="L2718" s="92"/>
      <c r="M2718" s="93"/>
      <c r="N2718" s="87" t="s">
        <v>6273</v>
      </c>
      <c r="O2718" s="87" t="s">
        <v>377</v>
      </c>
      <c r="P2718" s="87" t="s">
        <v>372</v>
      </c>
    </row>
    <row r="2719" ht="15.75" customHeight="1">
      <c r="A2719" s="87" t="s">
        <v>8024</v>
      </c>
      <c r="B2719" s="88">
        <v>1.22E18</v>
      </c>
      <c r="C2719" s="87" t="s">
        <v>8025</v>
      </c>
      <c r="D2719" s="87" t="s">
        <v>262</v>
      </c>
      <c r="E2719" s="87" t="s">
        <v>263</v>
      </c>
      <c r="F2719" s="87" t="s">
        <v>415</v>
      </c>
      <c r="G2719" s="93"/>
      <c r="H2719" s="93"/>
      <c r="I2719" s="87" t="s">
        <v>58</v>
      </c>
      <c r="J2719" s="87" t="s">
        <v>8026</v>
      </c>
      <c r="K2719" s="90">
        <v>1.0</v>
      </c>
      <c r="L2719" s="92"/>
      <c r="M2719" s="93"/>
      <c r="N2719" s="87" t="s">
        <v>4427</v>
      </c>
      <c r="O2719" s="87" t="s">
        <v>377</v>
      </c>
      <c r="P2719" s="87" t="s">
        <v>372</v>
      </c>
    </row>
    <row r="2720" ht="15.75" customHeight="1">
      <c r="A2720" s="87" t="s">
        <v>8027</v>
      </c>
      <c r="B2720" s="88">
        <v>1.22E18</v>
      </c>
      <c r="C2720" s="87" t="s">
        <v>8028</v>
      </c>
      <c r="D2720" s="87" t="s">
        <v>262</v>
      </c>
      <c r="E2720" s="87" t="s">
        <v>263</v>
      </c>
      <c r="F2720" s="87" t="s">
        <v>415</v>
      </c>
      <c r="G2720" s="93"/>
      <c r="H2720" s="93"/>
      <c r="I2720" s="87" t="s">
        <v>58</v>
      </c>
      <c r="J2720" s="87" t="s">
        <v>8029</v>
      </c>
      <c r="K2720" s="90">
        <v>1.0</v>
      </c>
      <c r="L2720" s="92"/>
      <c r="M2720" s="93"/>
      <c r="N2720" s="87" t="s">
        <v>4427</v>
      </c>
      <c r="O2720" s="87" t="s">
        <v>377</v>
      </c>
      <c r="P2720" s="87" t="s">
        <v>372</v>
      </c>
    </row>
    <row r="2721" ht="15.75" customHeight="1">
      <c r="A2721" s="87" t="s">
        <v>8030</v>
      </c>
      <c r="B2721" s="88">
        <v>1.22E18</v>
      </c>
      <c r="C2721" s="87" t="s">
        <v>8031</v>
      </c>
      <c r="D2721" s="87" t="s">
        <v>262</v>
      </c>
      <c r="E2721" s="87" t="s">
        <v>263</v>
      </c>
      <c r="F2721" s="87" t="s">
        <v>415</v>
      </c>
      <c r="G2721" s="93"/>
      <c r="H2721" s="93"/>
      <c r="I2721" s="87" t="s">
        <v>58</v>
      </c>
      <c r="J2721" s="87" t="s">
        <v>8032</v>
      </c>
      <c r="K2721" s="90">
        <v>1.0</v>
      </c>
      <c r="L2721" s="92"/>
      <c r="M2721" s="93"/>
      <c r="N2721" s="87" t="s">
        <v>4427</v>
      </c>
      <c r="O2721" s="87" t="s">
        <v>377</v>
      </c>
      <c r="P2721" s="87" t="s">
        <v>372</v>
      </c>
    </row>
    <row r="2722" ht="15.75" customHeight="1">
      <c r="A2722" s="87" t="s">
        <v>8033</v>
      </c>
      <c r="B2722" s="88">
        <v>1.22E18</v>
      </c>
      <c r="C2722" s="87" t="s">
        <v>8034</v>
      </c>
      <c r="D2722" s="87" t="s">
        <v>56</v>
      </c>
      <c r="E2722" s="87" t="s">
        <v>102</v>
      </c>
      <c r="F2722" s="87" t="s">
        <v>1763</v>
      </c>
      <c r="I2722" s="87" t="s">
        <v>58</v>
      </c>
      <c r="J2722" s="87" t="s">
        <v>8035</v>
      </c>
      <c r="K2722" s="90">
        <v>0.0</v>
      </c>
      <c r="L2722" s="92"/>
      <c r="M2722" s="93"/>
      <c r="N2722" s="87" t="s">
        <v>4427</v>
      </c>
      <c r="O2722" s="87" t="s">
        <v>377</v>
      </c>
      <c r="P2722" s="87" t="s">
        <v>372</v>
      </c>
    </row>
    <row r="2723" ht="15.75" customHeight="1">
      <c r="A2723" s="87" t="s">
        <v>8036</v>
      </c>
      <c r="B2723" s="88">
        <v>1.22E18</v>
      </c>
      <c r="C2723" s="87" t="s">
        <v>8037</v>
      </c>
      <c r="D2723" s="87" t="s">
        <v>87</v>
      </c>
      <c r="E2723" s="87" t="s">
        <v>102</v>
      </c>
      <c r="F2723" s="87" t="s">
        <v>1763</v>
      </c>
      <c r="I2723" s="87" t="s">
        <v>58</v>
      </c>
      <c r="J2723" s="87" t="s">
        <v>7297</v>
      </c>
      <c r="K2723" s="90">
        <v>0.0</v>
      </c>
      <c r="L2723" s="92"/>
      <c r="M2723" s="93"/>
      <c r="N2723" s="87" t="s">
        <v>4427</v>
      </c>
      <c r="O2723" s="87" t="s">
        <v>377</v>
      </c>
      <c r="P2723" s="87" t="s">
        <v>372</v>
      </c>
    </row>
    <row r="2724" ht="15.75" customHeight="1">
      <c r="A2724" s="87" t="s">
        <v>8038</v>
      </c>
      <c r="B2724" s="88">
        <v>1.22E18</v>
      </c>
      <c r="C2724" s="87" t="s">
        <v>8039</v>
      </c>
      <c r="D2724" s="87" t="s">
        <v>56</v>
      </c>
      <c r="E2724" s="87" t="s">
        <v>102</v>
      </c>
      <c r="F2724" s="87" t="s">
        <v>1763</v>
      </c>
      <c r="I2724" s="87" t="s">
        <v>58</v>
      </c>
      <c r="J2724" s="87" t="s">
        <v>7605</v>
      </c>
      <c r="K2724" s="90">
        <v>0.0</v>
      </c>
      <c r="L2724" s="92"/>
      <c r="M2724" s="93"/>
      <c r="N2724" s="87" t="s">
        <v>4427</v>
      </c>
      <c r="O2724" s="87" t="s">
        <v>377</v>
      </c>
      <c r="P2724" s="87" t="s">
        <v>372</v>
      </c>
    </row>
    <row r="2725" ht="15.75" customHeight="1">
      <c r="A2725" s="87" t="s">
        <v>8040</v>
      </c>
      <c r="B2725" s="88">
        <v>1.22E18</v>
      </c>
      <c r="C2725" s="87" t="s">
        <v>8041</v>
      </c>
      <c r="D2725" s="87" t="s">
        <v>56</v>
      </c>
      <c r="E2725" s="87" t="s">
        <v>102</v>
      </c>
      <c r="F2725" s="87" t="s">
        <v>1763</v>
      </c>
      <c r="I2725" s="87" t="s">
        <v>315</v>
      </c>
      <c r="J2725" s="87" t="s">
        <v>8042</v>
      </c>
      <c r="K2725" s="90">
        <v>0.0</v>
      </c>
      <c r="L2725" s="92"/>
      <c r="M2725" s="93"/>
      <c r="N2725" s="87" t="s">
        <v>5018</v>
      </c>
      <c r="O2725" s="87" t="s">
        <v>377</v>
      </c>
      <c r="P2725" s="87" t="s">
        <v>372</v>
      </c>
    </row>
    <row r="2726" ht="15.75" customHeight="1">
      <c r="A2726" s="87" t="s">
        <v>8043</v>
      </c>
      <c r="B2726" s="88">
        <v>1.22E18</v>
      </c>
      <c r="C2726" s="87" t="s">
        <v>8044</v>
      </c>
      <c r="D2726" s="87" t="s">
        <v>56</v>
      </c>
      <c r="E2726" s="87" t="s">
        <v>102</v>
      </c>
      <c r="F2726" s="87" t="s">
        <v>1763</v>
      </c>
      <c r="I2726" s="87" t="s">
        <v>58</v>
      </c>
      <c r="J2726" s="87" t="s">
        <v>8045</v>
      </c>
      <c r="K2726" s="90">
        <v>1000.0</v>
      </c>
      <c r="L2726" s="92"/>
      <c r="M2726" s="93"/>
      <c r="N2726" s="87" t="s">
        <v>5018</v>
      </c>
      <c r="O2726" s="87" t="s">
        <v>377</v>
      </c>
      <c r="P2726" s="87" t="s">
        <v>372</v>
      </c>
    </row>
    <row r="2727" ht="15.75" customHeight="1">
      <c r="A2727" s="87" t="s">
        <v>8046</v>
      </c>
      <c r="B2727" s="88">
        <v>1.22E18</v>
      </c>
      <c r="C2727" s="87" t="s">
        <v>8047</v>
      </c>
      <c r="D2727" s="87" t="s">
        <v>56</v>
      </c>
      <c r="E2727" s="87" t="s">
        <v>142</v>
      </c>
      <c r="F2727" s="87" t="s">
        <v>1763</v>
      </c>
      <c r="I2727" s="87" t="s">
        <v>58</v>
      </c>
      <c r="J2727" s="87" t="s">
        <v>7595</v>
      </c>
      <c r="K2727" s="90">
        <v>0.0</v>
      </c>
      <c r="L2727" s="92"/>
      <c r="M2727" s="93"/>
      <c r="N2727" s="87" t="s">
        <v>111</v>
      </c>
      <c r="O2727" s="87" t="s">
        <v>377</v>
      </c>
      <c r="P2727" s="87" t="s">
        <v>372</v>
      </c>
    </row>
    <row r="2728" ht="15.75" customHeight="1">
      <c r="A2728" s="87" t="s">
        <v>8048</v>
      </c>
      <c r="B2728" s="88">
        <v>1.22E18</v>
      </c>
      <c r="C2728" s="87" t="s">
        <v>8049</v>
      </c>
      <c r="D2728" s="87" t="s">
        <v>56</v>
      </c>
      <c r="E2728" s="87" t="s">
        <v>102</v>
      </c>
      <c r="F2728" s="87" t="s">
        <v>1763</v>
      </c>
      <c r="I2728" s="87" t="s">
        <v>58</v>
      </c>
      <c r="J2728" s="87" t="s">
        <v>6462</v>
      </c>
      <c r="K2728" s="90">
        <v>0.0</v>
      </c>
      <c r="L2728" s="92"/>
      <c r="M2728" s="93"/>
      <c r="N2728" s="87" t="s">
        <v>8050</v>
      </c>
      <c r="O2728" s="87" t="s">
        <v>377</v>
      </c>
      <c r="P2728" s="87" t="s">
        <v>372</v>
      </c>
    </row>
    <row r="2729" ht="15.75" customHeight="1">
      <c r="A2729" s="87" t="s">
        <v>8051</v>
      </c>
      <c r="B2729" s="88">
        <v>1.22E18</v>
      </c>
      <c r="C2729" s="87" t="s">
        <v>8052</v>
      </c>
      <c r="D2729" s="87" t="s">
        <v>87</v>
      </c>
      <c r="E2729" s="87" t="s">
        <v>102</v>
      </c>
      <c r="F2729" s="87" t="s">
        <v>1763</v>
      </c>
      <c r="I2729" s="87" t="s">
        <v>1742</v>
      </c>
      <c r="J2729" s="87" t="s">
        <v>8053</v>
      </c>
      <c r="K2729" s="90">
        <v>6.0</v>
      </c>
      <c r="L2729" s="92"/>
      <c r="M2729" s="93"/>
      <c r="N2729" s="87" t="s">
        <v>4427</v>
      </c>
      <c r="O2729" s="87" t="s">
        <v>377</v>
      </c>
      <c r="P2729" s="87" t="s">
        <v>372</v>
      </c>
    </row>
    <row r="2730" ht="15.75" customHeight="1">
      <c r="A2730" s="87" t="s">
        <v>8054</v>
      </c>
      <c r="B2730" s="88">
        <v>1.22E18</v>
      </c>
      <c r="C2730" s="87" t="s">
        <v>8055</v>
      </c>
      <c r="D2730" s="87" t="s">
        <v>87</v>
      </c>
      <c r="E2730" s="87" t="s">
        <v>102</v>
      </c>
      <c r="F2730" s="87" t="s">
        <v>1763</v>
      </c>
      <c r="I2730" s="87" t="s">
        <v>1742</v>
      </c>
      <c r="J2730" s="87" t="s">
        <v>8056</v>
      </c>
      <c r="K2730" s="90">
        <v>8.0</v>
      </c>
      <c r="L2730" s="92"/>
      <c r="M2730" s="93"/>
      <c r="N2730" s="87" t="s">
        <v>4427</v>
      </c>
      <c r="O2730" s="87" t="s">
        <v>377</v>
      </c>
      <c r="P2730" s="87" t="s">
        <v>372</v>
      </c>
    </row>
    <row r="2731" ht="15.75" customHeight="1">
      <c r="A2731" s="87" t="s">
        <v>8057</v>
      </c>
      <c r="B2731" s="88">
        <v>1.22E18</v>
      </c>
      <c r="C2731" s="87" t="s">
        <v>8058</v>
      </c>
      <c r="D2731" s="87" t="s">
        <v>87</v>
      </c>
      <c r="E2731" s="87" t="s">
        <v>102</v>
      </c>
      <c r="F2731" s="87" t="s">
        <v>1763</v>
      </c>
      <c r="I2731" s="87" t="s">
        <v>1742</v>
      </c>
      <c r="J2731" s="87" t="s">
        <v>8059</v>
      </c>
      <c r="K2731" s="90">
        <v>0.0</v>
      </c>
      <c r="L2731" s="92"/>
      <c r="M2731" s="93"/>
      <c r="N2731" s="87" t="s">
        <v>4427</v>
      </c>
      <c r="O2731" s="87" t="s">
        <v>377</v>
      </c>
      <c r="P2731" s="87" t="s">
        <v>372</v>
      </c>
    </row>
    <row r="2732" ht="15.75" customHeight="1">
      <c r="A2732" s="87" t="s">
        <v>8060</v>
      </c>
      <c r="B2732" s="88">
        <v>1.22E18</v>
      </c>
      <c r="C2732" s="87" t="s">
        <v>8061</v>
      </c>
      <c r="D2732" s="87" t="s">
        <v>87</v>
      </c>
      <c r="E2732" s="87" t="s">
        <v>102</v>
      </c>
      <c r="F2732" s="87" t="s">
        <v>1763</v>
      </c>
      <c r="I2732" s="87" t="s">
        <v>1742</v>
      </c>
      <c r="J2732" s="87" t="s">
        <v>2450</v>
      </c>
      <c r="K2732" s="90">
        <v>375.0</v>
      </c>
      <c r="L2732" s="92"/>
      <c r="M2732" s="93"/>
      <c r="N2732" s="87" t="s">
        <v>4427</v>
      </c>
      <c r="O2732" s="87" t="s">
        <v>377</v>
      </c>
      <c r="P2732" s="87" t="s">
        <v>372</v>
      </c>
    </row>
    <row r="2733" ht="15.75" customHeight="1">
      <c r="A2733" s="87" t="s">
        <v>8062</v>
      </c>
      <c r="B2733" s="88">
        <v>1.22E18</v>
      </c>
      <c r="C2733" s="87" t="s">
        <v>8063</v>
      </c>
      <c r="D2733" s="87" t="s">
        <v>56</v>
      </c>
      <c r="E2733" s="87" t="s">
        <v>102</v>
      </c>
      <c r="F2733" s="87" t="s">
        <v>1763</v>
      </c>
      <c r="I2733" s="87" t="s">
        <v>58</v>
      </c>
      <c r="J2733" s="87" t="s">
        <v>5413</v>
      </c>
      <c r="K2733" s="90">
        <v>0.0</v>
      </c>
      <c r="L2733" s="92"/>
      <c r="M2733" s="93"/>
      <c r="N2733" s="87" t="s">
        <v>4427</v>
      </c>
      <c r="O2733" s="87" t="s">
        <v>377</v>
      </c>
      <c r="P2733" s="87" t="s">
        <v>372</v>
      </c>
    </row>
    <row r="2734" ht="15.75" customHeight="1">
      <c r="A2734" s="87" t="s">
        <v>8064</v>
      </c>
      <c r="B2734" s="88">
        <v>1.22E18</v>
      </c>
      <c r="C2734" s="87" t="s">
        <v>8065</v>
      </c>
      <c r="D2734" s="87" t="s">
        <v>87</v>
      </c>
      <c r="E2734" s="87" t="s">
        <v>88</v>
      </c>
      <c r="F2734" s="87" t="s">
        <v>8065</v>
      </c>
      <c r="I2734" s="87" t="s">
        <v>340</v>
      </c>
      <c r="J2734" s="87" t="s">
        <v>8066</v>
      </c>
      <c r="K2734" s="90">
        <v>5000.0</v>
      </c>
      <c r="L2734" s="92"/>
      <c r="M2734" s="93"/>
      <c r="N2734" s="93"/>
      <c r="O2734" s="87" t="s">
        <v>377</v>
      </c>
      <c r="P2734" s="87" t="s">
        <v>372</v>
      </c>
    </row>
    <row r="2735" ht="15.75" customHeight="1">
      <c r="A2735" s="87" t="s">
        <v>8067</v>
      </c>
      <c r="B2735" s="88">
        <v>1.22E18</v>
      </c>
      <c r="C2735" s="87" t="s">
        <v>8068</v>
      </c>
      <c r="D2735" s="87" t="s">
        <v>87</v>
      </c>
      <c r="E2735" s="87" t="s">
        <v>228</v>
      </c>
      <c r="F2735" s="87" t="s">
        <v>373</v>
      </c>
      <c r="H2735" s="93"/>
      <c r="I2735" s="87" t="s">
        <v>340</v>
      </c>
      <c r="J2735" s="87" t="s">
        <v>8069</v>
      </c>
      <c r="K2735" s="90">
        <v>1000.0</v>
      </c>
      <c r="L2735" s="92"/>
      <c r="M2735" s="93"/>
      <c r="N2735" s="87" t="s">
        <v>617</v>
      </c>
      <c r="O2735" s="87" t="s">
        <v>377</v>
      </c>
      <c r="P2735" s="87" t="s">
        <v>372</v>
      </c>
    </row>
    <row r="2736" ht="15.75" customHeight="1">
      <c r="A2736" s="87" t="s">
        <v>8070</v>
      </c>
      <c r="B2736" s="88">
        <v>1.22E18</v>
      </c>
      <c r="C2736" s="87" t="s">
        <v>8071</v>
      </c>
      <c r="D2736" s="87" t="s">
        <v>87</v>
      </c>
      <c r="E2736" s="87" t="s">
        <v>228</v>
      </c>
      <c r="F2736" s="87" t="s">
        <v>373</v>
      </c>
      <c r="H2736" s="93"/>
      <c r="I2736" s="87" t="s">
        <v>340</v>
      </c>
      <c r="J2736" s="87" t="s">
        <v>8069</v>
      </c>
      <c r="K2736" s="90">
        <v>1000.0</v>
      </c>
      <c r="L2736" s="92"/>
      <c r="M2736" s="93"/>
      <c r="N2736" s="87" t="s">
        <v>617</v>
      </c>
      <c r="O2736" s="87" t="s">
        <v>377</v>
      </c>
      <c r="P2736" s="87" t="s">
        <v>372</v>
      </c>
    </row>
    <row r="2737" ht="15.75" customHeight="1">
      <c r="A2737" s="87" t="s">
        <v>8072</v>
      </c>
      <c r="B2737" s="88">
        <v>1.22E18</v>
      </c>
      <c r="C2737" s="87" t="s">
        <v>8073</v>
      </c>
      <c r="D2737" s="87" t="s">
        <v>87</v>
      </c>
      <c r="E2737" s="87" t="s">
        <v>228</v>
      </c>
      <c r="F2737" s="87" t="s">
        <v>373</v>
      </c>
      <c r="H2737" s="93"/>
      <c r="I2737" s="87" t="s">
        <v>340</v>
      </c>
      <c r="J2737" s="87" t="s">
        <v>8069</v>
      </c>
      <c r="K2737" s="90">
        <v>4000.0</v>
      </c>
      <c r="L2737" s="92"/>
      <c r="M2737" s="93"/>
      <c r="N2737" s="87" t="s">
        <v>617</v>
      </c>
      <c r="O2737" s="87" t="s">
        <v>377</v>
      </c>
      <c r="P2737" s="87" t="s">
        <v>372</v>
      </c>
    </row>
    <row r="2738" ht="15.75" customHeight="1">
      <c r="A2738" s="87" t="s">
        <v>8074</v>
      </c>
      <c r="B2738" s="88">
        <v>1.22E18</v>
      </c>
      <c r="C2738" s="87" t="s">
        <v>8075</v>
      </c>
      <c r="D2738" s="87" t="s">
        <v>87</v>
      </c>
      <c r="E2738" s="87" t="s">
        <v>228</v>
      </c>
      <c r="F2738" s="87" t="s">
        <v>373</v>
      </c>
      <c r="H2738" s="93"/>
      <c r="I2738" s="87" t="s">
        <v>340</v>
      </c>
      <c r="J2738" s="87" t="s">
        <v>8069</v>
      </c>
      <c r="K2738" s="90">
        <v>2000.0</v>
      </c>
      <c r="L2738" s="92"/>
      <c r="M2738" s="93"/>
      <c r="N2738" s="87" t="s">
        <v>617</v>
      </c>
      <c r="O2738" s="87" t="s">
        <v>377</v>
      </c>
      <c r="P2738" s="87" t="s">
        <v>372</v>
      </c>
    </row>
    <row r="2739" ht="15.75" customHeight="1">
      <c r="A2739" s="87" t="s">
        <v>8076</v>
      </c>
      <c r="B2739" s="88">
        <v>1.22E18</v>
      </c>
      <c r="C2739" s="87" t="s">
        <v>8077</v>
      </c>
      <c r="D2739" s="87" t="s">
        <v>87</v>
      </c>
      <c r="E2739" s="87" t="s">
        <v>88</v>
      </c>
      <c r="F2739" s="87" t="s">
        <v>373</v>
      </c>
      <c r="H2739" s="93"/>
      <c r="I2739" s="87" t="s">
        <v>340</v>
      </c>
      <c r="J2739" s="87" t="s">
        <v>8078</v>
      </c>
      <c r="K2739" s="90">
        <v>600.0</v>
      </c>
      <c r="L2739" s="92"/>
      <c r="M2739" s="93"/>
      <c r="N2739" s="87" t="s">
        <v>617</v>
      </c>
      <c r="O2739" s="87" t="s">
        <v>377</v>
      </c>
      <c r="P2739" s="87" t="s">
        <v>372</v>
      </c>
    </row>
    <row r="2740" ht="15.75" customHeight="1">
      <c r="A2740" s="87" t="s">
        <v>8079</v>
      </c>
      <c r="B2740" s="88">
        <v>1.22E18</v>
      </c>
      <c r="C2740" s="87" t="s">
        <v>8080</v>
      </c>
      <c r="D2740" s="87" t="s">
        <v>56</v>
      </c>
      <c r="E2740" s="87" t="s">
        <v>102</v>
      </c>
      <c r="F2740" s="87" t="s">
        <v>1763</v>
      </c>
      <c r="I2740" s="87" t="s">
        <v>2010</v>
      </c>
      <c r="J2740" s="87" t="s">
        <v>5804</v>
      </c>
      <c r="K2740" s="90">
        <v>0.0</v>
      </c>
      <c r="L2740" s="92"/>
      <c r="M2740" s="93"/>
      <c r="N2740" s="87" t="s">
        <v>8081</v>
      </c>
      <c r="O2740" s="87" t="s">
        <v>377</v>
      </c>
      <c r="P2740" s="87" t="s">
        <v>372</v>
      </c>
    </row>
    <row r="2741" ht="15.75" customHeight="1">
      <c r="A2741" s="87" t="s">
        <v>8082</v>
      </c>
      <c r="B2741" s="88">
        <v>1.22E18</v>
      </c>
      <c r="C2741" s="87" t="s">
        <v>8083</v>
      </c>
      <c r="D2741" s="87" t="s">
        <v>87</v>
      </c>
      <c r="E2741" s="87" t="s">
        <v>228</v>
      </c>
      <c r="F2741" s="87" t="s">
        <v>373</v>
      </c>
      <c r="H2741" s="93"/>
      <c r="I2741" s="87" t="s">
        <v>340</v>
      </c>
      <c r="J2741" s="87" t="s">
        <v>8084</v>
      </c>
      <c r="K2741" s="90">
        <v>440.0</v>
      </c>
      <c r="L2741" s="92"/>
      <c r="M2741" s="93"/>
      <c r="N2741" s="87" t="s">
        <v>408</v>
      </c>
      <c r="O2741" s="87" t="s">
        <v>377</v>
      </c>
      <c r="P2741" s="87" t="s">
        <v>372</v>
      </c>
    </row>
    <row r="2742" ht="15.75" customHeight="1">
      <c r="A2742" s="87" t="s">
        <v>8085</v>
      </c>
      <c r="B2742" s="88">
        <v>1.22E18</v>
      </c>
      <c r="C2742" s="87" t="s">
        <v>8086</v>
      </c>
      <c r="D2742" s="87" t="s">
        <v>87</v>
      </c>
      <c r="E2742" s="87" t="s">
        <v>228</v>
      </c>
      <c r="F2742" s="87" t="s">
        <v>373</v>
      </c>
      <c r="H2742" s="93"/>
      <c r="I2742" s="87" t="s">
        <v>340</v>
      </c>
      <c r="J2742" s="87" t="s">
        <v>8087</v>
      </c>
      <c r="K2742" s="90">
        <v>800.0</v>
      </c>
      <c r="L2742" s="92"/>
      <c r="M2742" s="93"/>
      <c r="N2742" s="87" t="s">
        <v>8088</v>
      </c>
      <c r="O2742" s="87" t="s">
        <v>377</v>
      </c>
      <c r="P2742" s="87" t="s">
        <v>372</v>
      </c>
    </row>
    <row r="2743" ht="15.75" customHeight="1">
      <c r="A2743" s="87" t="s">
        <v>8089</v>
      </c>
      <c r="B2743" s="88">
        <v>1.22E18</v>
      </c>
      <c r="C2743" s="87" t="s">
        <v>8090</v>
      </c>
      <c r="D2743" s="87" t="s">
        <v>87</v>
      </c>
      <c r="E2743" s="87" t="s">
        <v>228</v>
      </c>
      <c r="F2743" s="87" t="s">
        <v>373</v>
      </c>
      <c r="H2743" s="93"/>
      <c r="I2743" s="87" t="s">
        <v>340</v>
      </c>
      <c r="J2743" s="87" t="s">
        <v>8087</v>
      </c>
      <c r="K2743" s="90">
        <v>900.0</v>
      </c>
      <c r="L2743" s="92"/>
      <c r="M2743" s="93"/>
      <c r="N2743" s="87" t="s">
        <v>8088</v>
      </c>
      <c r="O2743" s="87" t="s">
        <v>377</v>
      </c>
      <c r="P2743" s="87" t="s">
        <v>372</v>
      </c>
    </row>
    <row r="2744" ht="15.75" customHeight="1">
      <c r="A2744" s="87" t="s">
        <v>8091</v>
      </c>
      <c r="B2744" s="88">
        <v>1.22E18</v>
      </c>
      <c r="C2744" s="87" t="s">
        <v>8092</v>
      </c>
      <c r="D2744" s="87" t="s">
        <v>87</v>
      </c>
      <c r="E2744" s="87" t="s">
        <v>228</v>
      </c>
      <c r="F2744" s="87" t="s">
        <v>373</v>
      </c>
      <c r="H2744" s="93"/>
      <c r="I2744" s="87" t="s">
        <v>340</v>
      </c>
      <c r="J2744" s="87" t="s">
        <v>8087</v>
      </c>
      <c r="K2744" s="90">
        <v>730.0</v>
      </c>
      <c r="L2744" s="92"/>
      <c r="M2744" s="93"/>
      <c r="N2744" s="87" t="s">
        <v>8088</v>
      </c>
      <c r="O2744" s="87" t="s">
        <v>377</v>
      </c>
      <c r="P2744" s="87" t="s">
        <v>372</v>
      </c>
    </row>
    <row r="2745" ht="15.75" customHeight="1">
      <c r="A2745" s="87" t="s">
        <v>8093</v>
      </c>
      <c r="B2745" s="88">
        <v>1.22E18</v>
      </c>
      <c r="C2745" s="87" t="s">
        <v>8094</v>
      </c>
      <c r="D2745" s="87" t="s">
        <v>87</v>
      </c>
      <c r="E2745" s="87" t="s">
        <v>228</v>
      </c>
      <c r="F2745" s="87" t="s">
        <v>373</v>
      </c>
      <c r="H2745" s="93"/>
      <c r="I2745" s="87" t="s">
        <v>340</v>
      </c>
      <c r="J2745" s="87" t="s">
        <v>8087</v>
      </c>
      <c r="K2745" s="90">
        <v>700.0</v>
      </c>
      <c r="L2745" s="92"/>
      <c r="M2745" s="93"/>
      <c r="N2745" s="87" t="s">
        <v>8088</v>
      </c>
      <c r="O2745" s="87" t="s">
        <v>377</v>
      </c>
      <c r="P2745" s="87" t="s">
        <v>372</v>
      </c>
    </row>
    <row r="2746" ht="15.75" customHeight="1">
      <c r="A2746" s="87" t="s">
        <v>8095</v>
      </c>
      <c r="B2746" s="88">
        <v>1.22E18</v>
      </c>
      <c r="C2746" s="87" t="s">
        <v>8096</v>
      </c>
      <c r="D2746" s="87" t="s">
        <v>87</v>
      </c>
      <c r="E2746" s="87" t="s">
        <v>228</v>
      </c>
      <c r="F2746" s="87" t="s">
        <v>373</v>
      </c>
      <c r="H2746" s="93"/>
      <c r="I2746" s="87" t="s">
        <v>340</v>
      </c>
      <c r="J2746" s="87" t="s">
        <v>8087</v>
      </c>
      <c r="K2746" s="90">
        <v>800.0</v>
      </c>
      <c r="L2746" s="92"/>
      <c r="M2746" s="93"/>
      <c r="N2746" s="87" t="s">
        <v>8088</v>
      </c>
      <c r="O2746" s="87" t="s">
        <v>377</v>
      </c>
      <c r="P2746" s="87" t="s">
        <v>372</v>
      </c>
    </row>
    <row r="2747" ht="15.75" customHeight="1">
      <c r="A2747" s="87" t="s">
        <v>8097</v>
      </c>
      <c r="B2747" s="88">
        <v>1.22E18</v>
      </c>
      <c r="C2747" s="87" t="s">
        <v>8098</v>
      </c>
      <c r="D2747" s="87" t="s">
        <v>87</v>
      </c>
      <c r="E2747" s="87" t="s">
        <v>88</v>
      </c>
      <c r="F2747" s="87" t="s">
        <v>373</v>
      </c>
      <c r="H2747" s="93"/>
      <c r="I2747" s="87" t="s">
        <v>327</v>
      </c>
      <c r="J2747" s="87" t="s">
        <v>8099</v>
      </c>
      <c r="K2747" s="90">
        <v>0.0</v>
      </c>
      <c r="L2747" s="92"/>
      <c r="M2747" s="93"/>
      <c r="N2747" s="87" t="s">
        <v>390</v>
      </c>
      <c r="O2747" s="87" t="s">
        <v>377</v>
      </c>
      <c r="P2747" s="87" t="s">
        <v>372</v>
      </c>
    </row>
    <row r="2748" ht="15.75" customHeight="1">
      <c r="A2748" s="87" t="s">
        <v>8100</v>
      </c>
      <c r="B2748" s="88">
        <v>1.22E18</v>
      </c>
      <c r="C2748" s="87" t="s">
        <v>8101</v>
      </c>
      <c r="D2748" s="87" t="s">
        <v>87</v>
      </c>
      <c r="E2748" s="87" t="s">
        <v>88</v>
      </c>
      <c r="F2748" s="87" t="s">
        <v>373</v>
      </c>
      <c r="H2748" s="93"/>
      <c r="I2748" s="87" t="s">
        <v>340</v>
      </c>
      <c r="J2748" s="87" t="s">
        <v>7894</v>
      </c>
      <c r="K2748" s="90">
        <v>2800.0</v>
      </c>
      <c r="L2748" s="92"/>
      <c r="M2748" s="93"/>
      <c r="N2748" s="87" t="s">
        <v>2483</v>
      </c>
      <c r="O2748" s="87" t="s">
        <v>377</v>
      </c>
      <c r="P2748" s="87" t="s">
        <v>372</v>
      </c>
    </row>
    <row r="2749" ht="15.75" customHeight="1">
      <c r="A2749" s="87" t="s">
        <v>8102</v>
      </c>
      <c r="B2749" s="88">
        <v>1.22E18</v>
      </c>
      <c r="C2749" s="87" t="s">
        <v>8103</v>
      </c>
      <c r="D2749" s="87" t="s">
        <v>87</v>
      </c>
      <c r="E2749" s="87" t="s">
        <v>88</v>
      </c>
      <c r="F2749" s="87" t="s">
        <v>373</v>
      </c>
      <c r="H2749" s="93"/>
      <c r="I2749" s="87" t="s">
        <v>340</v>
      </c>
      <c r="J2749" s="87" t="s">
        <v>7894</v>
      </c>
      <c r="K2749" s="90">
        <v>3000.0</v>
      </c>
      <c r="L2749" s="92"/>
      <c r="M2749" s="93"/>
      <c r="N2749" s="87" t="s">
        <v>2483</v>
      </c>
      <c r="O2749" s="87" t="s">
        <v>377</v>
      </c>
      <c r="P2749" s="87" t="s">
        <v>372</v>
      </c>
    </row>
    <row r="2750" ht="15.75" customHeight="1">
      <c r="A2750" s="87" t="s">
        <v>8104</v>
      </c>
      <c r="B2750" s="88">
        <v>1.22E18</v>
      </c>
      <c r="C2750" s="87" t="s">
        <v>8105</v>
      </c>
      <c r="D2750" s="87" t="s">
        <v>87</v>
      </c>
      <c r="E2750" s="87" t="s">
        <v>88</v>
      </c>
      <c r="F2750" s="87" t="s">
        <v>373</v>
      </c>
      <c r="H2750" s="93"/>
      <c r="I2750" s="87" t="s">
        <v>340</v>
      </c>
      <c r="J2750" s="87" t="s">
        <v>7521</v>
      </c>
      <c r="K2750" s="90">
        <v>1000.0</v>
      </c>
      <c r="L2750" s="92"/>
      <c r="M2750" s="93"/>
      <c r="N2750" s="87" t="s">
        <v>2483</v>
      </c>
      <c r="O2750" s="87" t="s">
        <v>377</v>
      </c>
      <c r="P2750" s="87" t="s">
        <v>372</v>
      </c>
    </row>
    <row r="2751" ht="15.75" customHeight="1">
      <c r="A2751" s="87" t="s">
        <v>8106</v>
      </c>
      <c r="B2751" s="88">
        <v>1.22E18</v>
      </c>
      <c r="C2751" s="87" t="s">
        <v>8107</v>
      </c>
      <c r="D2751" s="87" t="s">
        <v>87</v>
      </c>
      <c r="E2751" s="87" t="s">
        <v>88</v>
      </c>
      <c r="F2751" s="87" t="s">
        <v>373</v>
      </c>
      <c r="H2751" s="93"/>
      <c r="I2751" s="87" t="s">
        <v>340</v>
      </c>
      <c r="J2751" s="87" t="s">
        <v>7521</v>
      </c>
      <c r="K2751" s="90">
        <v>1000.0</v>
      </c>
      <c r="L2751" s="92"/>
      <c r="M2751" s="93"/>
      <c r="N2751" s="87" t="s">
        <v>2483</v>
      </c>
      <c r="O2751" s="87" t="s">
        <v>377</v>
      </c>
      <c r="P2751" s="87" t="s">
        <v>372</v>
      </c>
    </row>
    <row r="2752" ht="15.75" customHeight="1">
      <c r="A2752" s="87" t="s">
        <v>8108</v>
      </c>
      <c r="B2752" s="88">
        <v>1.22E18</v>
      </c>
      <c r="C2752" s="87" t="s">
        <v>8109</v>
      </c>
      <c r="D2752" s="87" t="s">
        <v>87</v>
      </c>
      <c r="E2752" s="87" t="s">
        <v>88</v>
      </c>
      <c r="F2752" s="87" t="s">
        <v>373</v>
      </c>
      <c r="H2752" s="93"/>
      <c r="I2752" s="87" t="s">
        <v>340</v>
      </c>
      <c r="J2752" s="87" t="s">
        <v>449</v>
      </c>
      <c r="K2752" s="90">
        <v>1000.0</v>
      </c>
      <c r="L2752" s="92"/>
      <c r="M2752" s="93"/>
      <c r="N2752" s="87" t="s">
        <v>2483</v>
      </c>
      <c r="O2752" s="87" t="s">
        <v>377</v>
      </c>
      <c r="P2752" s="87" t="s">
        <v>372</v>
      </c>
    </row>
    <row r="2753" ht="15.75" customHeight="1">
      <c r="A2753" s="87" t="s">
        <v>8110</v>
      </c>
      <c r="B2753" s="88">
        <v>1.22E18</v>
      </c>
      <c r="C2753" s="87" t="s">
        <v>8111</v>
      </c>
      <c r="D2753" s="87" t="s">
        <v>87</v>
      </c>
      <c r="E2753" s="87" t="s">
        <v>88</v>
      </c>
      <c r="F2753" s="87" t="s">
        <v>373</v>
      </c>
      <c r="H2753" s="93"/>
      <c r="I2753" s="87" t="s">
        <v>340</v>
      </c>
      <c r="J2753" s="87" t="s">
        <v>449</v>
      </c>
      <c r="K2753" s="90">
        <v>1000.0</v>
      </c>
      <c r="L2753" s="92"/>
      <c r="M2753" s="93"/>
      <c r="N2753" s="87" t="s">
        <v>2483</v>
      </c>
      <c r="O2753" s="87" t="s">
        <v>377</v>
      </c>
      <c r="P2753" s="87" t="s">
        <v>372</v>
      </c>
    </row>
    <row r="2754" ht="15.75" customHeight="1">
      <c r="A2754" s="87" t="s">
        <v>8112</v>
      </c>
      <c r="B2754" s="88">
        <v>1.22E18</v>
      </c>
      <c r="C2754" s="87" t="s">
        <v>8113</v>
      </c>
      <c r="D2754" s="87" t="s">
        <v>87</v>
      </c>
      <c r="E2754" s="87" t="s">
        <v>88</v>
      </c>
      <c r="F2754" s="87" t="s">
        <v>373</v>
      </c>
      <c r="H2754" s="93"/>
      <c r="I2754" s="87" t="s">
        <v>340</v>
      </c>
      <c r="J2754" s="87" t="s">
        <v>8114</v>
      </c>
      <c r="K2754" s="90">
        <v>1000.0</v>
      </c>
      <c r="L2754" s="92"/>
      <c r="M2754" s="93"/>
      <c r="N2754" s="87" t="s">
        <v>2483</v>
      </c>
      <c r="O2754" s="87" t="s">
        <v>377</v>
      </c>
      <c r="P2754" s="87" t="s">
        <v>372</v>
      </c>
    </row>
    <row r="2755" ht="15.75" customHeight="1">
      <c r="A2755" s="87" t="s">
        <v>8115</v>
      </c>
      <c r="B2755" s="88">
        <v>1.22E18</v>
      </c>
      <c r="C2755" s="87" t="s">
        <v>8116</v>
      </c>
      <c r="D2755" s="87" t="s">
        <v>87</v>
      </c>
      <c r="E2755" s="87" t="s">
        <v>88</v>
      </c>
      <c r="F2755" s="87" t="s">
        <v>373</v>
      </c>
      <c r="H2755" s="93"/>
      <c r="I2755" s="87" t="s">
        <v>340</v>
      </c>
      <c r="J2755" s="87" t="s">
        <v>8114</v>
      </c>
      <c r="K2755" s="90">
        <v>1000.0</v>
      </c>
      <c r="L2755" s="92"/>
      <c r="M2755" s="93"/>
      <c r="N2755" s="87" t="s">
        <v>2483</v>
      </c>
      <c r="O2755" s="87" t="s">
        <v>377</v>
      </c>
      <c r="P2755" s="87" t="s">
        <v>372</v>
      </c>
    </row>
    <row r="2756" ht="15.75" customHeight="1">
      <c r="A2756" s="87" t="s">
        <v>8117</v>
      </c>
      <c r="B2756" s="88">
        <v>1.22E18</v>
      </c>
      <c r="C2756" s="87" t="s">
        <v>8118</v>
      </c>
      <c r="D2756" s="87" t="s">
        <v>87</v>
      </c>
      <c r="E2756" s="87" t="s">
        <v>88</v>
      </c>
      <c r="F2756" s="87" t="s">
        <v>373</v>
      </c>
      <c r="H2756" s="93"/>
      <c r="I2756" s="87" t="s">
        <v>340</v>
      </c>
      <c r="J2756" s="87" t="s">
        <v>449</v>
      </c>
      <c r="K2756" s="90">
        <v>13000.0</v>
      </c>
      <c r="L2756" s="92"/>
      <c r="M2756" s="93"/>
      <c r="N2756" s="87" t="s">
        <v>2483</v>
      </c>
      <c r="O2756" s="87" t="s">
        <v>377</v>
      </c>
      <c r="P2756" s="87" t="s">
        <v>372</v>
      </c>
    </row>
    <row r="2757" ht="15.75" customHeight="1">
      <c r="A2757" s="87" t="s">
        <v>8119</v>
      </c>
      <c r="B2757" s="88">
        <v>1.22E18</v>
      </c>
      <c r="C2757" s="87" t="s">
        <v>8120</v>
      </c>
      <c r="D2757" s="87" t="s">
        <v>87</v>
      </c>
      <c r="E2757" s="87" t="s">
        <v>88</v>
      </c>
      <c r="F2757" s="87" t="s">
        <v>373</v>
      </c>
      <c r="H2757" s="93"/>
      <c r="I2757" s="87" t="s">
        <v>340</v>
      </c>
      <c r="J2757" s="87" t="s">
        <v>449</v>
      </c>
      <c r="K2757" s="90">
        <v>1000.0</v>
      </c>
      <c r="L2757" s="92"/>
      <c r="M2757" s="93"/>
      <c r="N2757" s="87" t="s">
        <v>2483</v>
      </c>
      <c r="O2757" s="87" t="s">
        <v>377</v>
      </c>
      <c r="P2757" s="87" t="s">
        <v>372</v>
      </c>
    </row>
    <row r="2758" ht="15.75" customHeight="1">
      <c r="A2758" s="87" t="s">
        <v>8121</v>
      </c>
      <c r="B2758" s="88">
        <v>1.22E18</v>
      </c>
      <c r="C2758" s="87" t="s">
        <v>8122</v>
      </c>
      <c r="D2758" s="87" t="s">
        <v>87</v>
      </c>
      <c r="E2758" s="87" t="s">
        <v>88</v>
      </c>
      <c r="F2758" s="87" t="s">
        <v>379</v>
      </c>
      <c r="G2758" s="93"/>
      <c r="H2758" s="93"/>
      <c r="I2758" s="87" t="s">
        <v>340</v>
      </c>
      <c r="J2758" s="87" t="s">
        <v>8123</v>
      </c>
      <c r="K2758" s="90">
        <v>0.0</v>
      </c>
      <c r="L2758" s="92"/>
      <c r="M2758" s="93"/>
      <c r="N2758" s="87" t="s">
        <v>2139</v>
      </c>
      <c r="O2758" s="87" t="s">
        <v>377</v>
      </c>
      <c r="P2758" s="87" t="s">
        <v>372</v>
      </c>
    </row>
    <row r="2759" ht="15.75" customHeight="1">
      <c r="A2759" s="87" t="s">
        <v>8124</v>
      </c>
      <c r="B2759" s="88">
        <v>1.22E18</v>
      </c>
      <c r="C2759" s="87" t="s">
        <v>8125</v>
      </c>
      <c r="D2759" s="87" t="s">
        <v>87</v>
      </c>
      <c r="E2759" s="87" t="s">
        <v>88</v>
      </c>
      <c r="F2759" s="87" t="s">
        <v>379</v>
      </c>
      <c r="G2759" s="93"/>
      <c r="H2759" s="93"/>
      <c r="I2759" s="87" t="s">
        <v>340</v>
      </c>
      <c r="J2759" s="87" t="s">
        <v>3075</v>
      </c>
      <c r="K2759" s="90">
        <v>0.0</v>
      </c>
      <c r="L2759" s="92"/>
      <c r="M2759" s="93"/>
      <c r="N2759" s="87" t="s">
        <v>2139</v>
      </c>
      <c r="O2759" s="87" t="s">
        <v>377</v>
      </c>
      <c r="P2759" s="87" t="s">
        <v>372</v>
      </c>
    </row>
    <row r="2760" ht="15.75" customHeight="1">
      <c r="A2760" s="87" t="s">
        <v>8126</v>
      </c>
      <c r="B2760" s="88">
        <v>1.22E18</v>
      </c>
      <c r="C2760" s="87" t="s">
        <v>8127</v>
      </c>
      <c r="D2760" s="87" t="s">
        <v>87</v>
      </c>
      <c r="E2760" s="87" t="s">
        <v>228</v>
      </c>
      <c r="F2760" s="87" t="s">
        <v>379</v>
      </c>
      <c r="G2760" s="93"/>
      <c r="H2760" s="93"/>
      <c r="I2760" s="87" t="s">
        <v>340</v>
      </c>
      <c r="J2760" s="87" t="s">
        <v>8128</v>
      </c>
      <c r="K2760" s="90">
        <v>0.0</v>
      </c>
      <c r="L2760" s="92"/>
      <c r="M2760" s="93"/>
      <c r="N2760" s="87" t="s">
        <v>2139</v>
      </c>
      <c r="O2760" s="87" t="s">
        <v>377</v>
      </c>
      <c r="P2760" s="87" t="s">
        <v>372</v>
      </c>
    </row>
    <row r="2761" ht="15.75" customHeight="1">
      <c r="A2761" s="87" t="s">
        <v>8129</v>
      </c>
      <c r="B2761" s="88">
        <v>1.22E18</v>
      </c>
      <c r="C2761" s="87" t="s">
        <v>8130</v>
      </c>
      <c r="D2761" s="87" t="s">
        <v>87</v>
      </c>
      <c r="E2761" s="87" t="s">
        <v>233</v>
      </c>
      <c r="F2761" s="87" t="s">
        <v>379</v>
      </c>
      <c r="G2761" s="93"/>
      <c r="H2761" s="93"/>
      <c r="I2761" s="87" t="s">
        <v>315</v>
      </c>
      <c r="J2761" s="87" t="s">
        <v>8131</v>
      </c>
      <c r="K2761" s="90">
        <v>60000.0</v>
      </c>
      <c r="L2761" s="92"/>
      <c r="M2761" s="93"/>
      <c r="N2761" s="87" t="s">
        <v>828</v>
      </c>
      <c r="O2761" s="87" t="s">
        <v>377</v>
      </c>
      <c r="P2761" s="87" t="s">
        <v>372</v>
      </c>
    </row>
    <row r="2762" ht="15.75" customHeight="1">
      <c r="A2762" s="87" t="s">
        <v>8132</v>
      </c>
      <c r="B2762" s="88">
        <v>1.22E18</v>
      </c>
      <c r="C2762" s="87" t="s">
        <v>8133</v>
      </c>
      <c r="D2762" s="87" t="s">
        <v>262</v>
      </c>
      <c r="E2762" s="87" t="s">
        <v>275</v>
      </c>
      <c r="F2762" s="87" t="s">
        <v>1749</v>
      </c>
      <c r="H2762" s="93"/>
      <c r="I2762" s="87" t="s">
        <v>58</v>
      </c>
      <c r="J2762" s="87" t="s">
        <v>8134</v>
      </c>
      <c r="K2762" s="90">
        <v>0.0</v>
      </c>
      <c r="L2762" s="92"/>
      <c r="M2762" s="93"/>
      <c r="N2762" s="87" t="s">
        <v>1753</v>
      </c>
      <c r="O2762" s="87" t="s">
        <v>377</v>
      </c>
      <c r="P2762" s="87" t="s">
        <v>372</v>
      </c>
    </row>
    <row r="2763" ht="15.75" customHeight="1">
      <c r="A2763" s="87" t="s">
        <v>8135</v>
      </c>
      <c r="B2763" s="88">
        <v>1.22E18</v>
      </c>
      <c r="C2763" s="87" t="s">
        <v>8136</v>
      </c>
      <c r="D2763" s="87" t="s">
        <v>262</v>
      </c>
      <c r="E2763" s="87" t="s">
        <v>275</v>
      </c>
      <c r="F2763" s="87" t="s">
        <v>1749</v>
      </c>
      <c r="H2763" s="93"/>
      <c r="I2763" s="87" t="s">
        <v>5012</v>
      </c>
      <c r="J2763" s="87" t="s">
        <v>8137</v>
      </c>
      <c r="K2763" s="90">
        <v>0.0</v>
      </c>
      <c r="L2763" s="92"/>
      <c r="M2763" s="93"/>
      <c r="N2763" s="87" t="s">
        <v>2358</v>
      </c>
      <c r="O2763" s="87" t="s">
        <v>377</v>
      </c>
      <c r="P2763" s="87" t="s">
        <v>372</v>
      </c>
    </row>
    <row r="2764" ht="15.75" customHeight="1">
      <c r="A2764" s="87" t="s">
        <v>8138</v>
      </c>
      <c r="B2764" s="88">
        <v>1.22E18</v>
      </c>
      <c r="C2764" s="87" t="s">
        <v>8139</v>
      </c>
      <c r="D2764" s="87" t="s">
        <v>87</v>
      </c>
      <c r="E2764" s="87" t="s">
        <v>88</v>
      </c>
      <c r="F2764" s="87" t="s">
        <v>8139</v>
      </c>
      <c r="H2764" s="93"/>
      <c r="I2764" s="87" t="s">
        <v>327</v>
      </c>
      <c r="J2764" s="87" t="s">
        <v>8140</v>
      </c>
      <c r="K2764" s="90">
        <v>5000.0</v>
      </c>
      <c r="L2764" s="92"/>
      <c r="M2764" s="93"/>
      <c r="N2764" s="87" t="s">
        <v>390</v>
      </c>
      <c r="O2764" s="87" t="s">
        <v>377</v>
      </c>
      <c r="P2764" s="87" t="s">
        <v>372</v>
      </c>
    </row>
    <row r="2765" ht="15.75" customHeight="1">
      <c r="A2765" s="87" t="s">
        <v>8141</v>
      </c>
      <c r="B2765" s="88">
        <v>1.22E18</v>
      </c>
      <c r="C2765" s="87" t="s">
        <v>8142</v>
      </c>
      <c r="D2765" s="87" t="s">
        <v>87</v>
      </c>
      <c r="E2765" s="87" t="s">
        <v>88</v>
      </c>
      <c r="F2765" s="87" t="s">
        <v>373</v>
      </c>
      <c r="H2765" s="93"/>
      <c r="I2765" s="87" t="s">
        <v>5012</v>
      </c>
      <c r="J2765" s="87" t="s">
        <v>8143</v>
      </c>
      <c r="K2765" s="90">
        <v>0.0</v>
      </c>
      <c r="L2765" s="92"/>
      <c r="M2765" s="93"/>
      <c r="N2765" s="93"/>
      <c r="O2765" s="87" t="s">
        <v>377</v>
      </c>
      <c r="P2765" s="87" t="s">
        <v>372</v>
      </c>
    </row>
    <row r="2766" ht="15.75" customHeight="1">
      <c r="A2766" s="87" t="s">
        <v>8144</v>
      </c>
      <c r="B2766" s="88">
        <v>1.22E18</v>
      </c>
      <c r="C2766" s="87" t="s">
        <v>8145</v>
      </c>
      <c r="D2766" s="87" t="s">
        <v>87</v>
      </c>
      <c r="E2766" s="87" t="s">
        <v>88</v>
      </c>
      <c r="F2766" s="87" t="s">
        <v>373</v>
      </c>
      <c r="H2766" s="93"/>
      <c r="I2766" s="87" t="s">
        <v>58</v>
      </c>
      <c r="J2766" s="87" t="s">
        <v>2252</v>
      </c>
      <c r="K2766" s="90">
        <v>0.0</v>
      </c>
      <c r="L2766" s="92"/>
      <c r="M2766" s="93"/>
      <c r="N2766" s="87" t="s">
        <v>8146</v>
      </c>
      <c r="O2766" s="87" t="s">
        <v>377</v>
      </c>
      <c r="P2766" s="87" t="s">
        <v>372</v>
      </c>
    </row>
    <row r="2767" ht="15.75" customHeight="1">
      <c r="A2767" s="87" t="s">
        <v>8147</v>
      </c>
      <c r="B2767" s="88">
        <v>1.22E18</v>
      </c>
      <c r="C2767" s="87" t="s">
        <v>8148</v>
      </c>
      <c r="D2767" s="87" t="s">
        <v>87</v>
      </c>
      <c r="E2767" s="87" t="s">
        <v>233</v>
      </c>
      <c r="F2767" s="87" t="s">
        <v>373</v>
      </c>
      <c r="H2767" s="93"/>
      <c r="I2767" s="87" t="s">
        <v>340</v>
      </c>
      <c r="J2767" s="87" t="s">
        <v>8149</v>
      </c>
      <c r="K2767" s="90">
        <v>1000.0</v>
      </c>
      <c r="L2767" s="92"/>
      <c r="M2767" s="93"/>
      <c r="N2767" s="87" t="s">
        <v>527</v>
      </c>
      <c r="O2767" s="87" t="s">
        <v>377</v>
      </c>
      <c r="P2767" s="87" t="s">
        <v>372</v>
      </c>
    </row>
    <row r="2768" ht="15.75" customHeight="1">
      <c r="A2768" s="87" t="s">
        <v>8150</v>
      </c>
      <c r="B2768" s="88">
        <v>1.22E18</v>
      </c>
      <c r="C2768" s="87" t="s">
        <v>8151</v>
      </c>
      <c r="D2768" s="87" t="s">
        <v>87</v>
      </c>
      <c r="E2768" s="87" t="s">
        <v>233</v>
      </c>
      <c r="F2768" s="87" t="s">
        <v>373</v>
      </c>
      <c r="H2768" s="93"/>
      <c r="I2768" s="87" t="s">
        <v>340</v>
      </c>
      <c r="J2768" s="87" t="s">
        <v>8152</v>
      </c>
      <c r="K2768" s="90">
        <v>1000.0</v>
      </c>
      <c r="L2768" s="92"/>
      <c r="M2768" s="93"/>
      <c r="N2768" s="87" t="s">
        <v>527</v>
      </c>
      <c r="O2768" s="87" t="s">
        <v>377</v>
      </c>
      <c r="P2768" s="87" t="s">
        <v>372</v>
      </c>
    </row>
    <row r="2769" ht="15.75" customHeight="1">
      <c r="A2769" s="87" t="s">
        <v>8153</v>
      </c>
      <c r="B2769" s="88">
        <v>1.22E18</v>
      </c>
      <c r="C2769" s="87" t="s">
        <v>8154</v>
      </c>
      <c r="D2769" s="87" t="s">
        <v>87</v>
      </c>
      <c r="E2769" s="87" t="s">
        <v>233</v>
      </c>
      <c r="F2769" s="87" t="s">
        <v>373</v>
      </c>
      <c r="H2769" s="93"/>
      <c r="I2769" s="87" t="s">
        <v>340</v>
      </c>
      <c r="J2769" s="87" t="s">
        <v>8152</v>
      </c>
      <c r="K2769" s="90">
        <v>1000.0</v>
      </c>
      <c r="L2769" s="92"/>
      <c r="M2769" s="93"/>
      <c r="N2769" s="87" t="s">
        <v>527</v>
      </c>
      <c r="O2769" s="87" t="s">
        <v>377</v>
      </c>
      <c r="P2769" s="87" t="s">
        <v>372</v>
      </c>
    </row>
    <row r="2770" ht="15.75" customHeight="1">
      <c r="A2770" s="87" t="s">
        <v>8155</v>
      </c>
      <c r="B2770" s="88">
        <v>1.22E18</v>
      </c>
      <c r="C2770" s="87" t="s">
        <v>8156</v>
      </c>
      <c r="D2770" s="87" t="s">
        <v>262</v>
      </c>
      <c r="E2770" s="87" t="s">
        <v>270</v>
      </c>
      <c r="F2770" s="87" t="s">
        <v>1749</v>
      </c>
      <c r="H2770" s="93"/>
      <c r="I2770" s="87" t="s">
        <v>58</v>
      </c>
      <c r="J2770" s="87" t="s">
        <v>8157</v>
      </c>
      <c r="K2770" s="90">
        <v>0.0</v>
      </c>
      <c r="L2770" s="92"/>
      <c r="M2770" s="93"/>
      <c r="N2770" s="87" t="s">
        <v>1729</v>
      </c>
      <c r="O2770" s="87" t="s">
        <v>377</v>
      </c>
      <c r="P2770" s="87" t="s">
        <v>372</v>
      </c>
    </row>
    <row r="2771" ht="15.75" customHeight="1">
      <c r="A2771" s="87" t="s">
        <v>8158</v>
      </c>
      <c r="B2771" s="88">
        <v>1.22E18</v>
      </c>
      <c r="C2771" s="87" t="s">
        <v>8159</v>
      </c>
      <c r="D2771" s="87" t="s">
        <v>87</v>
      </c>
      <c r="E2771" s="87" t="s">
        <v>88</v>
      </c>
      <c r="F2771" s="87" t="s">
        <v>8159</v>
      </c>
      <c r="I2771" s="87" t="s">
        <v>457</v>
      </c>
      <c r="J2771" s="87" t="s">
        <v>3071</v>
      </c>
      <c r="K2771" s="90">
        <v>0.0</v>
      </c>
      <c r="L2771" s="92"/>
      <c r="M2771" s="93"/>
      <c r="N2771" s="87" t="s">
        <v>8160</v>
      </c>
      <c r="O2771" s="87" t="s">
        <v>377</v>
      </c>
      <c r="P2771" s="87" t="s">
        <v>372</v>
      </c>
    </row>
    <row r="2772" ht="15.75" customHeight="1">
      <c r="A2772" s="87" t="s">
        <v>8161</v>
      </c>
      <c r="B2772" s="88">
        <v>1.22E18</v>
      </c>
      <c r="C2772" s="87" t="s">
        <v>8162</v>
      </c>
      <c r="D2772" s="87" t="s">
        <v>87</v>
      </c>
      <c r="E2772" s="87" t="s">
        <v>88</v>
      </c>
      <c r="F2772" s="87" t="s">
        <v>861</v>
      </c>
      <c r="G2772" s="93"/>
      <c r="H2772" s="93"/>
      <c r="I2772" s="87" t="s">
        <v>58</v>
      </c>
      <c r="J2772" s="87" t="s">
        <v>8163</v>
      </c>
      <c r="K2772" s="90">
        <v>0.0</v>
      </c>
      <c r="L2772" s="92"/>
      <c r="M2772" s="93"/>
      <c r="N2772" s="87" t="s">
        <v>6214</v>
      </c>
      <c r="O2772" s="87" t="s">
        <v>377</v>
      </c>
      <c r="P2772" s="87" t="s">
        <v>372</v>
      </c>
    </row>
    <row r="2773" ht="15.75" customHeight="1">
      <c r="A2773" s="87" t="s">
        <v>8164</v>
      </c>
      <c r="B2773" s="88">
        <v>1.22E18</v>
      </c>
      <c r="C2773" s="87" t="s">
        <v>8165</v>
      </c>
      <c r="D2773" s="87" t="s">
        <v>87</v>
      </c>
      <c r="E2773" s="87" t="s">
        <v>88</v>
      </c>
      <c r="F2773" s="87" t="s">
        <v>861</v>
      </c>
      <c r="G2773" s="93"/>
      <c r="H2773" s="93"/>
      <c r="I2773" s="87" t="s">
        <v>58</v>
      </c>
      <c r="J2773" s="87" t="s">
        <v>8166</v>
      </c>
      <c r="K2773" s="90">
        <v>0.0</v>
      </c>
      <c r="L2773" s="92"/>
      <c r="M2773" s="93"/>
      <c r="N2773" s="87" t="s">
        <v>6214</v>
      </c>
      <c r="O2773" s="87" t="s">
        <v>377</v>
      </c>
      <c r="P2773" s="87" t="s">
        <v>372</v>
      </c>
    </row>
    <row r="2774" ht="15.75" customHeight="1">
      <c r="A2774" s="87" t="s">
        <v>8167</v>
      </c>
      <c r="B2774" s="88">
        <v>1.22E18</v>
      </c>
      <c r="C2774" s="87" t="s">
        <v>8168</v>
      </c>
      <c r="D2774" s="87" t="s">
        <v>87</v>
      </c>
      <c r="E2774" s="87" t="s">
        <v>102</v>
      </c>
      <c r="F2774" s="87" t="s">
        <v>1763</v>
      </c>
      <c r="I2774" s="87" t="s">
        <v>58</v>
      </c>
      <c r="J2774" s="87" t="s">
        <v>8169</v>
      </c>
      <c r="K2774" s="90">
        <v>320.0</v>
      </c>
      <c r="L2774" s="92"/>
      <c r="M2774" s="93"/>
      <c r="N2774" s="87" t="s">
        <v>5018</v>
      </c>
      <c r="O2774" s="87" t="s">
        <v>377</v>
      </c>
      <c r="P2774" s="87" t="s">
        <v>372</v>
      </c>
    </row>
    <row r="2775" ht="15.75" customHeight="1">
      <c r="A2775" s="87" t="s">
        <v>8170</v>
      </c>
      <c r="B2775" s="88">
        <v>1.22E18</v>
      </c>
      <c r="C2775" s="87" t="s">
        <v>8171</v>
      </c>
      <c r="D2775" s="87" t="s">
        <v>87</v>
      </c>
      <c r="E2775" s="87" t="s">
        <v>88</v>
      </c>
      <c r="F2775" s="87" t="s">
        <v>861</v>
      </c>
      <c r="G2775" s="93"/>
      <c r="H2775" s="93"/>
      <c r="I2775" s="87" t="s">
        <v>58</v>
      </c>
      <c r="J2775" s="87" t="s">
        <v>816</v>
      </c>
      <c r="K2775" s="90">
        <v>0.0</v>
      </c>
      <c r="L2775" s="92"/>
      <c r="M2775" s="93"/>
      <c r="N2775" s="93"/>
      <c r="O2775" s="87" t="s">
        <v>377</v>
      </c>
      <c r="P2775" s="87" t="s">
        <v>372</v>
      </c>
    </row>
    <row r="2776" ht="15.75" customHeight="1">
      <c r="A2776" s="87" t="s">
        <v>8172</v>
      </c>
      <c r="B2776" s="88">
        <v>1.22E18</v>
      </c>
      <c r="C2776" s="87" t="s">
        <v>8173</v>
      </c>
      <c r="D2776" s="87" t="s">
        <v>87</v>
      </c>
      <c r="E2776" s="87" t="s">
        <v>88</v>
      </c>
      <c r="F2776" s="87" t="s">
        <v>373</v>
      </c>
      <c r="H2776" s="93"/>
      <c r="I2776" s="87" t="s">
        <v>327</v>
      </c>
      <c r="J2776" s="87" t="s">
        <v>8174</v>
      </c>
      <c r="K2776" s="90">
        <v>500000.0</v>
      </c>
      <c r="L2776" s="92"/>
      <c r="M2776" s="93"/>
      <c r="N2776" s="87" t="s">
        <v>4427</v>
      </c>
      <c r="O2776" s="87" t="s">
        <v>377</v>
      </c>
      <c r="P2776" s="87" t="s">
        <v>372</v>
      </c>
    </row>
    <row r="2777" ht="15.75" customHeight="1">
      <c r="A2777" s="87" t="s">
        <v>8175</v>
      </c>
      <c r="B2777" s="88">
        <v>1.22E18</v>
      </c>
      <c r="C2777" s="87" t="s">
        <v>8176</v>
      </c>
      <c r="D2777" s="87" t="s">
        <v>87</v>
      </c>
      <c r="E2777" s="87" t="s">
        <v>88</v>
      </c>
      <c r="F2777" s="87" t="s">
        <v>373</v>
      </c>
      <c r="H2777" s="93"/>
      <c r="I2777" s="87" t="s">
        <v>327</v>
      </c>
      <c r="J2777" s="87" t="s">
        <v>8177</v>
      </c>
      <c r="K2777" s="90">
        <v>500000.0</v>
      </c>
      <c r="L2777" s="92"/>
      <c r="M2777" s="93"/>
      <c r="N2777" s="87" t="s">
        <v>4427</v>
      </c>
      <c r="O2777" s="87" t="s">
        <v>377</v>
      </c>
      <c r="P2777" s="87" t="s">
        <v>372</v>
      </c>
    </row>
    <row r="2778" ht="15.75" customHeight="1">
      <c r="A2778" s="87" t="s">
        <v>8178</v>
      </c>
      <c r="B2778" s="88">
        <v>1.22E18</v>
      </c>
      <c r="C2778" s="87" t="s">
        <v>8179</v>
      </c>
      <c r="D2778" s="87" t="s">
        <v>87</v>
      </c>
      <c r="E2778" s="87" t="s">
        <v>88</v>
      </c>
      <c r="F2778" s="87" t="s">
        <v>373</v>
      </c>
      <c r="H2778" s="93"/>
      <c r="I2778" s="87" t="s">
        <v>327</v>
      </c>
      <c r="J2778" s="87" t="s">
        <v>8180</v>
      </c>
      <c r="K2778" s="90">
        <v>0.0</v>
      </c>
      <c r="L2778" s="92"/>
      <c r="M2778" s="93"/>
      <c r="N2778" s="87" t="s">
        <v>2906</v>
      </c>
      <c r="O2778" s="87" t="s">
        <v>377</v>
      </c>
      <c r="P2778" s="87" t="s">
        <v>372</v>
      </c>
    </row>
    <row r="2779" ht="15.75" customHeight="1">
      <c r="A2779" s="87" t="s">
        <v>8181</v>
      </c>
      <c r="B2779" s="88">
        <v>1.22E18</v>
      </c>
      <c r="C2779" s="87" t="s">
        <v>8182</v>
      </c>
      <c r="D2779" s="87" t="s">
        <v>87</v>
      </c>
      <c r="E2779" s="87" t="s">
        <v>88</v>
      </c>
      <c r="F2779" s="87" t="s">
        <v>373</v>
      </c>
      <c r="H2779" s="93"/>
      <c r="I2779" s="87" t="s">
        <v>58</v>
      </c>
      <c r="J2779" s="87" t="s">
        <v>8183</v>
      </c>
      <c r="K2779" s="90">
        <v>192.0</v>
      </c>
      <c r="L2779" s="92"/>
      <c r="M2779" s="93"/>
      <c r="N2779" s="87" t="s">
        <v>2887</v>
      </c>
      <c r="O2779" s="87" t="s">
        <v>377</v>
      </c>
      <c r="P2779" s="87" t="s">
        <v>372</v>
      </c>
    </row>
    <row r="2780" ht="15.75" customHeight="1">
      <c r="A2780" s="87" t="s">
        <v>8184</v>
      </c>
      <c r="B2780" s="88">
        <v>1.22E18</v>
      </c>
      <c r="C2780" s="87" t="s">
        <v>8185</v>
      </c>
      <c r="D2780" s="87" t="s">
        <v>87</v>
      </c>
      <c r="E2780" s="87" t="s">
        <v>88</v>
      </c>
      <c r="F2780" s="87" t="s">
        <v>373</v>
      </c>
      <c r="H2780" s="93"/>
      <c r="I2780" s="87" t="s">
        <v>58</v>
      </c>
      <c r="J2780" s="87" t="s">
        <v>8186</v>
      </c>
      <c r="K2780" s="90">
        <v>0.0</v>
      </c>
      <c r="L2780" s="92"/>
      <c r="M2780" s="93"/>
      <c r="N2780" s="87" t="s">
        <v>8146</v>
      </c>
      <c r="O2780" s="87" t="s">
        <v>377</v>
      </c>
      <c r="P2780" s="87" t="s">
        <v>372</v>
      </c>
    </row>
    <row r="2781" ht="15.75" customHeight="1">
      <c r="A2781" s="87" t="s">
        <v>8187</v>
      </c>
      <c r="B2781" s="88">
        <v>1.22E18</v>
      </c>
      <c r="C2781" s="87" t="s">
        <v>8188</v>
      </c>
      <c r="D2781" s="87" t="s">
        <v>87</v>
      </c>
      <c r="E2781" s="87" t="s">
        <v>88</v>
      </c>
      <c r="F2781" s="87" t="s">
        <v>373</v>
      </c>
      <c r="H2781" s="93"/>
      <c r="I2781" s="87" t="s">
        <v>327</v>
      </c>
      <c r="J2781" s="87" t="s">
        <v>8189</v>
      </c>
      <c r="K2781" s="90">
        <v>500000.0</v>
      </c>
      <c r="L2781" s="92"/>
      <c r="M2781" s="93"/>
      <c r="N2781" s="87" t="s">
        <v>390</v>
      </c>
      <c r="O2781" s="87" t="s">
        <v>377</v>
      </c>
      <c r="P2781" s="87" t="s">
        <v>372</v>
      </c>
    </row>
    <row r="2782" ht="15.75" customHeight="1">
      <c r="A2782" s="87" t="s">
        <v>8190</v>
      </c>
      <c r="B2782" s="88">
        <v>1.22E18</v>
      </c>
      <c r="C2782" s="87" t="s">
        <v>8191</v>
      </c>
      <c r="D2782" s="87" t="s">
        <v>87</v>
      </c>
      <c r="E2782" s="87" t="s">
        <v>228</v>
      </c>
      <c r="F2782" s="87" t="s">
        <v>379</v>
      </c>
      <c r="G2782" s="93"/>
      <c r="H2782" s="93"/>
      <c r="I2782" s="87" t="s">
        <v>340</v>
      </c>
      <c r="J2782" s="87" t="s">
        <v>8192</v>
      </c>
      <c r="K2782" s="90">
        <v>1000.0</v>
      </c>
      <c r="L2782" s="92"/>
      <c r="M2782" s="93"/>
      <c r="N2782" s="87" t="s">
        <v>8193</v>
      </c>
      <c r="O2782" s="87" t="s">
        <v>377</v>
      </c>
      <c r="P2782" s="87" t="s">
        <v>372</v>
      </c>
    </row>
    <row r="2783" ht="15.75" customHeight="1">
      <c r="A2783" s="87" t="s">
        <v>8194</v>
      </c>
      <c r="B2783" s="88">
        <v>1.22E18</v>
      </c>
      <c r="C2783" s="87" t="s">
        <v>8195</v>
      </c>
      <c r="D2783" s="87" t="s">
        <v>87</v>
      </c>
      <c r="E2783" s="87" t="s">
        <v>228</v>
      </c>
      <c r="F2783" s="87" t="s">
        <v>379</v>
      </c>
      <c r="G2783" s="93"/>
      <c r="H2783" s="93"/>
      <c r="I2783" s="87" t="s">
        <v>340</v>
      </c>
      <c r="J2783" s="87" t="s">
        <v>8192</v>
      </c>
      <c r="K2783" s="90">
        <v>1000.0</v>
      </c>
      <c r="L2783" s="92"/>
      <c r="M2783" s="93"/>
      <c r="N2783" s="87" t="s">
        <v>8193</v>
      </c>
      <c r="O2783" s="87" t="s">
        <v>377</v>
      </c>
      <c r="P2783" s="87" t="s">
        <v>372</v>
      </c>
    </row>
    <row r="2784" ht="15.75" customHeight="1">
      <c r="A2784" s="87" t="s">
        <v>8196</v>
      </c>
      <c r="B2784" s="88">
        <v>1.22E18</v>
      </c>
      <c r="C2784" s="87" t="s">
        <v>8197</v>
      </c>
      <c r="D2784" s="87" t="s">
        <v>87</v>
      </c>
      <c r="E2784" s="87" t="s">
        <v>228</v>
      </c>
      <c r="F2784" s="87" t="s">
        <v>379</v>
      </c>
      <c r="G2784" s="93"/>
      <c r="H2784" s="93"/>
      <c r="I2784" s="87" t="s">
        <v>340</v>
      </c>
      <c r="J2784" s="87" t="s">
        <v>8192</v>
      </c>
      <c r="K2784" s="90">
        <v>1000.0</v>
      </c>
      <c r="L2784" s="92"/>
      <c r="M2784" s="93"/>
      <c r="N2784" s="87" t="s">
        <v>8193</v>
      </c>
      <c r="O2784" s="87" t="s">
        <v>377</v>
      </c>
      <c r="P2784" s="87" t="s">
        <v>372</v>
      </c>
    </row>
    <row r="2785" ht="15.75" customHeight="1">
      <c r="A2785" s="87" t="s">
        <v>8198</v>
      </c>
      <c r="B2785" s="88">
        <v>1.22E18</v>
      </c>
      <c r="C2785" s="87" t="s">
        <v>8199</v>
      </c>
      <c r="D2785" s="87" t="s">
        <v>87</v>
      </c>
      <c r="E2785" s="87" t="s">
        <v>88</v>
      </c>
      <c r="F2785" s="87" t="s">
        <v>861</v>
      </c>
      <c r="G2785" s="93"/>
      <c r="H2785" s="93"/>
      <c r="I2785" s="87" t="s">
        <v>103</v>
      </c>
      <c r="J2785" s="87" t="s">
        <v>8200</v>
      </c>
      <c r="K2785" s="90">
        <v>0.0</v>
      </c>
      <c r="L2785" s="92"/>
      <c r="M2785" s="93"/>
      <c r="N2785" s="87" t="s">
        <v>8201</v>
      </c>
      <c r="O2785" s="87" t="s">
        <v>377</v>
      </c>
      <c r="P2785" s="87" t="s">
        <v>372</v>
      </c>
    </row>
    <row r="2786" ht="15.75" customHeight="1">
      <c r="A2786" s="87" t="s">
        <v>8202</v>
      </c>
      <c r="B2786" s="88">
        <v>1.22E18</v>
      </c>
      <c r="C2786" s="87" t="s">
        <v>8203</v>
      </c>
      <c r="D2786" s="87" t="s">
        <v>87</v>
      </c>
      <c r="E2786" s="87" t="s">
        <v>88</v>
      </c>
      <c r="F2786" s="87" t="s">
        <v>861</v>
      </c>
      <c r="G2786" s="93"/>
      <c r="H2786" s="93"/>
      <c r="I2786" s="87" t="s">
        <v>103</v>
      </c>
      <c r="J2786" s="87" t="s">
        <v>8200</v>
      </c>
      <c r="K2786" s="90">
        <v>0.0</v>
      </c>
      <c r="L2786" s="92"/>
      <c r="M2786" s="93"/>
      <c r="N2786" s="87" t="s">
        <v>8201</v>
      </c>
      <c r="O2786" s="87" t="s">
        <v>377</v>
      </c>
      <c r="P2786" s="87" t="s">
        <v>372</v>
      </c>
    </row>
    <row r="2787" ht="15.75" customHeight="1">
      <c r="A2787" s="87" t="s">
        <v>8204</v>
      </c>
      <c r="B2787" s="88">
        <v>1.22E18</v>
      </c>
      <c r="C2787" s="87" t="s">
        <v>8205</v>
      </c>
      <c r="D2787" s="87" t="s">
        <v>262</v>
      </c>
      <c r="E2787" s="87" t="s">
        <v>263</v>
      </c>
      <c r="F2787" s="87" t="s">
        <v>415</v>
      </c>
      <c r="G2787" s="93"/>
      <c r="H2787" s="93"/>
      <c r="I2787" s="87" t="s">
        <v>58</v>
      </c>
      <c r="J2787" s="87" t="s">
        <v>8206</v>
      </c>
      <c r="K2787" s="90">
        <v>2.0</v>
      </c>
      <c r="L2787" s="92"/>
      <c r="M2787" s="93"/>
      <c r="N2787" s="87" t="s">
        <v>6200</v>
      </c>
      <c r="O2787" s="87" t="s">
        <v>377</v>
      </c>
      <c r="P2787" s="87" t="s">
        <v>372</v>
      </c>
    </row>
    <row r="2788" ht="15.75" customHeight="1">
      <c r="A2788" s="87" t="s">
        <v>8207</v>
      </c>
      <c r="B2788" s="88">
        <v>1.22E18</v>
      </c>
      <c r="C2788" s="87" t="s">
        <v>8208</v>
      </c>
      <c r="D2788" s="87" t="s">
        <v>262</v>
      </c>
      <c r="E2788" s="87" t="s">
        <v>263</v>
      </c>
      <c r="F2788" s="87" t="s">
        <v>415</v>
      </c>
      <c r="G2788" s="93"/>
      <c r="H2788" s="93"/>
      <c r="I2788" s="87" t="s">
        <v>58</v>
      </c>
      <c r="J2788" s="87" t="s">
        <v>8209</v>
      </c>
      <c r="K2788" s="90">
        <v>2.0</v>
      </c>
      <c r="L2788" s="92"/>
      <c r="M2788" s="93"/>
      <c r="N2788" s="87" t="s">
        <v>6200</v>
      </c>
      <c r="O2788" s="87" t="s">
        <v>377</v>
      </c>
      <c r="P2788" s="87" t="s">
        <v>372</v>
      </c>
    </row>
    <row r="2789" ht="15.75" customHeight="1">
      <c r="A2789" s="87" t="s">
        <v>8210</v>
      </c>
      <c r="B2789" s="88">
        <v>1.22E18</v>
      </c>
      <c r="C2789" s="87" t="s">
        <v>8211</v>
      </c>
      <c r="D2789" s="87" t="s">
        <v>262</v>
      </c>
      <c r="E2789" s="87" t="s">
        <v>278</v>
      </c>
      <c r="F2789" s="87" t="s">
        <v>2769</v>
      </c>
      <c r="G2789" s="93"/>
      <c r="H2789" s="93"/>
      <c r="I2789" s="87" t="s">
        <v>58</v>
      </c>
      <c r="J2789" s="87" t="s">
        <v>8212</v>
      </c>
      <c r="L2789" s="92"/>
      <c r="M2789" s="93"/>
      <c r="N2789" s="87" t="s">
        <v>7614</v>
      </c>
      <c r="O2789" s="87" t="s">
        <v>377</v>
      </c>
      <c r="P2789" s="87" t="s">
        <v>2565</v>
      </c>
    </row>
    <row r="2790" ht="15.75" customHeight="1">
      <c r="A2790" s="87" t="s">
        <v>8213</v>
      </c>
      <c r="B2790" s="88">
        <v>1.22E18</v>
      </c>
      <c r="C2790" s="87" t="s">
        <v>8214</v>
      </c>
      <c r="D2790" s="87" t="s">
        <v>56</v>
      </c>
      <c r="E2790" s="87" t="s">
        <v>102</v>
      </c>
      <c r="F2790" s="87" t="s">
        <v>1763</v>
      </c>
      <c r="I2790" s="87" t="s">
        <v>58</v>
      </c>
      <c r="J2790" s="87" t="s">
        <v>8215</v>
      </c>
      <c r="K2790" s="90">
        <v>7.0</v>
      </c>
      <c r="L2790" s="92"/>
      <c r="M2790" s="93"/>
      <c r="N2790" s="87" t="s">
        <v>5018</v>
      </c>
      <c r="O2790" s="87" t="s">
        <v>377</v>
      </c>
      <c r="P2790" s="87" t="s">
        <v>372</v>
      </c>
    </row>
    <row r="2791" ht="15.75" customHeight="1">
      <c r="A2791" s="87" t="s">
        <v>8216</v>
      </c>
      <c r="B2791" s="88">
        <v>1.22E18</v>
      </c>
      <c r="C2791" s="87" t="s">
        <v>8217</v>
      </c>
      <c r="D2791" s="87" t="s">
        <v>56</v>
      </c>
      <c r="E2791" s="87" t="s">
        <v>102</v>
      </c>
      <c r="F2791" s="87" t="s">
        <v>1763</v>
      </c>
      <c r="I2791" s="87" t="s">
        <v>58</v>
      </c>
      <c r="J2791" s="87" t="s">
        <v>8215</v>
      </c>
      <c r="K2791" s="90">
        <v>2.0</v>
      </c>
      <c r="L2791" s="92"/>
      <c r="M2791" s="93"/>
      <c r="N2791" s="87" t="s">
        <v>5018</v>
      </c>
      <c r="O2791" s="87" t="s">
        <v>377</v>
      </c>
      <c r="P2791" s="87" t="s">
        <v>372</v>
      </c>
    </row>
    <row r="2792" ht="15.75" customHeight="1">
      <c r="A2792" s="87" t="s">
        <v>8218</v>
      </c>
      <c r="B2792" s="88">
        <v>1.22E18</v>
      </c>
      <c r="C2792" s="87" t="s">
        <v>8219</v>
      </c>
      <c r="D2792" s="87" t="s">
        <v>262</v>
      </c>
      <c r="E2792" s="87" t="s">
        <v>267</v>
      </c>
      <c r="F2792" s="87" t="s">
        <v>1749</v>
      </c>
      <c r="H2792" s="93"/>
      <c r="I2792" s="87" t="s">
        <v>58</v>
      </c>
      <c r="J2792" s="87" t="s">
        <v>8220</v>
      </c>
      <c r="K2792" s="90">
        <v>0.0</v>
      </c>
      <c r="L2792" s="92"/>
      <c r="M2792" s="93"/>
      <c r="N2792" s="87" t="s">
        <v>8221</v>
      </c>
      <c r="O2792" s="87" t="s">
        <v>377</v>
      </c>
      <c r="P2792" s="87" t="s">
        <v>372</v>
      </c>
    </row>
    <row r="2793" ht="15.75" customHeight="1">
      <c r="A2793" s="87" t="s">
        <v>8222</v>
      </c>
      <c r="B2793" s="88">
        <v>1.22E18</v>
      </c>
      <c r="C2793" s="87" t="s">
        <v>8223</v>
      </c>
      <c r="D2793" s="87" t="s">
        <v>56</v>
      </c>
      <c r="E2793" s="87" t="s">
        <v>248</v>
      </c>
      <c r="F2793" s="87" t="s">
        <v>2769</v>
      </c>
      <c r="G2793" s="93"/>
      <c r="H2793" s="93"/>
      <c r="I2793" s="87" t="s">
        <v>58</v>
      </c>
      <c r="J2793" s="87" t="s">
        <v>1071</v>
      </c>
      <c r="K2793" s="90">
        <v>0.0</v>
      </c>
      <c r="L2793" s="92"/>
      <c r="M2793" s="93"/>
      <c r="N2793" s="87" t="s">
        <v>2849</v>
      </c>
      <c r="O2793" s="87" t="s">
        <v>377</v>
      </c>
      <c r="P2793" s="87" t="s">
        <v>372</v>
      </c>
    </row>
    <row r="2794" ht="15.75" customHeight="1">
      <c r="A2794" s="87" t="s">
        <v>8224</v>
      </c>
      <c r="B2794" s="88">
        <v>1.22E18</v>
      </c>
      <c r="C2794" s="87" t="s">
        <v>8225</v>
      </c>
      <c r="D2794" s="87" t="s">
        <v>56</v>
      </c>
      <c r="E2794" s="87" t="s">
        <v>248</v>
      </c>
      <c r="F2794" s="87" t="s">
        <v>2769</v>
      </c>
      <c r="G2794" s="93"/>
      <c r="H2794" s="93"/>
      <c r="I2794" s="87" t="s">
        <v>58</v>
      </c>
      <c r="J2794" s="87" t="s">
        <v>8226</v>
      </c>
      <c r="K2794" s="90">
        <v>0.0</v>
      </c>
      <c r="L2794" s="92"/>
      <c r="M2794" s="93"/>
      <c r="N2794" s="87" t="s">
        <v>2849</v>
      </c>
      <c r="O2794" s="87" t="s">
        <v>377</v>
      </c>
      <c r="P2794" s="87" t="s">
        <v>372</v>
      </c>
    </row>
    <row r="2795" ht="15.75" customHeight="1">
      <c r="A2795" s="87" t="s">
        <v>8227</v>
      </c>
      <c r="B2795" s="88">
        <v>1.22E18</v>
      </c>
      <c r="C2795" s="87" t="s">
        <v>8228</v>
      </c>
      <c r="D2795" s="87" t="s">
        <v>57</v>
      </c>
      <c r="E2795" s="87" t="s">
        <v>287</v>
      </c>
      <c r="F2795" s="87" t="s">
        <v>415</v>
      </c>
      <c r="G2795" s="93"/>
      <c r="H2795" s="93"/>
      <c r="I2795" s="87" t="s">
        <v>58</v>
      </c>
      <c r="J2795" s="87" t="s">
        <v>8229</v>
      </c>
      <c r="K2795" s="90">
        <v>2.0</v>
      </c>
      <c r="L2795" s="92"/>
      <c r="M2795" s="93"/>
      <c r="N2795" s="87" t="s">
        <v>2835</v>
      </c>
      <c r="O2795" s="87" t="s">
        <v>377</v>
      </c>
      <c r="P2795" s="87" t="s">
        <v>372</v>
      </c>
    </row>
    <row r="2796" ht="15.75" customHeight="1">
      <c r="A2796" s="87" t="s">
        <v>8230</v>
      </c>
      <c r="B2796" s="88">
        <v>1.22E18</v>
      </c>
      <c r="C2796" s="87" t="s">
        <v>8231</v>
      </c>
      <c r="D2796" s="87" t="s">
        <v>57</v>
      </c>
      <c r="E2796" s="87" t="s">
        <v>287</v>
      </c>
      <c r="F2796" s="87" t="s">
        <v>415</v>
      </c>
      <c r="G2796" s="93"/>
      <c r="H2796" s="93"/>
      <c r="I2796" s="87" t="s">
        <v>58</v>
      </c>
      <c r="J2796" s="87" t="s">
        <v>8232</v>
      </c>
      <c r="K2796" s="90">
        <v>0.0</v>
      </c>
      <c r="L2796" s="92"/>
      <c r="M2796" s="93"/>
      <c r="N2796" s="87" t="s">
        <v>2835</v>
      </c>
      <c r="O2796" s="87" t="s">
        <v>377</v>
      </c>
      <c r="P2796" s="87" t="s">
        <v>372</v>
      </c>
    </row>
    <row r="2797" ht="15.75" customHeight="1">
      <c r="A2797" s="87" t="s">
        <v>8233</v>
      </c>
      <c r="B2797" s="88">
        <v>1.22E18</v>
      </c>
      <c r="C2797" s="87" t="s">
        <v>8234</v>
      </c>
      <c r="D2797" s="87" t="s">
        <v>56</v>
      </c>
      <c r="E2797" s="87" t="s">
        <v>102</v>
      </c>
      <c r="F2797" s="87" t="s">
        <v>1763</v>
      </c>
      <c r="I2797" s="87" t="s">
        <v>58</v>
      </c>
      <c r="J2797" s="87" t="s">
        <v>8235</v>
      </c>
      <c r="K2797" s="90">
        <v>0.0</v>
      </c>
      <c r="L2797" s="92"/>
      <c r="M2797" s="93"/>
      <c r="N2797" s="87" t="s">
        <v>390</v>
      </c>
      <c r="O2797" s="87" t="s">
        <v>377</v>
      </c>
      <c r="P2797" s="87" t="s">
        <v>372</v>
      </c>
    </row>
    <row r="2798" ht="15.75" customHeight="1">
      <c r="A2798" s="87" t="s">
        <v>8236</v>
      </c>
      <c r="B2798" s="88">
        <v>1.22E18</v>
      </c>
      <c r="C2798" s="87" t="s">
        <v>8237</v>
      </c>
      <c r="D2798" s="87" t="s">
        <v>56</v>
      </c>
      <c r="E2798" s="87" t="s">
        <v>102</v>
      </c>
      <c r="F2798" s="87" t="s">
        <v>1763</v>
      </c>
      <c r="I2798" s="87" t="s">
        <v>58</v>
      </c>
      <c r="J2798" s="87" t="s">
        <v>8238</v>
      </c>
      <c r="K2798" s="90">
        <v>650.0</v>
      </c>
      <c r="L2798" s="92"/>
      <c r="M2798" s="93"/>
      <c r="N2798" s="87" t="s">
        <v>474</v>
      </c>
      <c r="O2798" s="87" t="s">
        <v>377</v>
      </c>
      <c r="P2798" s="87" t="s">
        <v>372</v>
      </c>
    </row>
    <row r="2799" ht="15.75" customHeight="1">
      <c r="A2799" s="87" t="s">
        <v>8239</v>
      </c>
      <c r="B2799" s="88">
        <v>1.22E18</v>
      </c>
      <c r="C2799" s="87" t="s">
        <v>8240</v>
      </c>
      <c r="D2799" s="87" t="s">
        <v>87</v>
      </c>
      <c r="E2799" s="87" t="s">
        <v>88</v>
      </c>
      <c r="F2799" s="87" t="s">
        <v>373</v>
      </c>
      <c r="H2799" s="93"/>
      <c r="I2799" s="87" t="s">
        <v>340</v>
      </c>
      <c r="J2799" s="87" t="s">
        <v>8241</v>
      </c>
      <c r="K2799" s="90">
        <v>0.0</v>
      </c>
      <c r="L2799" s="92"/>
      <c r="M2799" s="93"/>
      <c r="N2799" s="87" t="s">
        <v>4427</v>
      </c>
      <c r="O2799" s="87" t="s">
        <v>377</v>
      </c>
      <c r="P2799" s="87" t="s">
        <v>372</v>
      </c>
    </row>
    <row r="2800" ht="15.75" customHeight="1">
      <c r="A2800" s="87" t="s">
        <v>8242</v>
      </c>
      <c r="B2800" s="88">
        <v>1.22E18</v>
      </c>
      <c r="C2800" s="87" t="s">
        <v>8243</v>
      </c>
      <c r="D2800" s="87" t="s">
        <v>87</v>
      </c>
      <c r="E2800" s="87" t="s">
        <v>88</v>
      </c>
      <c r="F2800" s="87" t="s">
        <v>373</v>
      </c>
      <c r="H2800" s="93"/>
      <c r="I2800" s="87" t="s">
        <v>340</v>
      </c>
      <c r="J2800" s="87" t="s">
        <v>8244</v>
      </c>
      <c r="K2800" s="90">
        <v>0.0</v>
      </c>
      <c r="L2800" s="92"/>
      <c r="M2800" s="93"/>
      <c r="N2800" s="93"/>
      <c r="O2800" s="87" t="s">
        <v>377</v>
      </c>
      <c r="P2800" s="87" t="s">
        <v>372</v>
      </c>
    </row>
    <row r="2801" ht="15.75" customHeight="1">
      <c r="A2801" s="87" t="s">
        <v>8245</v>
      </c>
      <c r="B2801" s="88">
        <v>1.22E18</v>
      </c>
      <c r="C2801" s="87" t="s">
        <v>8246</v>
      </c>
      <c r="D2801" s="87" t="s">
        <v>87</v>
      </c>
      <c r="E2801" s="87" t="s">
        <v>88</v>
      </c>
      <c r="F2801" s="87" t="s">
        <v>373</v>
      </c>
      <c r="H2801" s="93"/>
      <c r="I2801" s="87" t="s">
        <v>103</v>
      </c>
      <c r="J2801" s="87" t="s">
        <v>8247</v>
      </c>
      <c r="K2801" s="90">
        <v>0.0</v>
      </c>
      <c r="L2801" s="92"/>
      <c r="M2801" s="93"/>
      <c r="N2801" s="87" t="s">
        <v>8248</v>
      </c>
      <c r="O2801" s="87" t="s">
        <v>377</v>
      </c>
      <c r="P2801" s="87" t="s">
        <v>372</v>
      </c>
    </row>
    <row r="2802" ht="15.75" customHeight="1">
      <c r="A2802" s="87" t="s">
        <v>8249</v>
      </c>
      <c r="B2802" s="88">
        <v>1.22E18</v>
      </c>
      <c r="C2802" s="87" t="s">
        <v>8250</v>
      </c>
      <c r="D2802" s="87" t="s">
        <v>87</v>
      </c>
      <c r="E2802" s="87" t="s">
        <v>88</v>
      </c>
      <c r="F2802" s="87" t="s">
        <v>373</v>
      </c>
      <c r="H2802" s="93"/>
      <c r="I2802" s="87" t="s">
        <v>315</v>
      </c>
      <c r="J2802" s="87" t="s">
        <v>8251</v>
      </c>
      <c r="K2802" s="90">
        <v>85000.0</v>
      </c>
      <c r="L2802" s="92"/>
      <c r="M2802" s="93"/>
      <c r="N2802" s="87" t="s">
        <v>390</v>
      </c>
      <c r="O2802" s="87" t="s">
        <v>377</v>
      </c>
      <c r="P2802" s="87" t="s">
        <v>372</v>
      </c>
    </row>
    <row r="2803" ht="15.75" customHeight="1">
      <c r="A2803" s="87" t="s">
        <v>8252</v>
      </c>
      <c r="B2803" s="88">
        <v>1.22E18</v>
      </c>
      <c r="C2803" s="87" t="s">
        <v>8253</v>
      </c>
      <c r="D2803" s="87" t="s">
        <v>87</v>
      </c>
      <c r="E2803" s="87" t="s">
        <v>88</v>
      </c>
      <c r="F2803" s="87" t="s">
        <v>379</v>
      </c>
      <c r="G2803" s="93"/>
      <c r="H2803" s="93"/>
      <c r="I2803" s="87" t="s">
        <v>340</v>
      </c>
      <c r="J2803" s="87" t="s">
        <v>8254</v>
      </c>
      <c r="K2803" s="90">
        <v>2000.0</v>
      </c>
      <c r="L2803" s="92"/>
      <c r="M2803" s="93"/>
      <c r="N2803" s="93"/>
      <c r="O2803" s="87" t="s">
        <v>377</v>
      </c>
      <c r="P2803" s="87" t="s">
        <v>372</v>
      </c>
    </row>
    <row r="2804" ht="15.75" customHeight="1">
      <c r="A2804" s="87" t="s">
        <v>8255</v>
      </c>
      <c r="B2804" s="88">
        <v>1.22E18</v>
      </c>
      <c r="C2804" s="87" t="s">
        <v>8256</v>
      </c>
      <c r="D2804" s="87" t="s">
        <v>262</v>
      </c>
      <c r="E2804" s="87" t="s">
        <v>263</v>
      </c>
      <c r="F2804" s="87" t="s">
        <v>415</v>
      </c>
      <c r="G2804" s="93"/>
      <c r="H2804" s="93"/>
      <c r="I2804" s="87" t="s">
        <v>58</v>
      </c>
      <c r="J2804" s="87" t="s">
        <v>8257</v>
      </c>
      <c r="K2804" s="90">
        <v>0.0</v>
      </c>
      <c r="L2804" s="92"/>
      <c r="M2804" s="93"/>
      <c r="N2804" s="87" t="s">
        <v>1772</v>
      </c>
      <c r="O2804" s="87" t="s">
        <v>377</v>
      </c>
      <c r="P2804" s="87" t="s">
        <v>372</v>
      </c>
    </row>
    <row r="2805" ht="15.75" customHeight="1">
      <c r="A2805" s="87" t="s">
        <v>8258</v>
      </c>
      <c r="B2805" s="88">
        <v>1.22E18</v>
      </c>
      <c r="C2805" s="87" t="s">
        <v>8259</v>
      </c>
      <c r="D2805" s="87" t="s">
        <v>262</v>
      </c>
      <c r="E2805" s="87" t="s">
        <v>263</v>
      </c>
      <c r="F2805" s="87" t="s">
        <v>415</v>
      </c>
      <c r="G2805" s="93"/>
      <c r="H2805" s="93"/>
      <c r="I2805" s="87" t="s">
        <v>58</v>
      </c>
      <c r="J2805" s="87" t="s">
        <v>8260</v>
      </c>
      <c r="K2805" s="90">
        <v>0.0</v>
      </c>
      <c r="L2805" s="92"/>
      <c r="M2805" s="93"/>
      <c r="N2805" s="87" t="s">
        <v>1772</v>
      </c>
      <c r="O2805" s="87" t="s">
        <v>377</v>
      </c>
      <c r="P2805" s="87" t="s">
        <v>372</v>
      </c>
    </row>
    <row r="2806" ht="15.75" customHeight="1">
      <c r="A2806" s="87" t="s">
        <v>8261</v>
      </c>
      <c r="B2806" s="88">
        <v>1.22E18</v>
      </c>
      <c r="C2806" s="87" t="s">
        <v>8262</v>
      </c>
      <c r="D2806" s="87" t="s">
        <v>87</v>
      </c>
      <c r="E2806" s="87" t="s">
        <v>88</v>
      </c>
      <c r="F2806" s="87" t="s">
        <v>379</v>
      </c>
      <c r="G2806" s="93"/>
      <c r="H2806" s="93"/>
      <c r="I2806" s="87" t="s">
        <v>315</v>
      </c>
      <c r="J2806" s="87" t="s">
        <v>1240</v>
      </c>
      <c r="K2806" s="90">
        <v>1000000.0</v>
      </c>
      <c r="L2806" s="92"/>
      <c r="M2806" s="93"/>
      <c r="N2806" s="87" t="s">
        <v>8263</v>
      </c>
      <c r="O2806" s="87" t="s">
        <v>377</v>
      </c>
      <c r="P2806" s="87" t="s">
        <v>372</v>
      </c>
    </row>
    <row r="2807" ht="15.75" customHeight="1">
      <c r="A2807" s="87" t="s">
        <v>8264</v>
      </c>
      <c r="B2807" s="88">
        <v>1.22E18</v>
      </c>
      <c r="C2807" s="87" t="s">
        <v>8265</v>
      </c>
      <c r="D2807" s="87" t="s">
        <v>87</v>
      </c>
      <c r="E2807" s="87" t="s">
        <v>88</v>
      </c>
      <c r="F2807" s="87" t="s">
        <v>373</v>
      </c>
      <c r="H2807" s="93"/>
      <c r="I2807" s="87" t="s">
        <v>495</v>
      </c>
      <c r="J2807" s="87" t="s">
        <v>7766</v>
      </c>
      <c r="K2807" s="90">
        <v>50.0</v>
      </c>
      <c r="L2807" s="92"/>
      <c r="M2807" s="93"/>
      <c r="N2807" s="87" t="s">
        <v>8266</v>
      </c>
      <c r="O2807" s="87" t="s">
        <v>377</v>
      </c>
      <c r="P2807" s="87" t="s">
        <v>372</v>
      </c>
    </row>
    <row r="2808" ht="15.75" customHeight="1">
      <c r="A2808" s="87" t="s">
        <v>8267</v>
      </c>
      <c r="B2808" s="88">
        <v>1.22E18</v>
      </c>
      <c r="C2808" s="87" t="s">
        <v>8268</v>
      </c>
      <c r="D2808" s="87" t="s">
        <v>87</v>
      </c>
      <c r="E2808" s="87" t="s">
        <v>88</v>
      </c>
      <c r="F2808" s="87" t="s">
        <v>373</v>
      </c>
      <c r="H2808" s="93"/>
      <c r="I2808" s="87" t="s">
        <v>495</v>
      </c>
      <c r="J2808" s="87" t="s">
        <v>8269</v>
      </c>
      <c r="K2808" s="90">
        <v>25.0</v>
      </c>
      <c r="L2808" s="92"/>
      <c r="M2808" s="93"/>
      <c r="N2808" s="87" t="s">
        <v>8266</v>
      </c>
      <c r="O2808" s="87" t="s">
        <v>377</v>
      </c>
      <c r="P2808" s="87" t="s">
        <v>372</v>
      </c>
    </row>
    <row r="2809" ht="15.75" customHeight="1">
      <c r="A2809" s="87" t="s">
        <v>8270</v>
      </c>
      <c r="B2809" s="88">
        <v>1.22E18</v>
      </c>
      <c r="C2809" s="87" t="s">
        <v>8271</v>
      </c>
      <c r="D2809" s="87" t="s">
        <v>87</v>
      </c>
      <c r="E2809" s="87" t="s">
        <v>88</v>
      </c>
      <c r="F2809" s="87" t="s">
        <v>373</v>
      </c>
      <c r="H2809" s="93"/>
      <c r="I2809" s="87" t="s">
        <v>495</v>
      </c>
      <c r="J2809" s="87" t="s">
        <v>8272</v>
      </c>
      <c r="K2809" s="90">
        <v>25.0</v>
      </c>
      <c r="L2809" s="92"/>
      <c r="M2809" s="93"/>
      <c r="N2809" s="87" t="s">
        <v>8266</v>
      </c>
      <c r="O2809" s="87" t="s">
        <v>377</v>
      </c>
      <c r="P2809" s="87" t="s">
        <v>372</v>
      </c>
    </row>
    <row r="2810" ht="15.75" customHeight="1">
      <c r="A2810" s="87" t="s">
        <v>8273</v>
      </c>
      <c r="B2810" s="88">
        <v>1.22E18</v>
      </c>
      <c r="C2810" s="87" t="s">
        <v>8274</v>
      </c>
      <c r="D2810" s="87" t="s">
        <v>87</v>
      </c>
      <c r="E2810" s="87" t="s">
        <v>88</v>
      </c>
      <c r="F2810" s="87" t="s">
        <v>373</v>
      </c>
      <c r="H2810" s="93"/>
      <c r="I2810" s="87" t="s">
        <v>495</v>
      </c>
      <c r="J2810" s="87" t="s">
        <v>8275</v>
      </c>
      <c r="K2810" s="90">
        <v>45.0</v>
      </c>
      <c r="L2810" s="92"/>
      <c r="M2810" s="93"/>
      <c r="N2810" s="87" t="s">
        <v>8266</v>
      </c>
      <c r="O2810" s="87" t="s">
        <v>377</v>
      </c>
      <c r="P2810" s="87" t="s">
        <v>372</v>
      </c>
    </row>
    <row r="2811" ht="15.75" customHeight="1">
      <c r="A2811" s="87" t="s">
        <v>8276</v>
      </c>
      <c r="B2811" s="88">
        <v>1.22E18</v>
      </c>
      <c r="C2811" s="87" t="s">
        <v>8277</v>
      </c>
      <c r="D2811" s="87" t="s">
        <v>87</v>
      </c>
      <c r="E2811" s="87" t="s">
        <v>88</v>
      </c>
      <c r="F2811" s="87" t="s">
        <v>373</v>
      </c>
      <c r="H2811" s="93"/>
      <c r="I2811" s="87" t="s">
        <v>495</v>
      </c>
      <c r="J2811" s="87" t="s">
        <v>2456</v>
      </c>
      <c r="K2811" s="90">
        <v>50.0</v>
      </c>
      <c r="L2811" s="92"/>
      <c r="M2811" s="93"/>
      <c r="N2811" s="87" t="s">
        <v>8266</v>
      </c>
      <c r="O2811" s="87" t="s">
        <v>377</v>
      </c>
      <c r="P2811" s="87" t="s">
        <v>372</v>
      </c>
    </row>
    <row r="2812" ht="15.75" customHeight="1">
      <c r="A2812" s="87" t="s">
        <v>8278</v>
      </c>
      <c r="B2812" s="88">
        <v>1.22E18</v>
      </c>
      <c r="C2812" s="87" t="s">
        <v>8279</v>
      </c>
      <c r="D2812" s="87" t="s">
        <v>87</v>
      </c>
      <c r="E2812" s="87" t="s">
        <v>88</v>
      </c>
      <c r="F2812" s="87" t="s">
        <v>379</v>
      </c>
      <c r="G2812" s="93"/>
      <c r="H2812" s="93"/>
      <c r="I2812" s="87" t="s">
        <v>340</v>
      </c>
      <c r="J2812" s="87" t="s">
        <v>8280</v>
      </c>
      <c r="K2812" s="90">
        <v>1000.0</v>
      </c>
      <c r="L2812" s="92"/>
      <c r="M2812" s="93"/>
      <c r="N2812" s="87" t="s">
        <v>2483</v>
      </c>
      <c r="O2812" s="87" t="s">
        <v>377</v>
      </c>
      <c r="P2812" s="87" t="s">
        <v>372</v>
      </c>
    </row>
    <row r="2813" ht="15.75" customHeight="1">
      <c r="A2813" s="87" t="s">
        <v>8281</v>
      </c>
      <c r="B2813" s="88">
        <v>1.22E18</v>
      </c>
      <c r="C2813" s="87" t="s">
        <v>8282</v>
      </c>
      <c r="D2813" s="87" t="s">
        <v>87</v>
      </c>
      <c r="E2813" s="87" t="s">
        <v>88</v>
      </c>
      <c r="F2813" s="87" t="s">
        <v>379</v>
      </c>
      <c r="G2813" s="93"/>
      <c r="H2813" s="93"/>
      <c r="I2813" s="87" t="s">
        <v>340</v>
      </c>
      <c r="J2813" s="87" t="s">
        <v>8280</v>
      </c>
      <c r="K2813" s="90">
        <v>1000.0</v>
      </c>
      <c r="L2813" s="92"/>
      <c r="M2813" s="93"/>
      <c r="N2813" s="87" t="s">
        <v>2483</v>
      </c>
      <c r="O2813" s="87" t="s">
        <v>377</v>
      </c>
      <c r="P2813" s="87" t="s">
        <v>372</v>
      </c>
    </row>
    <row r="2814" ht="15.75" customHeight="1">
      <c r="A2814" s="87" t="s">
        <v>8283</v>
      </c>
      <c r="B2814" s="88">
        <v>1.22E18</v>
      </c>
      <c r="C2814" s="87" t="s">
        <v>8284</v>
      </c>
      <c r="D2814" s="87" t="s">
        <v>262</v>
      </c>
      <c r="E2814" s="87" t="s">
        <v>267</v>
      </c>
      <c r="F2814" s="87" t="s">
        <v>1749</v>
      </c>
      <c r="H2814" s="93"/>
      <c r="I2814" s="87" t="s">
        <v>58</v>
      </c>
      <c r="J2814" s="87" t="s">
        <v>8285</v>
      </c>
      <c r="K2814" s="90">
        <v>0.0</v>
      </c>
      <c r="L2814" s="92"/>
      <c r="M2814" s="93"/>
      <c r="N2814" s="87" t="s">
        <v>8286</v>
      </c>
      <c r="O2814" s="87" t="s">
        <v>377</v>
      </c>
      <c r="P2814" s="87" t="s">
        <v>372</v>
      </c>
    </row>
    <row r="2815" ht="15.75" customHeight="1">
      <c r="A2815" s="87" t="s">
        <v>8287</v>
      </c>
      <c r="B2815" s="88">
        <v>1.22E18</v>
      </c>
      <c r="C2815" s="87" t="s">
        <v>8288</v>
      </c>
      <c r="D2815" s="87" t="s">
        <v>262</v>
      </c>
      <c r="E2815" s="87" t="s">
        <v>267</v>
      </c>
      <c r="F2815" s="87" t="s">
        <v>1749</v>
      </c>
      <c r="H2815" s="93"/>
      <c r="I2815" s="87" t="s">
        <v>58</v>
      </c>
      <c r="J2815" s="87" t="s">
        <v>8289</v>
      </c>
      <c r="K2815" s="90">
        <v>0.0</v>
      </c>
      <c r="L2815" s="92"/>
      <c r="M2815" s="93"/>
      <c r="N2815" s="87" t="s">
        <v>8286</v>
      </c>
      <c r="O2815" s="87" t="s">
        <v>377</v>
      </c>
      <c r="P2815" s="87" t="s">
        <v>372</v>
      </c>
    </row>
    <row r="2816" ht="15.75" customHeight="1">
      <c r="A2816" s="87" t="s">
        <v>8290</v>
      </c>
      <c r="B2816" s="88">
        <v>1.22E18</v>
      </c>
      <c r="C2816" s="87" t="s">
        <v>8291</v>
      </c>
      <c r="D2816" s="87" t="s">
        <v>56</v>
      </c>
      <c r="E2816" s="87" t="s">
        <v>248</v>
      </c>
      <c r="F2816" s="87" t="s">
        <v>2769</v>
      </c>
      <c r="G2816" s="93"/>
      <c r="H2816" s="93"/>
      <c r="I2816" s="87" t="s">
        <v>58</v>
      </c>
      <c r="J2816" s="87" t="s">
        <v>2852</v>
      </c>
      <c r="K2816" s="90">
        <v>2000.0</v>
      </c>
      <c r="L2816" s="92"/>
      <c r="M2816" s="93"/>
      <c r="N2816" s="87" t="s">
        <v>7614</v>
      </c>
      <c r="O2816" s="87" t="s">
        <v>377</v>
      </c>
      <c r="P2816" s="87" t="s">
        <v>372</v>
      </c>
    </row>
    <row r="2817" ht="15.75" customHeight="1">
      <c r="A2817" s="87" t="s">
        <v>8292</v>
      </c>
      <c r="B2817" s="88">
        <v>1.22E18</v>
      </c>
      <c r="C2817" s="87" t="s">
        <v>8293</v>
      </c>
      <c r="D2817" s="87" t="s">
        <v>87</v>
      </c>
      <c r="E2817" s="87" t="s">
        <v>102</v>
      </c>
      <c r="F2817" s="87" t="s">
        <v>1763</v>
      </c>
      <c r="I2817" s="87" t="s">
        <v>58</v>
      </c>
      <c r="J2817" s="87" t="s">
        <v>8294</v>
      </c>
      <c r="K2817" s="90">
        <v>960.0</v>
      </c>
      <c r="L2817" s="92"/>
      <c r="M2817" s="93"/>
      <c r="N2817" s="87" t="s">
        <v>5018</v>
      </c>
      <c r="O2817" s="87" t="s">
        <v>377</v>
      </c>
      <c r="P2817" s="87" t="s">
        <v>372</v>
      </c>
    </row>
    <row r="2818" ht="15.75" customHeight="1">
      <c r="A2818" s="87" t="s">
        <v>8295</v>
      </c>
      <c r="B2818" s="88">
        <v>1.22E18</v>
      </c>
      <c r="C2818" s="87" t="s">
        <v>8296</v>
      </c>
      <c r="D2818" s="87" t="s">
        <v>56</v>
      </c>
      <c r="E2818" s="87" t="s">
        <v>142</v>
      </c>
      <c r="F2818" s="87" t="s">
        <v>1763</v>
      </c>
      <c r="I2818" s="87" t="s">
        <v>58</v>
      </c>
      <c r="J2818" s="87" t="s">
        <v>2041</v>
      </c>
      <c r="K2818" s="90">
        <v>0.0</v>
      </c>
      <c r="L2818" s="92"/>
      <c r="M2818" s="93"/>
      <c r="N2818" s="87" t="s">
        <v>111</v>
      </c>
      <c r="O2818" s="87" t="s">
        <v>377</v>
      </c>
      <c r="P2818" s="87" t="s">
        <v>372</v>
      </c>
    </row>
    <row r="2819" ht="15.75" customHeight="1">
      <c r="A2819" s="87" t="s">
        <v>8297</v>
      </c>
      <c r="B2819" s="88">
        <v>1.22E18</v>
      </c>
      <c r="C2819" s="87" t="s">
        <v>8298</v>
      </c>
      <c r="D2819" s="87" t="s">
        <v>262</v>
      </c>
      <c r="E2819" s="87" t="s">
        <v>267</v>
      </c>
      <c r="F2819" s="87" t="s">
        <v>1749</v>
      </c>
      <c r="H2819" s="93"/>
      <c r="I2819" s="87" t="s">
        <v>58</v>
      </c>
      <c r="J2819" s="87" t="s">
        <v>4465</v>
      </c>
      <c r="K2819" s="90">
        <v>0.0</v>
      </c>
      <c r="L2819" s="92"/>
      <c r="M2819" s="93"/>
      <c r="N2819" s="87" t="s">
        <v>1772</v>
      </c>
      <c r="O2819" s="87" t="s">
        <v>377</v>
      </c>
      <c r="P2819" s="87" t="s">
        <v>372</v>
      </c>
    </row>
    <row r="2820" ht="15.75" customHeight="1">
      <c r="A2820" s="87" t="s">
        <v>8299</v>
      </c>
      <c r="B2820" s="88">
        <v>1.22E18</v>
      </c>
      <c r="C2820" s="87" t="s">
        <v>8300</v>
      </c>
      <c r="D2820" s="87" t="s">
        <v>87</v>
      </c>
      <c r="E2820" s="87" t="s">
        <v>88</v>
      </c>
      <c r="F2820" s="87" t="s">
        <v>373</v>
      </c>
      <c r="H2820" s="93"/>
      <c r="I2820" s="87" t="s">
        <v>5012</v>
      </c>
      <c r="J2820" s="87" t="s">
        <v>8301</v>
      </c>
      <c r="K2820" s="90">
        <v>0.0</v>
      </c>
      <c r="L2820" s="92"/>
      <c r="M2820" s="93"/>
      <c r="N2820" s="87" t="s">
        <v>1772</v>
      </c>
      <c r="O2820" s="87" t="s">
        <v>377</v>
      </c>
      <c r="P2820" s="87" t="s">
        <v>372</v>
      </c>
    </row>
    <row r="2821" ht="15.75" customHeight="1">
      <c r="A2821" s="87" t="s">
        <v>8302</v>
      </c>
      <c r="B2821" s="88">
        <v>1.22E18</v>
      </c>
      <c r="C2821" s="87" t="s">
        <v>8303</v>
      </c>
      <c r="D2821" s="87" t="s">
        <v>87</v>
      </c>
      <c r="E2821" s="87" t="s">
        <v>88</v>
      </c>
      <c r="F2821" s="87" t="s">
        <v>8303</v>
      </c>
      <c r="I2821" s="87" t="s">
        <v>340</v>
      </c>
      <c r="J2821" s="87" t="s">
        <v>8304</v>
      </c>
      <c r="K2821" s="90">
        <v>2000.0</v>
      </c>
      <c r="L2821" s="92"/>
      <c r="M2821" s="93"/>
      <c r="N2821" s="87" t="s">
        <v>8088</v>
      </c>
      <c r="O2821" s="87" t="s">
        <v>377</v>
      </c>
      <c r="P2821" s="87" t="s">
        <v>372</v>
      </c>
    </row>
    <row r="2822" ht="15.75" customHeight="1">
      <c r="A2822" s="87" t="s">
        <v>8305</v>
      </c>
      <c r="B2822" s="88">
        <v>1.22E18</v>
      </c>
      <c r="C2822" s="87" t="s">
        <v>8306</v>
      </c>
      <c r="D2822" s="87" t="s">
        <v>87</v>
      </c>
      <c r="E2822" s="87" t="s">
        <v>88</v>
      </c>
      <c r="F2822" s="87" t="s">
        <v>8306</v>
      </c>
      <c r="I2822" s="87" t="s">
        <v>340</v>
      </c>
      <c r="J2822" s="87" t="s">
        <v>8304</v>
      </c>
      <c r="K2822" s="90">
        <v>0.0</v>
      </c>
      <c r="L2822" s="92"/>
      <c r="M2822" s="93"/>
      <c r="N2822" s="87" t="s">
        <v>8088</v>
      </c>
      <c r="O2822" s="87" t="s">
        <v>377</v>
      </c>
      <c r="P2822" s="87" t="s">
        <v>372</v>
      </c>
    </row>
    <row r="2823" ht="15.75" customHeight="1">
      <c r="A2823" s="87" t="s">
        <v>8307</v>
      </c>
      <c r="B2823" s="88">
        <v>1.22E18</v>
      </c>
      <c r="C2823" s="87" t="s">
        <v>8308</v>
      </c>
      <c r="D2823" s="87" t="s">
        <v>87</v>
      </c>
      <c r="E2823" s="87" t="s">
        <v>228</v>
      </c>
      <c r="F2823" s="87" t="s">
        <v>8308</v>
      </c>
      <c r="I2823" s="87" t="s">
        <v>315</v>
      </c>
      <c r="J2823" s="87" t="s">
        <v>8309</v>
      </c>
      <c r="K2823" s="90">
        <v>0.0</v>
      </c>
      <c r="L2823" s="92"/>
      <c r="M2823" s="93"/>
      <c r="N2823" s="87" t="s">
        <v>8088</v>
      </c>
      <c r="O2823" s="87" t="s">
        <v>377</v>
      </c>
      <c r="P2823" s="87" t="s">
        <v>372</v>
      </c>
    </row>
    <row r="2824" ht="15.75" customHeight="1">
      <c r="A2824" s="87" t="s">
        <v>8310</v>
      </c>
      <c r="B2824" s="88">
        <v>1.22E18</v>
      </c>
      <c r="C2824" s="87" t="s">
        <v>8311</v>
      </c>
      <c r="D2824" s="87" t="s">
        <v>87</v>
      </c>
      <c r="E2824" s="87" t="s">
        <v>228</v>
      </c>
      <c r="F2824" s="87" t="s">
        <v>373</v>
      </c>
      <c r="H2824" s="93"/>
      <c r="I2824" s="87" t="s">
        <v>340</v>
      </c>
      <c r="J2824" s="87" t="s">
        <v>8312</v>
      </c>
      <c r="K2824" s="90">
        <v>0.0</v>
      </c>
      <c r="L2824" s="92"/>
      <c r="M2824" s="93"/>
      <c r="N2824" s="87" t="s">
        <v>8088</v>
      </c>
      <c r="O2824" s="87" t="s">
        <v>377</v>
      </c>
      <c r="P2824" s="87" t="s">
        <v>372</v>
      </c>
    </row>
    <row r="2825" ht="15.75" customHeight="1">
      <c r="A2825" s="87" t="s">
        <v>8313</v>
      </c>
      <c r="B2825" s="88">
        <v>1.22E18</v>
      </c>
      <c r="C2825" s="87" t="s">
        <v>8314</v>
      </c>
      <c r="D2825" s="87" t="s">
        <v>87</v>
      </c>
      <c r="E2825" s="87" t="s">
        <v>88</v>
      </c>
      <c r="F2825" s="87" t="s">
        <v>373</v>
      </c>
      <c r="H2825" s="93"/>
      <c r="I2825" s="87" t="s">
        <v>495</v>
      </c>
      <c r="J2825" s="87" t="s">
        <v>8315</v>
      </c>
      <c r="K2825" s="90">
        <v>50.0</v>
      </c>
      <c r="L2825" s="92"/>
      <c r="M2825" s="93"/>
      <c r="N2825" s="87" t="s">
        <v>8266</v>
      </c>
      <c r="O2825" s="87" t="s">
        <v>377</v>
      </c>
      <c r="P2825" s="87" t="s">
        <v>372</v>
      </c>
    </row>
    <row r="2826" ht="15.75" customHeight="1">
      <c r="A2826" s="87" t="s">
        <v>8316</v>
      </c>
      <c r="B2826" s="88">
        <v>1.22E18</v>
      </c>
      <c r="C2826" s="87" t="s">
        <v>8317</v>
      </c>
      <c r="D2826" s="87" t="s">
        <v>87</v>
      </c>
      <c r="E2826" s="87" t="s">
        <v>88</v>
      </c>
      <c r="F2826" s="87" t="s">
        <v>373</v>
      </c>
      <c r="H2826" s="93"/>
      <c r="I2826" s="87" t="s">
        <v>495</v>
      </c>
      <c r="J2826" s="87" t="s">
        <v>8315</v>
      </c>
      <c r="K2826" s="90">
        <v>75.0</v>
      </c>
      <c r="L2826" s="92"/>
      <c r="M2826" s="93"/>
      <c r="N2826" s="87" t="s">
        <v>8266</v>
      </c>
      <c r="O2826" s="87" t="s">
        <v>377</v>
      </c>
      <c r="P2826" s="87" t="s">
        <v>372</v>
      </c>
    </row>
    <row r="2827" ht="15.75" customHeight="1">
      <c r="A2827" s="87" t="s">
        <v>8318</v>
      </c>
      <c r="B2827" s="88">
        <v>1.22E18</v>
      </c>
      <c r="C2827" s="87" t="s">
        <v>8319</v>
      </c>
      <c r="D2827" s="87" t="s">
        <v>262</v>
      </c>
      <c r="E2827" s="87" t="s">
        <v>270</v>
      </c>
      <c r="F2827" s="87" t="s">
        <v>1749</v>
      </c>
      <c r="H2827" s="93"/>
      <c r="I2827" s="87" t="s">
        <v>58</v>
      </c>
      <c r="J2827" s="87" t="s">
        <v>8320</v>
      </c>
      <c r="K2827" s="90">
        <v>0.0</v>
      </c>
      <c r="L2827" s="92"/>
      <c r="M2827" s="93"/>
      <c r="N2827" s="87" t="s">
        <v>8321</v>
      </c>
      <c r="O2827" s="87" t="s">
        <v>377</v>
      </c>
      <c r="P2827" s="87" t="s">
        <v>372</v>
      </c>
    </row>
    <row r="2828" ht="15.75" customHeight="1">
      <c r="A2828" s="87" t="s">
        <v>8322</v>
      </c>
      <c r="B2828" s="88">
        <v>1.22E18</v>
      </c>
      <c r="C2828" s="87" t="s">
        <v>8323</v>
      </c>
      <c r="D2828" s="87" t="s">
        <v>262</v>
      </c>
      <c r="E2828" s="87" t="s">
        <v>275</v>
      </c>
      <c r="F2828" s="87" t="s">
        <v>1749</v>
      </c>
      <c r="H2828" s="93"/>
      <c r="I2828" s="87" t="s">
        <v>58</v>
      </c>
      <c r="J2828" s="87" t="s">
        <v>8324</v>
      </c>
      <c r="K2828" s="90">
        <v>0.0</v>
      </c>
      <c r="L2828" s="92"/>
      <c r="M2828" s="93"/>
      <c r="N2828" s="87" t="s">
        <v>8325</v>
      </c>
      <c r="O2828" s="87" t="s">
        <v>377</v>
      </c>
      <c r="P2828" s="87" t="s">
        <v>372</v>
      </c>
    </row>
    <row r="2829" ht="15.75" customHeight="1">
      <c r="A2829" s="87" t="s">
        <v>8326</v>
      </c>
      <c r="B2829" s="88">
        <v>1.22E18</v>
      </c>
      <c r="C2829" s="87" t="s">
        <v>8327</v>
      </c>
      <c r="D2829" s="87" t="s">
        <v>262</v>
      </c>
      <c r="E2829" s="87" t="s">
        <v>275</v>
      </c>
      <c r="F2829" s="87" t="s">
        <v>1749</v>
      </c>
      <c r="H2829" s="93"/>
      <c r="I2829" s="87" t="s">
        <v>58</v>
      </c>
      <c r="J2829" s="87" t="s">
        <v>8328</v>
      </c>
      <c r="K2829" s="90">
        <v>0.0</v>
      </c>
      <c r="L2829" s="92"/>
      <c r="M2829" s="93"/>
      <c r="N2829" s="87" t="s">
        <v>8325</v>
      </c>
      <c r="O2829" s="87" t="s">
        <v>377</v>
      </c>
      <c r="P2829" s="87" t="s">
        <v>372</v>
      </c>
    </row>
    <row r="2830" ht="15.75" customHeight="1">
      <c r="A2830" s="87" t="s">
        <v>8329</v>
      </c>
      <c r="B2830" s="88">
        <v>1.22E18</v>
      </c>
      <c r="C2830" s="87" t="s">
        <v>8330</v>
      </c>
      <c r="D2830" s="87" t="s">
        <v>56</v>
      </c>
      <c r="E2830" s="87" t="s">
        <v>102</v>
      </c>
      <c r="F2830" s="87" t="s">
        <v>1763</v>
      </c>
      <c r="I2830" s="87" t="s">
        <v>58</v>
      </c>
      <c r="J2830" s="87" t="s">
        <v>8331</v>
      </c>
      <c r="K2830" s="90">
        <v>0.0</v>
      </c>
      <c r="L2830" s="92"/>
      <c r="M2830" s="93"/>
      <c r="N2830" s="87" t="s">
        <v>1772</v>
      </c>
      <c r="O2830" s="87" t="s">
        <v>377</v>
      </c>
      <c r="P2830" s="87" t="s">
        <v>372</v>
      </c>
    </row>
    <row r="2831" ht="15.75" customHeight="1">
      <c r="A2831" s="87" t="s">
        <v>8332</v>
      </c>
      <c r="B2831" s="88">
        <v>1.22E18</v>
      </c>
      <c r="C2831" s="87" t="s">
        <v>8333</v>
      </c>
      <c r="D2831" s="87" t="s">
        <v>56</v>
      </c>
      <c r="E2831" s="87" t="s">
        <v>102</v>
      </c>
      <c r="F2831" s="87" t="s">
        <v>1763</v>
      </c>
      <c r="I2831" s="87" t="s">
        <v>58</v>
      </c>
      <c r="J2831" s="87" t="s">
        <v>8334</v>
      </c>
      <c r="K2831" s="90">
        <v>0.0</v>
      </c>
      <c r="L2831" s="92"/>
      <c r="M2831" s="93"/>
      <c r="N2831" s="87" t="s">
        <v>1772</v>
      </c>
      <c r="O2831" s="87" t="s">
        <v>377</v>
      </c>
      <c r="P2831" s="87" t="s">
        <v>372</v>
      </c>
    </row>
    <row r="2832" ht="15.75" customHeight="1">
      <c r="A2832" s="87" t="s">
        <v>8335</v>
      </c>
      <c r="B2832" s="88">
        <v>1.22E18</v>
      </c>
      <c r="C2832" s="87" t="s">
        <v>8336</v>
      </c>
      <c r="D2832" s="87" t="s">
        <v>56</v>
      </c>
      <c r="E2832" s="87" t="s">
        <v>102</v>
      </c>
      <c r="F2832" s="87" t="s">
        <v>1763</v>
      </c>
      <c r="I2832" s="87" t="s">
        <v>58</v>
      </c>
      <c r="J2832" s="87" t="s">
        <v>8337</v>
      </c>
      <c r="K2832" s="90">
        <v>0.0</v>
      </c>
      <c r="L2832" s="92"/>
      <c r="M2832" s="93"/>
      <c r="N2832" s="87" t="s">
        <v>8338</v>
      </c>
      <c r="O2832" s="87" t="s">
        <v>377</v>
      </c>
      <c r="P2832" s="87" t="s">
        <v>372</v>
      </c>
    </row>
    <row r="2833" ht="15.75" customHeight="1">
      <c r="A2833" s="87" t="s">
        <v>8339</v>
      </c>
      <c r="B2833" s="88">
        <v>1.22E18</v>
      </c>
      <c r="C2833" s="87" t="s">
        <v>8340</v>
      </c>
      <c r="D2833" s="87" t="s">
        <v>56</v>
      </c>
      <c r="E2833" s="87" t="s">
        <v>102</v>
      </c>
      <c r="F2833" s="87" t="s">
        <v>1763</v>
      </c>
      <c r="I2833" s="87" t="s">
        <v>58</v>
      </c>
      <c r="J2833" s="87" t="s">
        <v>8341</v>
      </c>
      <c r="K2833" s="90">
        <v>0.0</v>
      </c>
      <c r="L2833" s="92"/>
      <c r="M2833" s="93"/>
      <c r="N2833" s="87" t="s">
        <v>8338</v>
      </c>
      <c r="O2833" s="87" t="s">
        <v>377</v>
      </c>
      <c r="P2833" s="87" t="s">
        <v>372</v>
      </c>
    </row>
    <row r="2834" ht="15.75" customHeight="1">
      <c r="A2834" s="87" t="s">
        <v>8342</v>
      </c>
      <c r="B2834" s="88">
        <v>1.22E18</v>
      </c>
      <c r="C2834" s="87" t="s">
        <v>8343</v>
      </c>
      <c r="D2834" s="87" t="s">
        <v>87</v>
      </c>
      <c r="E2834" s="87" t="s">
        <v>88</v>
      </c>
      <c r="F2834" s="87" t="s">
        <v>8343</v>
      </c>
      <c r="I2834" s="87" t="s">
        <v>58</v>
      </c>
      <c r="J2834" s="87" t="s">
        <v>8344</v>
      </c>
      <c r="K2834" s="90">
        <v>0.0</v>
      </c>
      <c r="L2834" s="92"/>
      <c r="M2834" s="93"/>
      <c r="N2834" s="87" t="s">
        <v>8338</v>
      </c>
      <c r="O2834" s="87" t="s">
        <v>377</v>
      </c>
      <c r="P2834" s="87" t="s">
        <v>372</v>
      </c>
    </row>
    <row r="2835" ht="15.75" customHeight="1">
      <c r="A2835" s="87" t="s">
        <v>8345</v>
      </c>
      <c r="B2835" s="88">
        <v>1.22E18</v>
      </c>
      <c r="C2835" s="87" t="s">
        <v>8346</v>
      </c>
      <c r="D2835" s="87" t="s">
        <v>262</v>
      </c>
      <c r="E2835" s="87" t="s">
        <v>263</v>
      </c>
      <c r="F2835" s="87" t="s">
        <v>415</v>
      </c>
      <c r="G2835" s="93"/>
      <c r="H2835" s="93"/>
      <c r="I2835" s="87" t="s">
        <v>58</v>
      </c>
      <c r="J2835" s="87" t="s">
        <v>8347</v>
      </c>
      <c r="K2835" s="90">
        <v>1.0</v>
      </c>
      <c r="L2835" s="92"/>
      <c r="M2835" s="93"/>
      <c r="N2835" s="93"/>
      <c r="O2835" s="87" t="s">
        <v>377</v>
      </c>
      <c r="P2835" s="87" t="s">
        <v>372</v>
      </c>
    </row>
    <row r="2836" ht="15.75" customHeight="1">
      <c r="A2836" s="87" t="s">
        <v>8348</v>
      </c>
      <c r="B2836" s="88">
        <v>1.22E18</v>
      </c>
      <c r="C2836" s="87" t="s">
        <v>8349</v>
      </c>
      <c r="D2836" s="87" t="s">
        <v>262</v>
      </c>
      <c r="E2836" s="87" t="s">
        <v>263</v>
      </c>
      <c r="F2836" s="87" t="s">
        <v>415</v>
      </c>
      <c r="G2836" s="93"/>
      <c r="H2836" s="93"/>
      <c r="I2836" s="87" t="s">
        <v>58</v>
      </c>
      <c r="J2836" s="87" t="s">
        <v>7650</v>
      </c>
      <c r="K2836" s="90">
        <v>1.0</v>
      </c>
      <c r="L2836" s="92"/>
      <c r="M2836" s="93"/>
      <c r="N2836" s="87" t="s">
        <v>8350</v>
      </c>
      <c r="O2836" s="87" t="s">
        <v>377</v>
      </c>
      <c r="P2836" s="87" t="s">
        <v>372</v>
      </c>
    </row>
    <row r="2837" ht="15.75" customHeight="1">
      <c r="A2837" s="87" t="s">
        <v>8351</v>
      </c>
      <c r="B2837" s="88">
        <v>1.22E18</v>
      </c>
      <c r="C2837" s="87" t="s">
        <v>8352</v>
      </c>
      <c r="D2837" s="87" t="s">
        <v>56</v>
      </c>
      <c r="E2837" s="87" t="s">
        <v>102</v>
      </c>
      <c r="F2837" s="87" t="s">
        <v>1763</v>
      </c>
      <c r="I2837" s="87" t="s">
        <v>58</v>
      </c>
      <c r="J2837" s="87" t="s">
        <v>8353</v>
      </c>
      <c r="K2837" s="90">
        <v>0.0</v>
      </c>
      <c r="L2837" s="92"/>
      <c r="M2837" s="93"/>
      <c r="N2837" s="87" t="s">
        <v>7628</v>
      </c>
      <c r="O2837" s="87" t="s">
        <v>377</v>
      </c>
      <c r="P2837" s="87" t="s">
        <v>372</v>
      </c>
    </row>
    <row r="2838" ht="15.75" customHeight="1">
      <c r="A2838" s="87" t="s">
        <v>8354</v>
      </c>
      <c r="B2838" s="88">
        <v>1.22E18</v>
      </c>
      <c r="C2838" s="87" t="s">
        <v>8355</v>
      </c>
      <c r="D2838" s="87" t="s">
        <v>56</v>
      </c>
      <c r="E2838" s="87" t="s">
        <v>102</v>
      </c>
      <c r="F2838" s="87" t="s">
        <v>1763</v>
      </c>
      <c r="I2838" s="87" t="s">
        <v>58</v>
      </c>
      <c r="J2838" s="87" t="s">
        <v>8356</v>
      </c>
      <c r="K2838" s="90">
        <v>1079.0</v>
      </c>
      <c r="L2838" s="92"/>
      <c r="M2838" s="93"/>
      <c r="N2838" s="87" t="s">
        <v>7628</v>
      </c>
      <c r="O2838" s="87" t="s">
        <v>377</v>
      </c>
      <c r="P2838" s="87" t="s">
        <v>372</v>
      </c>
    </row>
    <row r="2839" ht="15.75" customHeight="1">
      <c r="A2839" s="87" t="s">
        <v>8357</v>
      </c>
      <c r="B2839" s="88">
        <v>1.22E18</v>
      </c>
      <c r="C2839" s="87" t="s">
        <v>8358</v>
      </c>
      <c r="D2839" s="87" t="s">
        <v>56</v>
      </c>
      <c r="E2839" s="87" t="s">
        <v>102</v>
      </c>
      <c r="F2839" s="87" t="s">
        <v>1763</v>
      </c>
      <c r="I2839" s="87" t="s">
        <v>58</v>
      </c>
      <c r="J2839" s="87" t="s">
        <v>8359</v>
      </c>
      <c r="K2839" s="90">
        <v>948.0</v>
      </c>
      <c r="L2839" s="92"/>
      <c r="M2839" s="93"/>
      <c r="N2839" s="87" t="s">
        <v>7628</v>
      </c>
      <c r="O2839" s="87" t="s">
        <v>377</v>
      </c>
      <c r="P2839" s="87" t="s">
        <v>372</v>
      </c>
    </row>
    <row r="2840" ht="15.75" customHeight="1">
      <c r="A2840" s="87" t="s">
        <v>8360</v>
      </c>
      <c r="B2840" s="88">
        <v>1.22E18</v>
      </c>
      <c r="C2840" s="87" t="s">
        <v>8361</v>
      </c>
      <c r="D2840" s="87" t="s">
        <v>56</v>
      </c>
      <c r="E2840" s="87" t="s">
        <v>102</v>
      </c>
      <c r="F2840" s="87" t="s">
        <v>1763</v>
      </c>
      <c r="I2840" s="87" t="s">
        <v>58</v>
      </c>
      <c r="J2840" s="87" t="s">
        <v>8362</v>
      </c>
      <c r="K2840" s="90">
        <v>618.0</v>
      </c>
      <c r="L2840" s="92"/>
      <c r="M2840" s="93"/>
      <c r="N2840" s="87" t="s">
        <v>5994</v>
      </c>
      <c r="O2840" s="87" t="s">
        <v>377</v>
      </c>
      <c r="P2840" s="87" t="s">
        <v>372</v>
      </c>
    </row>
    <row r="2841" ht="15.75" customHeight="1">
      <c r="A2841" s="87" t="s">
        <v>8363</v>
      </c>
      <c r="B2841" s="88">
        <v>1.22E18</v>
      </c>
      <c r="C2841" s="87" t="s">
        <v>8364</v>
      </c>
      <c r="D2841" s="87" t="s">
        <v>56</v>
      </c>
      <c r="E2841" s="87" t="s">
        <v>102</v>
      </c>
      <c r="F2841" s="87" t="s">
        <v>1763</v>
      </c>
      <c r="I2841" s="87" t="s">
        <v>5180</v>
      </c>
      <c r="J2841" s="87" t="s">
        <v>8365</v>
      </c>
      <c r="K2841" s="90">
        <v>0.0</v>
      </c>
      <c r="L2841" s="92"/>
      <c r="M2841" s="93"/>
      <c r="N2841" s="87" t="s">
        <v>8366</v>
      </c>
      <c r="O2841" s="87" t="s">
        <v>377</v>
      </c>
      <c r="P2841" s="87" t="s">
        <v>372</v>
      </c>
    </row>
    <row r="2842" ht="15.75" customHeight="1">
      <c r="A2842" s="87" t="s">
        <v>8367</v>
      </c>
      <c r="B2842" s="88">
        <v>1.22E18</v>
      </c>
      <c r="C2842" s="87" t="s">
        <v>8368</v>
      </c>
      <c r="D2842" s="87" t="s">
        <v>87</v>
      </c>
      <c r="E2842" s="87" t="s">
        <v>241</v>
      </c>
      <c r="F2842" s="87" t="s">
        <v>373</v>
      </c>
      <c r="H2842" s="93"/>
      <c r="I2842" s="87" t="s">
        <v>58</v>
      </c>
      <c r="J2842" s="87" t="s">
        <v>8369</v>
      </c>
      <c r="K2842" s="90">
        <v>1.0</v>
      </c>
      <c r="L2842" s="92"/>
      <c r="M2842" s="93"/>
      <c r="N2842" s="87" t="s">
        <v>8370</v>
      </c>
      <c r="O2842" s="87" t="s">
        <v>377</v>
      </c>
      <c r="P2842" s="87" t="s">
        <v>372</v>
      </c>
    </row>
    <row r="2843" ht="15.75" customHeight="1">
      <c r="A2843" s="87" t="s">
        <v>8371</v>
      </c>
      <c r="B2843" s="88">
        <v>1.22E18</v>
      </c>
      <c r="C2843" s="87" t="s">
        <v>8372</v>
      </c>
      <c r="D2843" s="87" t="s">
        <v>262</v>
      </c>
      <c r="E2843" s="87" t="s">
        <v>270</v>
      </c>
      <c r="F2843" s="87" t="s">
        <v>1749</v>
      </c>
      <c r="H2843" s="93"/>
      <c r="I2843" s="87" t="s">
        <v>58</v>
      </c>
      <c r="J2843" s="87" t="s">
        <v>8373</v>
      </c>
      <c r="K2843" s="90">
        <v>0.0</v>
      </c>
      <c r="L2843" s="92"/>
      <c r="M2843" s="93"/>
      <c r="N2843" s="93"/>
      <c r="O2843" s="87" t="s">
        <v>377</v>
      </c>
      <c r="P2843" s="87" t="s">
        <v>372</v>
      </c>
    </row>
    <row r="2844" ht="15.75" customHeight="1">
      <c r="A2844" s="87" t="s">
        <v>8374</v>
      </c>
      <c r="B2844" s="88">
        <v>1.22E18</v>
      </c>
      <c r="C2844" s="87" t="s">
        <v>8375</v>
      </c>
      <c r="D2844" s="87" t="s">
        <v>262</v>
      </c>
      <c r="E2844" s="87" t="s">
        <v>275</v>
      </c>
      <c r="F2844" s="87" t="s">
        <v>1749</v>
      </c>
      <c r="H2844" s="93"/>
      <c r="I2844" s="87" t="s">
        <v>58</v>
      </c>
      <c r="J2844" s="87" t="s">
        <v>8376</v>
      </c>
      <c r="K2844" s="90">
        <v>0.0</v>
      </c>
      <c r="L2844" s="92"/>
      <c r="M2844" s="93"/>
      <c r="N2844" s="93"/>
      <c r="O2844" s="87" t="s">
        <v>377</v>
      </c>
      <c r="P2844" s="87" t="s">
        <v>372</v>
      </c>
    </row>
    <row r="2845" ht="15.75" customHeight="1">
      <c r="A2845" s="87" t="s">
        <v>8377</v>
      </c>
      <c r="B2845" s="88">
        <v>1.22E18</v>
      </c>
      <c r="C2845" s="87" t="s">
        <v>8378</v>
      </c>
      <c r="D2845" s="87" t="s">
        <v>262</v>
      </c>
      <c r="E2845" s="87" t="s">
        <v>270</v>
      </c>
      <c r="F2845" s="87" t="s">
        <v>1749</v>
      </c>
      <c r="H2845" s="93"/>
      <c r="I2845" s="87" t="s">
        <v>58</v>
      </c>
      <c r="J2845" s="87" t="s">
        <v>8379</v>
      </c>
      <c r="K2845" s="90">
        <v>0.0</v>
      </c>
      <c r="L2845" s="92"/>
      <c r="M2845" s="93"/>
      <c r="N2845" s="87" t="s">
        <v>8380</v>
      </c>
      <c r="O2845" s="87" t="s">
        <v>377</v>
      </c>
      <c r="P2845" s="87" t="s">
        <v>372</v>
      </c>
    </row>
    <row r="2846" ht="15.75" customHeight="1">
      <c r="A2846" s="87" t="s">
        <v>8381</v>
      </c>
      <c r="B2846" s="88">
        <v>1.22E18</v>
      </c>
      <c r="C2846" s="87" t="s">
        <v>8382</v>
      </c>
      <c r="D2846" s="87" t="s">
        <v>87</v>
      </c>
      <c r="E2846" s="87" t="s">
        <v>88</v>
      </c>
      <c r="F2846" s="87" t="s">
        <v>8382</v>
      </c>
      <c r="I2846" s="87" t="s">
        <v>58</v>
      </c>
      <c r="J2846" s="87" t="s">
        <v>8376</v>
      </c>
      <c r="K2846" s="90">
        <v>0.0</v>
      </c>
      <c r="L2846" s="92"/>
      <c r="M2846" s="93"/>
      <c r="N2846" s="87" t="s">
        <v>8380</v>
      </c>
      <c r="O2846" s="87" t="s">
        <v>377</v>
      </c>
      <c r="P2846" s="87" t="s">
        <v>372</v>
      </c>
    </row>
    <row r="2847" ht="15.75" customHeight="1">
      <c r="A2847" s="87" t="s">
        <v>8383</v>
      </c>
      <c r="B2847" s="88">
        <v>1.22E18</v>
      </c>
      <c r="C2847" s="87" t="s">
        <v>8384</v>
      </c>
      <c r="D2847" s="87" t="s">
        <v>87</v>
      </c>
      <c r="E2847" s="87" t="s">
        <v>88</v>
      </c>
      <c r="F2847" s="87" t="s">
        <v>379</v>
      </c>
      <c r="G2847" s="93"/>
      <c r="H2847" s="93"/>
      <c r="I2847" s="87" t="s">
        <v>340</v>
      </c>
      <c r="J2847" s="87" t="s">
        <v>8385</v>
      </c>
      <c r="K2847" s="90">
        <v>0.0</v>
      </c>
      <c r="L2847" s="92"/>
      <c r="M2847" s="93"/>
      <c r="N2847" s="87" t="s">
        <v>6273</v>
      </c>
      <c r="O2847" s="87" t="s">
        <v>377</v>
      </c>
      <c r="P2847" s="87" t="s">
        <v>372</v>
      </c>
    </row>
    <row r="2848" ht="15.75" customHeight="1">
      <c r="A2848" s="87" t="s">
        <v>8386</v>
      </c>
      <c r="B2848" s="88">
        <v>1.22E18</v>
      </c>
      <c r="C2848" s="87" t="s">
        <v>8387</v>
      </c>
      <c r="D2848" s="87" t="s">
        <v>87</v>
      </c>
      <c r="E2848" s="87" t="s">
        <v>102</v>
      </c>
      <c r="F2848" s="87" t="s">
        <v>1763</v>
      </c>
      <c r="I2848" s="87" t="s">
        <v>58</v>
      </c>
      <c r="J2848" s="87" t="s">
        <v>8388</v>
      </c>
      <c r="K2848" s="90">
        <v>2880.0</v>
      </c>
      <c r="L2848" s="92"/>
      <c r="M2848" s="93"/>
      <c r="N2848" s="87" t="s">
        <v>5018</v>
      </c>
      <c r="O2848" s="87" t="s">
        <v>377</v>
      </c>
      <c r="P2848" s="87" t="s">
        <v>372</v>
      </c>
    </row>
    <row r="2849" ht="15.75" customHeight="1">
      <c r="A2849" s="87" t="s">
        <v>8389</v>
      </c>
      <c r="B2849" s="88">
        <v>1.22E18</v>
      </c>
      <c r="C2849" s="87" t="s">
        <v>8390</v>
      </c>
      <c r="D2849" s="87" t="s">
        <v>56</v>
      </c>
      <c r="E2849" s="87" t="s">
        <v>102</v>
      </c>
      <c r="F2849" s="87" t="s">
        <v>1763</v>
      </c>
      <c r="I2849" s="87" t="s">
        <v>58</v>
      </c>
      <c r="J2849" s="87" t="s">
        <v>4200</v>
      </c>
      <c r="K2849" s="90">
        <v>0.0</v>
      </c>
      <c r="L2849" s="92"/>
      <c r="M2849" s="93"/>
      <c r="N2849" s="87" t="s">
        <v>1772</v>
      </c>
      <c r="O2849" s="87" t="s">
        <v>377</v>
      </c>
      <c r="P2849" s="87" t="s">
        <v>372</v>
      </c>
    </row>
    <row r="2850" ht="15.75" customHeight="1">
      <c r="A2850" s="87" t="s">
        <v>8391</v>
      </c>
      <c r="B2850" s="88">
        <v>1.22E18</v>
      </c>
      <c r="C2850" s="87" t="s">
        <v>8392</v>
      </c>
      <c r="D2850" s="87" t="s">
        <v>56</v>
      </c>
      <c r="E2850" s="87" t="s">
        <v>102</v>
      </c>
      <c r="F2850" s="87" t="s">
        <v>1763</v>
      </c>
      <c r="I2850" s="87" t="s">
        <v>1123</v>
      </c>
      <c r="J2850" s="87" t="s">
        <v>8393</v>
      </c>
      <c r="K2850" s="90">
        <v>0.0</v>
      </c>
      <c r="L2850" s="92"/>
      <c r="M2850" s="93"/>
      <c r="N2850" s="87" t="s">
        <v>1772</v>
      </c>
      <c r="O2850" s="87" t="s">
        <v>377</v>
      </c>
      <c r="P2850" s="87" t="s">
        <v>372</v>
      </c>
    </row>
    <row r="2851" ht="15.75" customHeight="1">
      <c r="A2851" s="87" t="s">
        <v>8394</v>
      </c>
      <c r="B2851" s="88">
        <v>1.22E18</v>
      </c>
      <c r="C2851" s="87" t="s">
        <v>8395</v>
      </c>
      <c r="D2851" s="87" t="s">
        <v>56</v>
      </c>
      <c r="E2851" s="87" t="s">
        <v>102</v>
      </c>
      <c r="F2851" s="87" t="s">
        <v>1763</v>
      </c>
      <c r="I2851" s="87" t="s">
        <v>5012</v>
      </c>
      <c r="J2851" s="87" t="s">
        <v>8396</v>
      </c>
      <c r="K2851" s="90">
        <v>0.0</v>
      </c>
      <c r="L2851" s="92"/>
      <c r="M2851" s="93"/>
      <c r="N2851" s="87" t="s">
        <v>1772</v>
      </c>
      <c r="O2851" s="87" t="s">
        <v>377</v>
      </c>
      <c r="P2851" s="87" t="s">
        <v>372</v>
      </c>
    </row>
    <row r="2852" ht="15.75" customHeight="1">
      <c r="A2852" s="87" t="s">
        <v>8397</v>
      </c>
      <c r="B2852" s="88">
        <v>1.22E18</v>
      </c>
      <c r="C2852" s="87" t="s">
        <v>8398</v>
      </c>
      <c r="D2852" s="87" t="s">
        <v>87</v>
      </c>
      <c r="E2852" s="87" t="s">
        <v>88</v>
      </c>
      <c r="F2852" s="118" t="s">
        <v>8398</v>
      </c>
      <c r="G2852" s="130"/>
      <c r="H2852" s="119"/>
      <c r="I2852" s="87" t="s">
        <v>58</v>
      </c>
      <c r="J2852" s="87" t="s">
        <v>8399</v>
      </c>
      <c r="K2852" s="90">
        <v>0.0</v>
      </c>
      <c r="L2852" s="92"/>
      <c r="M2852" s="93"/>
      <c r="N2852" s="87" t="s">
        <v>1772</v>
      </c>
      <c r="O2852" s="87" t="s">
        <v>377</v>
      </c>
      <c r="P2852" s="87" t="s">
        <v>372</v>
      </c>
    </row>
    <row r="2853" ht="15.75" customHeight="1">
      <c r="A2853" s="87" t="s">
        <v>8400</v>
      </c>
      <c r="B2853" s="88">
        <v>1.22E18</v>
      </c>
      <c r="C2853" s="87" t="s">
        <v>8401</v>
      </c>
      <c r="D2853" s="87" t="s">
        <v>56</v>
      </c>
      <c r="E2853" s="87" t="s">
        <v>102</v>
      </c>
      <c r="F2853" s="87" t="s">
        <v>1763</v>
      </c>
      <c r="I2853" s="87" t="s">
        <v>58</v>
      </c>
      <c r="J2853" s="87" t="s">
        <v>8402</v>
      </c>
      <c r="K2853" s="90">
        <v>0.0</v>
      </c>
      <c r="L2853" s="92"/>
      <c r="M2853" s="93"/>
      <c r="N2853" s="87" t="s">
        <v>1772</v>
      </c>
      <c r="O2853" s="87" t="s">
        <v>377</v>
      </c>
      <c r="P2853" s="87" t="s">
        <v>372</v>
      </c>
    </row>
    <row r="2854" ht="15.75" customHeight="1">
      <c r="A2854" s="87" t="s">
        <v>8403</v>
      </c>
      <c r="B2854" s="88">
        <v>1.22E18</v>
      </c>
      <c r="C2854" s="87" t="s">
        <v>8404</v>
      </c>
      <c r="D2854" s="87" t="s">
        <v>56</v>
      </c>
      <c r="E2854" s="87" t="s">
        <v>59</v>
      </c>
      <c r="F2854" s="87" t="s">
        <v>1763</v>
      </c>
      <c r="I2854" s="87" t="s">
        <v>58</v>
      </c>
      <c r="J2854" s="87" t="s">
        <v>8405</v>
      </c>
      <c r="K2854" s="90">
        <v>0.0</v>
      </c>
      <c r="L2854" s="92"/>
      <c r="M2854" s="93"/>
      <c r="N2854" s="87" t="s">
        <v>1772</v>
      </c>
      <c r="O2854" s="87" t="s">
        <v>377</v>
      </c>
      <c r="P2854" s="87" t="s">
        <v>372</v>
      </c>
    </row>
    <row r="2855" ht="15.75" customHeight="1">
      <c r="A2855" s="87" t="s">
        <v>8406</v>
      </c>
      <c r="B2855" s="88">
        <v>1.22E18</v>
      </c>
      <c r="C2855" s="87" t="s">
        <v>8407</v>
      </c>
      <c r="D2855" s="87" t="s">
        <v>87</v>
      </c>
      <c r="E2855" s="87" t="s">
        <v>102</v>
      </c>
      <c r="F2855" s="87" t="s">
        <v>1763</v>
      </c>
      <c r="I2855" s="87" t="s">
        <v>58</v>
      </c>
      <c r="J2855" s="87" t="s">
        <v>3880</v>
      </c>
      <c r="K2855" s="90">
        <v>0.0</v>
      </c>
      <c r="L2855" s="92"/>
      <c r="M2855" s="93"/>
      <c r="N2855" s="87" t="s">
        <v>1772</v>
      </c>
      <c r="O2855" s="87" t="s">
        <v>377</v>
      </c>
      <c r="P2855" s="87" t="s">
        <v>372</v>
      </c>
    </row>
    <row r="2856" ht="15.75" customHeight="1">
      <c r="A2856" s="87" t="s">
        <v>8408</v>
      </c>
      <c r="B2856" s="88">
        <v>1.22E18</v>
      </c>
      <c r="C2856" s="87" t="s">
        <v>8409</v>
      </c>
      <c r="D2856" s="87" t="s">
        <v>87</v>
      </c>
      <c r="E2856" s="87" t="s">
        <v>102</v>
      </c>
      <c r="F2856" s="87" t="s">
        <v>1763</v>
      </c>
      <c r="I2856" s="87" t="s">
        <v>58</v>
      </c>
      <c r="J2856" s="87" t="s">
        <v>8410</v>
      </c>
      <c r="K2856" s="90">
        <v>0.0</v>
      </c>
      <c r="L2856" s="92"/>
      <c r="M2856" s="93"/>
      <c r="N2856" s="87" t="s">
        <v>1772</v>
      </c>
      <c r="O2856" s="87" t="s">
        <v>377</v>
      </c>
      <c r="P2856" s="87" t="s">
        <v>372</v>
      </c>
    </row>
    <row r="2857" ht="15.75" customHeight="1">
      <c r="A2857" s="87" t="s">
        <v>8411</v>
      </c>
      <c r="B2857" s="88">
        <v>1.22E18</v>
      </c>
      <c r="C2857" s="87" t="s">
        <v>8412</v>
      </c>
      <c r="D2857" s="87" t="s">
        <v>56</v>
      </c>
      <c r="E2857" s="87" t="s">
        <v>102</v>
      </c>
      <c r="F2857" s="87" t="s">
        <v>1763</v>
      </c>
      <c r="I2857" s="87" t="s">
        <v>58</v>
      </c>
      <c r="J2857" s="87" t="s">
        <v>8413</v>
      </c>
      <c r="K2857" s="90">
        <v>0.0</v>
      </c>
      <c r="L2857" s="92"/>
      <c r="M2857" s="93"/>
      <c r="N2857" s="87" t="s">
        <v>1772</v>
      </c>
      <c r="O2857" s="87" t="s">
        <v>377</v>
      </c>
      <c r="P2857" s="87" t="s">
        <v>372</v>
      </c>
    </row>
    <row r="2858" ht="15.75" customHeight="1">
      <c r="A2858" s="87" t="s">
        <v>8414</v>
      </c>
      <c r="B2858" s="88">
        <v>1.22E18</v>
      </c>
      <c r="C2858" s="87" t="s">
        <v>8415</v>
      </c>
      <c r="D2858" s="87" t="s">
        <v>87</v>
      </c>
      <c r="E2858" s="87" t="s">
        <v>228</v>
      </c>
      <c r="F2858" s="87" t="s">
        <v>373</v>
      </c>
      <c r="H2858" s="93"/>
      <c r="I2858" s="87" t="s">
        <v>340</v>
      </c>
      <c r="J2858" s="87" t="s">
        <v>8416</v>
      </c>
      <c r="K2858" s="90">
        <v>1000.0</v>
      </c>
      <c r="L2858" s="92"/>
      <c r="M2858" s="93"/>
      <c r="N2858" s="87" t="s">
        <v>617</v>
      </c>
      <c r="O2858" s="87" t="s">
        <v>377</v>
      </c>
      <c r="P2858" s="87" t="s">
        <v>372</v>
      </c>
    </row>
    <row r="2859" ht="15.75" customHeight="1">
      <c r="A2859" s="87" t="s">
        <v>8417</v>
      </c>
      <c r="B2859" s="88">
        <v>1.22E18</v>
      </c>
      <c r="C2859" s="87" t="s">
        <v>8418</v>
      </c>
      <c r="D2859" s="87" t="s">
        <v>87</v>
      </c>
      <c r="E2859" s="87" t="s">
        <v>228</v>
      </c>
      <c r="F2859" s="87" t="s">
        <v>373</v>
      </c>
      <c r="H2859" s="93"/>
      <c r="I2859" s="87" t="s">
        <v>340</v>
      </c>
      <c r="J2859" s="87" t="s">
        <v>8416</v>
      </c>
      <c r="K2859" s="90">
        <v>1000.0</v>
      </c>
      <c r="L2859" s="92"/>
      <c r="M2859" s="93"/>
      <c r="N2859" s="87" t="s">
        <v>617</v>
      </c>
      <c r="O2859" s="87" t="s">
        <v>377</v>
      </c>
      <c r="P2859" s="87" t="s">
        <v>372</v>
      </c>
    </row>
    <row r="2860" ht="15.75" customHeight="1">
      <c r="A2860" s="87" t="s">
        <v>8419</v>
      </c>
      <c r="B2860" s="88">
        <v>1.22E18</v>
      </c>
      <c r="C2860" s="87" t="s">
        <v>8420</v>
      </c>
      <c r="D2860" s="87" t="s">
        <v>87</v>
      </c>
      <c r="E2860" s="87" t="s">
        <v>228</v>
      </c>
      <c r="F2860" s="87" t="s">
        <v>373</v>
      </c>
      <c r="H2860" s="93"/>
      <c r="I2860" s="87" t="s">
        <v>340</v>
      </c>
      <c r="J2860" s="87" t="s">
        <v>8416</v>
      </c>
      <c r="K2860" s="90">
        <v>1000.0</v>
      </c>
      <c r="L2860" s="92"/>
      <c r="M2860" s="93"/>
      <c r="N2860" s="87" t="s">
        <v>617</v>
      </c>
      <c r="O2860" s="87" t="s">
        <v>377</v>
      </c>
      <c r="P2860" s="87" t="s">
        <v>372</v>
      </c>
    </row>
    <row r="2861" ht="15.75" customHeight="1">
      <c r="A2861" s="87" t="s">
        <v>8421</v>
      </c>
      <c r="B2861" s="88">
        <v>1.22E18</v>
      </c>
      <c r="C2861" s="87" t="s">
        <v>8422</v>
      </c>
      <c r="D2861" s="87" t="s">
        <v>87</v>
      </c>
      <c r="E2861" s="87" t="s">
        <v>88</v>
      </c>
      <c r="F2861" s="87" t="s">
        <v>373</v>
      </c>
      <c r="H2861" s="93"/>
      <c r="I2861" s="87" t="s">
        <v>340</v>
      </c>
      <c r="J2861" s="87" t="s">
        <v>8423</v>
      </c>
      <c r="K2861" s="90">
        <v>0.0</v>
      </c>
      <c r="L2861" s="92"/>
      <c r="M2861" s="93"/>
      <c r="N2861" s="87" t="s">
        <v>8088</v>
      </c>
      <c r="O2861" s="87" t="s">
        <v>377</v>
      </c>
      <c r="P2861" s="87" t="s">
        <v>372</v>
      </c>
    </row>
    <row r="2862" ht="15.75" customHeight="1">
      <c r="A2862" s="87" t="s">
        <v>8424</v>
      </c>
      <c r="B2862" s="88">
        <v>1.22E18</v>
      </c>
      <c r="C2862" s="87" t="s">
        <v>8425</v>
      </c>
      <c r="D2862" s="87" t="s">
        <v>87</v>
      </c>
      <c r="E2862" s="87" t="s">
        <v>88</v>
      </c>
      <c r="F2862" s="87" t="s">
        <v>373</v>
      </c>
      <c r="H2862" s="93"/>
      <c r="I2862" s="87" t="s">
        <v>340</v>
      </c>
      <c r="J2862" s="87" t="s">
        <v>689</v>
      </c>
      <c r="K2862" s="90">
        <v>0.0</v>
      </c>
      <c r="L2862" s="92"/>
      <c r="M2862" s="93"/>
      <c r="N2862" s="87" t="s">
        <v>8088</v>
      </c>
      <c r="O2862" s="87" t="s">
        <v>377</v>
      </c>
      <c r="P2862" s="87" t="s">
        <v>372</v>
      </c>
    </row>
    <row r="2863" ht="15.75" customHeight="1">
      <c r="A2863" s="87" t="s">
        <v>8426</v>
      </c>
      <c r="B2863" s="88">
        <v>1.22E18</v>
      </c>
      <c r="C2863" s="87" t="s">
        <v>8427</v>
      </c>
      <c r="D2863" s="87" t="s">
        <v>87</v>
      </c>
      <c r="E2863" s="87" t="s">
        <v>88</v>
      </c>
      <c r="F2863" s="87" t="s">
        <v>373</v>
      </c>
      <c r="H2863" s="93"/>
      <c r="I2863" s="87" t="s">
        <v>315</v>
      </c>
      <c r="J2863" s="87" t="s">
        <v>8428</v>
      </c>
      <c r="K2863" s="90">
        <v>0.0</v>
      </c>
      <c r="L2863" s="92"/>
      <c r="M2863" s="93"/>
      <c r="N2863" s="87" t="s">
        <v>8429</v>
      </c>
      <c r="O2863" s="87" t="s">
        <v>377</v>
      </c>
      <c r="P2863" s="87" t="s">
        <v>372</v>
      </c>
    </row>
    <row r="2864" ht="15.75" customHeight="1">
      <c r="A2864" s="87" t="s">
        <v>8430</v>
      </c>
      <c r="B2864" s="88">
        <v>1.22E18</v>
      </c>
      <c r="C2864" s="87" t="s">
        <v>8431</v>
      </c>
      <c r="D2864" s="87" t="s">
        <v>87</v>
      </c>
      <c r="E2864" s="87" t="s">
        <v>88</v>
      </c>
      <c r="F2864" s="87" t="s">
        <v>373</v>
      </c>
      <c r="H2864" s="93"/>
      <c r="I2864" s="87" t="s">
        <v>315</v>
      </c>
      <c r="J2864" s="87" t="s">
        <v>8432</v>
      </c>
      <c r="K2864" s="90">
        <v>0.0</v>
      </c>
      <c r="L2864" s="92"/>
      <c r="M2864" s="93"/>
      <c r="N2864" s="87" t="s">
        <v>8429</v>
      </c>
      <c r="O2864" s="87" t="s">
        <v>377</v>
      </c>
      <c r="P2864" s="87" t="s">
        <v>372</v>
      </c>
    </row>
    <row r="2865" ht="15.75" customHeight="1">
      <c r="A2865" s="87" t="s">
        <v>8433</v>
      </c>
      <c r="B2865" s="88">
        <v>1.22E18</v>
      </c>
      <c r="C2865" s="87" t="s">
        <v>8434</v>
      </c>
      <c r="D2865" s="87" t="s">
        <v>87</v>
      </c>
      <c r="E2865" s="87" t="s">
        <v>88</v>
      </c>
      <c r="F2865" s="87" t="s">
        <v>8434</v>
      </c>
      <c r="I2865" s="87" t="s">
        <v>327</v>
      </c>
      <c r="J2865" s="87" t="s">
        <v>8435</v>
      </c>
      <c r="K2865" s="90">
        <v>400000.0</v>
      </c>
      <c r="L2865" s="92"/>
      <c r="M2865" s="93"/>
      <c r="N2865" s="87" t="s">
        <v>390</v>
      </c>
      <c r="O2865" s="87" t="s">
        <v>377</v>
      </c>
      <c r="P2865" s="87" t="s">
        <v>372</v>
      </c>
    </row>
    <row r="2866" ht="15.75" customHeight="1">
      <c r="A2866" s="87" t="s">
        <v>8436</v>
      </c>
      <c r="B2866" s="88">
        <v>1.22E18</v>
      </c>
      <c r="C2866" s="87" t="s">
        <v>8437</v>
      </c>
      <c r="D2866" s="87" t="s">
        <v>262</v>
      </c>
      <c r="E2866" s="87" t="s">
        <v>278</v>
      </c>
      <c r="F2866" s="118" t="s">
        <v>8437</v>
      </c>
      <c r="G2866" s="130"/>
      <c r="H2866" s="119"/>
      <c r="I2866" s="87" t="s">
        <v>103</v>
      </c>
      <c r="J2866" s="87" t="s">
        <v>8438</v>
      </c>
      <c r="L2866" s="92"/>
      <c r="M2866" s="93"/>
      <c r="N2866" s="87" t="s">
        <v>8439</v>
      </c>
      <c r="O2866" s="87" t="s">
        <v>377</v>
      </c>
      <c r="P2866" s="87" t="s">
        <v>2565</v>
      </c>
    </row>
    <row r="2867" ht="15.75" customHeight="1">
      <c r="A2867" s="87" t="s">
        <v>8440</v>
      </c>
      <c r="B2867" s="88">
        <v>1.22E18</v>
      </c>
      <c r="C2867" s="87" t="s">
        <v>8441</v>
      </c>
      <c r="D2867" s="87" t="s">
        <v>87</v>
      </c>
      <c r="E2867" s="87" t="s">
        <v>88</v>
      </c>
      <c r="F2867" s="87" t="s">
        <v>8441</v>
      </c>
      <c r="I2867" s="87" t="s">
        <v>58</v>
      </c>
      <c r="J2867" s="87" t="s">
        <v>2038</v>
      </c>
      <c r="K2867" s="90">
        <v>0.0</v>
      </c>
      <c r="L2867" s="92"/>
      <c r="M2867" s="93"/>
      <c r="N2867" s="93"/>
      <c r="O2867" s="87" t="s">
        <v>377</v>
      </c>
      <c r="P2867" s="87" t="s">
        <v>372</v>
      </c>
    </row>
    <row r="2868" ht="15.75" customHeight="1">
      <c r="A2868" s="87" t="s">
        <v>8442</v>
      </c>
      <c r="B2868" s="88">
        <v>1.22E18</v>
      </c>
      <c r="C2868" s="87" t="s">
        <v>8443</v>
      </c>
      <c r="D2868" s="87" t="s">
        <v>56</v>
      </c>
      <c r="E2868" s="87" t="s">
        <v>102</v>
      </c>
      <c r="F2868" s="87" t="s">
        <v>1763</v>
      </c>
      <c r="I2868" s="87" t="s">
        <v>58</v>
      </c>
      <c r="J2868" s="87" t="s">
        <v>8444</v>
      </c>
      <c r="K2868" s="90">
        <v>0.0</v>
      </c>
      <c r="L2868" s="92"/>
      <c r="M2868" s="93"/>
      <c r="N2868" s="87" t="s">
        <v>6654</v>
      </c>
      <c r="O2868" s="87" t="s">
        <v>377</v>
      </c>
      <c r="P2868" s="87" t="s">
        <v>372</v>
      </c>
    </row>
    <row r="2869" ht="15.75" customHeight="1">
      <c r="A2869" s="87" t="s">
        <v>8445</v>
      </c>
      <c r="B2869" s="88">
        <v>1.22E18</v>
      </c>
      <c r="C2869" s="87" t="s">
        <v>8446</v>
      </c>
      <c r="D2869" s="87" t="s">
        <v>56</v>
      </c>
      <c r="E2869" s="87" t="s">
        <v>102</v>
      </c>
      <c r="F2869" s="87" t="s">
        <v>1763</v>
      </c>
      <c r="I2869" s="87" t="s">
        <v>58</v>
      </c>
      <c r="J2869" s="87" t="s">
        <v>3801</v>
      </c>
      <c r="K2869" s="90">
        <v>0.0</v>
      </c>
      <c r="L2869" s="92"/>
      <c r="M2869" s="93"/>
      <c r="N2869" s="87" t="s">
        <v>6654</v>
      </c>
      <c r="O2869" s="87" t="s">
        <v>377</v>
      </c>
      <c r="P2869" s="87" t="s">
        <v>372</v>
      </c>
    </row>
    <row r="2870" ht="15.75" customHeight="1">
      <c r="A2870" s="87" t="s">
        <v>8447</v>
      </c>
      <c r="B2870" s="88">
        <v>1.22E18</v>
      </c>
      <c r="C2870" s="87" t="s">
        <v>8448</v>
      </c>
      <c r="D2870" s="87" t="s">
        <v>56</v>
      </c>
      <c r="E2870" s="87" t="s">
        <v>102</v>
      </c>
      <c r="F2870" s="87" t="s">
        <v>1763</v>
      </c>
      <c r="I2870" s="87" t="s">
        <v>58</v>
      </c>
      <c r="J2870" s="87" t="s">
        <v>2011</v>
      </c>
      <c r="K2870" s="90">
        <v>0.0</v>
      </c>
      <c r="L2870" s="92"/>
      <c r="M2870" s="93"/>
      <c r="N2870" s="87" t="s">
        <v>6654</v>
      </c>
      <c r="O2870" s="87" t="s">
        <v>377</v>
      </c>
      <c r="P2870" s="87" t="s">
        <v>372</v>
      </c>
    </row>
    <row r="2871" ht="15.75" customHeight="1">
      <c r="A2871" s="87" t="s">
        <v>8449</v>
      </c>
      <c r="B2871" s="88">
        <v>1.22E18</v>
      </c>
      <c r="C2871" s="87" t="s">
        <v>8450</v>
      </c>
      <c r="D2871" s="87" t="s">
        <v>56</v>
      </c>
      <c r="E2871" s="87" t="s">
        <v>102</v>
      </c>
      <c r="F2871" s="87" t="s">
        <v>1763</v>
      </c>
      <c r="I2871" s="87" t="s">
        <v>58</v>
      </c>
      <c r="J2871" s="87" t="s">
        <v>2011</v>
      </c>
      <c r="K2871" s="90">
        <v>0.0</v>
      </c>
      <c r="L2871" s="92"/>
      <c r="M2871" s="93"/>
      <c r="N2871" s="87" t="s">
        <v>6654</v>
      </c>
      <c r="O2871" s="87" t="s">
        <v>377</v>
      </c>
      <c r="P2871" s="87" t="s">
        <v>372</v>
      </c>
    </row>
    <row r="2872" ht="15.75" customHeight="1">
      <c r="A2872" s="87" t="s">
        <v>8451</v>
      </c>
      <c r="B2872" s="88">
        <v>1.22E18</v>
      </c>
      <c r="C2872" s="87" t="s">
        <v>8452</v>
      </c>
      <c r="D2872" s="87" t="s">
        <v>56</v>
      </c>
      <c r="E2872" s="87" t="s">
        <v>248</v>
      </c>
      <c r="F2872" s="87" t="s">
        <v>415</v>
      </c>
      <c r="G2872" s="93"/>
      <c r="H2872" s="93"/>
      <c r="I2872" s="87" t="s">
        <v>58</v>
      </c>
      <c r="J2872" s="87" t="s">
        <v>8453</v>
      </c>
      <c r="K2872" s="90">
        <v>0.0</v>
      </c>
      <c r="L2872" s="92"/>
      <c r="M2872" s="93"/>
      <c r="N2872" s="93"/>
      <c r="O2872" s="87" t="s">
        <v>377</v>
      </c>
      <c r="P2872" s="87" t="s">
        <v>372</v>
      </c>
    </row>
    <row r="2873" ht="15.75" customHeight="1">
      <c r="A2873" s="87" t="s">
        <v>8454</v>
      </c>
      <c r="B2873" s="88">
        <v>1.22E18</v>
      </c>
      <c r="C2873" s="87" t="s">
        <v>8455</v>
      </c>
      <c r="D2873" s="87" t="s">
        <v>56</v>
      </c>
      <c r="E2873" s="87" t="s">
        <v>248</v>
      </c>
      <c r="F2873" s="87" t="s">
        <v>415</v>
      </c>
      <c r="G2873" s="93"/>
      <c r="H2873" s="93"/>
      <c r="I2873" s="87" t="s">
        <v>58</v>
      </c>
      <c r="J2873" s="87" t="s">
        <v>5814</v>
      </c>
      <c r="K2873" s="90">
        <v>1.0</v>
      </c>
      <c r="L2873" s="92"/>
      <c r="M2873" s="93"/>
      <c r="N2873" s="93"/>
      <c r="O2873" s="87" t="s">
        <v>377</v>
      </c>
      <c r="P2873" s="87" t="s">
        <v>372</v>
      </c>
    </row>
    <row r="2874" ht="15.75" customHeight="1">
      <c r="A2874" s="87" t="s">
        <v>8456</v>
      </c>
      <c r="B2874" s="88">
        <v>1.22E18</v>
      </c>
      <c r="C2874" s="87" t="s">
        <v>8457</v>
      </c>
      <c r="D2874" s="87" t="s">
        <v>56</v>
      </c>
      <c r="E2874" s="87" t="s">
        <v>142</v>
      </c>
      <c r="F2874" s="87" t="s">
        <v>1763</v>
      </c>
      <c r="I2874" s="87" t="s">
        <v>58</v>
      </c>
      <c r="J2874" s="87" t="s">
        <v>816</v>
      </c>
      <c r="K2874" s="90">
        <v>0.0</v>
      </c>
      <c r="L2874" s="92"/>
      <c r="M2874" s="93"/>
      <c r="N2874" s="87" t="s">
        <v>111</v>
      </c>
      <c r="O2874" s="87" t="s">
        <v>377</v>
      </c>
      <c r="P2874" s="87" t="s">
        <v>372</v>
      </c>
    </row>
    <row r="2875" ht="15.75" customHeight="1">
      <c r="A2875" s="87" t="s">
        <v>8458</v>
      </c>
      <c r="B2875" s="88">
        <v>1.22E18</v>
      </c>
      <c r="C2875" s="87" t="s">
        <v>8459</v>
      </c>
      <c r="D2875" s="87" t="s">
        <v>87</v>
      </c>
      <c r="E2875" s="87" t="s">
        <v>88</v>
      </c>
      <c r="F2875" s="87" t="s">
        <v>1763</v>
      </c>
      <c r="I2875" s="87" t="s">
        <v>58</v>
      </c>
      <c r="J2875" s="87" t="s">
        <v>3852</v>
      </c>
      <c r="K2875" s="90">
        <v>0.0</v>
      </c>
      <c r="L2875" s="92"/>
      <c r="M2875" s="93"/>
      <c r="N2875" s="87" t="s">
        <v>3095</v>
      </c>
      <c r="O2875" s="87" t="s">
        <v>377</v>
      </c>
      <c r="P2875" s="87" t="s">
        <v>372</v>
      </c>
    </row>
    <row r="2876" ht="15.75" customHeight="1">
      <c r="A2876" s="87" t="s">
        <v>8460</v>
      </c>
      <c r="B2876" s="88">
        <v>1.22E18</v>
      </c>
      <c r="C2876" s="87" t="s">
        <v>8461</v>
      </c>
      <c r="D2876" s="87" t="s">
        <v>87</v>
      </c>
      <c r="E2876" s="87" t="s">
        <v>102</v>
      </c>
      <c r="F2876" s="87" t="s">
        <v>1763</v>
      </c>
      <c r="I2876" s="87" t="s">
        <v>58</v>
      </c>
      <c r="J2876" s="87" t="s">
        <v>4363</v>
      </c>
      <c r="K2876" s="90">
        <v>0.0</v>
      </c>
      <c r="L2876" s="92"/>
      <c r="M2876" s="93"/>
      <c r="N2876" s="87" t="s">
        <v>3095</v>
      </c>
      <c r="O2876" s="87" t="s">
        <v>377</v>
      </c>
      <c r="P2876" s="87" t="s">
        <v>372</v>
      </c>
    </row>
    <row r="2877" ht="15.75" customHeight="1">
      <c r="A2877" s="87" t="s">
        <v>8462</v>
      </c>
      <c r="B2877" s="88">
        <v>1.22E18</v>
      </c>
      <c r="C2877" s="87" t="s">
        <v>8463</v>
      </c>
      <c r="D2877" s="87" t="s">
        <v>87</v>
      </c>
      <c r="E2877" s="87" t="s">
        <v>102</v>
      </c>
      <c r="F2877" s="87" t="s">
        <v>1763</v>
      </c>
      <c r="I2877" s="87" t="s">
        <v>58</v>
      </c>
      <c r="J2877" s="87" t="s">
        <v>3852</v>
      </c>
      <c r="K2877" s="90">
        <v>0.0</v>
      </c>
      <c r="L2877" s="92"/>
      <c r="M2877" s="93"/>
      <c r="N2877" s="87" t="s">
        <v>3095</v>
      </c>
      <c r="O2877" s="87" t="s">
        <v>377</v>
      </c>
      <c r="P2877" s="87" t="s">
        <v>372</v>
      </c>
    </row>
    <row r="2878" ht="15.75" customHeight="1">
      <c r="A2878" s="87" t="s">
        <v>8464</v>
      </c>
      <c r="B2878" s="88">
        <v>1.22E18</v>
      </c>
      <c r="C2878" s="87" t="s">
        <v>8465</v>
      </c>
      <c r="D2878" s="87" t="s">
        <v>56</v>
      </c>
      <c r="E2878" s="87" t="s">
        <v>102</v>
      </c>
      <c r="F2878" s="87" t="s">
        <v>1763</v>
      </c>
      <c r="I2878" s="87" t="s">
        <v>58</v>
      </c>
      <c r="J2878" s="87" t="s">
        <v>1983</v>
      </c>
      <c r="K2878" s="90">
        <v>0.0</v>
      </c>
      <c r="L2878" s="92"/>
      <c r="M2878" s="93"/>
      <c r="N2878" s="87" t="s">
        <v>3095</v>
      </c>
      <c r="O2878" s="87" t="s">
        <v>377</v>
      </c>
      <c r="P2878" s="87" t="s">
        <v>372</v>
      </c>
    </row>
    <row r="2879" ht="15.75" customHeight="1">
      <c r="A2879" s="87" t="s">
        <v>8466</v>
      </c>
      <c r="B2879" s="88">
        <v>1.22E18</v>
      </c>
      <c r="C2879" s="87" t="s">
        <v>8467</v>
      </c>
      <c r="D2879" s="87" t="s">
        <v>56</v>
      </c>
      <c r="E2879" s="87" t="s">
        <v>102</v>
      </c>
      <c r="F2879" s="87" t="s">
        <v>1763</v>
      </c>
      <c r="I2879" s="87" t="s">
        <v>58</v>
      </c>
      <c r="J2879" s="87" t="s">
        <v>550</v>
      </c>
      <c r="K2879" s="90">
        <v>0.0</v>
      </c>
      <c r="L2879" s="92"/>
      <c r="M2879" s="93"/>
      <c r="N2879" s="87" t="s">
        <v>3095</v>
      </c>
      <c r="O2879" s="87" t="s">
        <v>377</v>
      </c>
      <c r="P2879" s="87" t="s">
        <v>372</v>
      </c>
    </row>
    <row r="2880" ht="15.75" customHeight="1">
      <c r="A2880" s="87" t="s">
        <v>8468</v>
      </c>
      <c r="B2880" s="88">
        <v>1.22E18</v>
      </c>
      <c r="C2880" s="87" t="s">
        <v>8469</v>
      </c>
      <c r="D2880" s="87" t="s">
        <v>87</v>
      </c>
      <c r="E2880" s="87" t="s">
        <v>102</v>
      </c>
      <c r="F2880" s="87" t="s">
        <v>1763</v>
      </c>
      <c r="I2880" s="87" t="s">
        <v>58</v>
      </c>
      <c r="J2880" s="87" t="s">
        <v>1886</v>
      </c>
      <c r="K2880" s="90">
        <v>6500.0</v>
      </c>
      <c r="L2880" s="92"/>
      <c r="M2880" s="93"/>
      <c r="N2880" s="87" t="s">
        <v>4427</v>
      </c>
      <c r="O2880" s="87" t="s">
        <v>377</v>
      </c>
      <c r="P2880" s="87" t="s">
        <v>372</v>
      </c>
    </row>
    <row r="2881" ht="15.75" customHeight="1">
      <c r="A2881" s="87" t="s">
        <v>8470</v>
      </c>
      <c r="B2881" s="88">
        <v>1.22E18</v>
      </c>
      <c r="C2881" s="87" t="s">
        <v>8471</v>
      </c>
      <c r="D2881" s="87" t="s">
        <v>87</v>
      </c>
      <c r="E2881" s="87" t="s">
        <v>88</v>
      </c>
      <c r="F2881" s="87" t="s">
        <v>8471</v>
      </c>
      <c r="G2881" s="93"/>
      <c r="H2881" s="93"/>
      <c r="I2881" s="87" t="s">
        <v>315</v>
      </c>
      <c r="J2881" s="87" t="s">
        <v>8472</v>
      </c>
      <c r="K2881" s="90">
        <v>300000.0</v>
      </c>
      <c r="L2881" s="92"/>
      <c r="M2881" s="93"/>
      <c r="N2881" s="87" t="s">
        <v>4427</v>
      </c>
      <c r="O2881" s="87" t="s">
        <v>377</v>
      </c>
      <c r="P2881" s="87" t="s">
        <v>372</v>
      </c>
    </row>
    <row r="2882" ht="15.75" customHeight="1">
      <c r="A2882" s="87" t="s">
        <v>8473</v>
      </c>
      <c r="B2882" s="88">
        <v>1.22E18</v>
      </c>
      <c r="C2882" s="87" t="s">
        <v>8474</v>
      </c>
      <c r="D2882" s="87" t="s">
        <v>87</v>
      </c>
      <c r="E2882" s="87" t="s">
        <v>88</v>
      </c>
      <c r="F2882" s="87" t="s">
        <v>373</v>
      </c>
      <c r="H2882" s="93"/>
      <c r="I2882" s="87" t="s">
        <v>58</v>
      </c>
      <c r="J2882" s="87" t="s">
        <v>8475</v>
      </c>
      <c r="K2882" s="90">
        <v>0.0</v>
      </c>
      <c r="L2882" s="92"/>
      <c r="M2882" s="93"/>
      <c r="N2882" s="93"/>
      <c r="O2882" s="87" t="s">
        <v>377</v>
      </c>
      <c r="P2882" s="87" t="s">
        <v>372</v>
      </c>
    </row>
    <row r="2883" ht="15.75" customHeight="1">
      <c r="A2883" s="87" t="s">
        <v>8476</v>
      </c>
      <c r="B2883" s="88">
        <v>1.22E18</v>
      </c>
      <c r="C2883" s="87" t="s">
        <v>8477</v>
      </c>
      <c r="D2883" s="87" t="s">
        <v>262</v>
      </c>
      <c r="E2883" s="87" t="s">
        <v>263</v>
      </c>
      <c r="F2883" s="87" t="s">
        <v>415</v>
      </c>
      <c r="G2883" s="93"/>
      <c r="H2883" s="93"/>
      <c r="I2883" s="87" t="s">
        <v>58</v>
      </c>
      <c r="J2883" s="87" t="s">
        <v>8478</v>
      </c>
      <c r="K2883" s="90">
        <v>1.0</v>
      </c>
      <c r="L2883" s="92"/>
      <c r="M2883" s="93"/>
      <c r="N2883" s="87" t="s">
        <v>5018</v>
      </c>
      <c r="O2883" s="87" t="s">
        <v>377</v>
      </c>
      <c r="P2883" s="87" t="s">
        <v>372</v>
      </c>
    </row>
    <row r="2884" ht="15.75" customHeight="1">
      <c r="A2884" s="87" t="s">
        <v>8479</v>
      </c>
      <c r="B2884" s="88">
        <v>1.22E18</v>
      </c>
      <c r="C2884" s="87" t="s">
        <v>8480</v>
      </c>
      <c r="D2884" s="87" t="s">
        <v>87</v>
      </c>
      <c r="E2884" s="87" t="s">
        <v>233</v>
      </c>
      <c r="F2884" s="87" t="s">
        <v>373</v>
      </c>
      <c r="H2884" s="93"/>
      <c r="I2884" s="87" t="s">
        <v>340</v>
      </c>
      <c r="J2884" s="87" t="s">
        <v>8481</v>
      </c>
      <c r="K2884" s="90">
        <v>1000.0</v>
      </c>
      <c r="L2884" s="92"/>
      <c r="M2884" s="93"/>
      <c r="N2884" s="87" t="s">
        <v>527</v>
      </c>
      <c r="O2884" s="87" t="s">
        <v>377</v>
      </c>
      <c r="P2884" s="87" t="s">
        <v>372</v>
      </c>
    </row>
    <row r="2885" ht="15.75" customHeight="1">
      <c r="A2885" s="87" t="s">
        <v>8482</v>
      </c>
      <c r="B2885" s="88">
        <v>1.22E18</v>
      </c>
      <c r="C2885" s="87" t="s">
        <v>8483</v>
      </c>
      <c r="D2885" s="87" t="s">
        <v>262</v>
      </c>
      <c r="E2885" s="87" t="s">
        <v>270</v>
      </c>
      <c r="F2885" s="87" t="s">
        <v>1749</v>
      </c>
      <c r="H2885" s="93"/>
      <c r="I2885" s="87" t="s">
        <v>58</v>
      </c>
      <c r="J2885" s="87" t="s">
        <v>8484</v>
      </c>
      <c r="K2885" s="90">
        <v>0.0</v>
      </c>
      <c r="L2885" s="92"/>
      <c r="M2885" s="93"/>
      <c r="N2885" s="87" t="s">
        <v>5457</v>
      </c>
      <c r="O2885" s="87" t="s">
        <v>377</v>
      </c>
      <c r="P2885" s="87" t="s">
        <v>372</v>
      </c>
    </row>
    <row r="2886" ht="15.75" customHeight="1">
      <c r="A2886" s="87" t="s">
        <v>8485</v>
      </c>
      <c r="B2886" s="88">
        <v>1.22E18</v>
      </c>
      <c r="C2886" s="87" t="s">
        <v>8486</v>
      </c>
      <c r="D2886" s="87" t="s">
        <v>87</v>
      </c>
      <c r="E2886" s="87" t="s">
        <v>88</v>
      </c>
      <c r="F2886" s="87" t="s">
        <v>373</v>
      </c>
      <c r="H2886" s="93"/>
      <c r="I2886" s="87" t="s">
        <v>315</v>
      </c>
      <c r="J2886" s="87" t="s">
        <v>8487</v>
      </c>
      <c r="K2886" s="90">
        <v>500000.0</v>
      </c>
      <c r="L2886" s="92"/>
      <c r="M2886" s="93"/>
      <c r="N2886" s="87" t="s">
        <v>3095</v>
      </c>
      <c r="O2886" s="87" t="s">
        <v>377</v>
      </c>
      <c r="P2886" s="87" t="s">
        <v>372</v>
      </c>
    </row>
    <row r="2887" ht="15.75" customHeight="1">
      <c r="A2887" s="87" t="s">
        <v>8488</v>
      </c>
      <c r="B2887" s="88">
        <v>1.22E18</v>
      </c>
      <c r="C2887" s="87" t="s">
        <v>8489</v>
      </c>
      <c r="D2887" s="87" t="s">
        <v>87</v>
      </c>
      <c r="E2887" s="87" t="s">
        <v>88</v>
      </c>
      <c r="F2887" s="87" t="s">
        <v>8489</v>
      </c>
      <c r="H2887" s="93"/>
      <c r="I2887" s="87" t="s">
        <v>58</v>
      </c>
      <c r="J2887" s="87" t="s">
        <v>3075</v>
      </c>
      <c r="K2887" s="90">
        <v>0.0</v>
      </c>
      <c r="L2887" s="92"/>
      <c r="M2887" s="93"/>
      <c r="N2887" s="87" t="s">
        <v>3095</v>
      </c>
      <c r="O2887" s="87" t="s">
        <v>377</v>
      </c>
      <c r="P2887" s="87" t="s">
        <v>372</v>
      </c>
    </row>
    <row r="2888" ht="15.75" customHeight="1">
      <c r="A2888" s="87" t="s">
        <v>8490</v>
      </c>
      <c r="B2888" s="88">
        <v>1.22E18</v>
      </c>
      <c r="C2888" s="87" t="s">
        <v>8491</v>
      </c>
      <c r="D2888" s="87" t="s">
        <v>87</v>
      </c>
      <c r="E2888" s="87" t="s">
        <v>88</v>
      </c>
      <c r="F2888" s="87" t="s">
        <v>373</v>
      </c>
      <c r="H2888" s="93"/>
      <c r="I2888" s="87" t="s">
        <v>315</v>
      </c>
      <c r="J2888" s="87" t="s">
        <v>8492</v>
      </c>
      <c r="K2888" s="90">
        <v>15000.0</v>
      </c>
      <c r="L2888" s="92"/>
      <c r="M2888" s="93"/>
      <c r="N2888" s="87" t="s">
        <v>390</v>
      </c>
      <c r="O2888" s="87" t="s">
        <v>377</v>
      </c>
      <c r="P2888" s="87" t="s">
        <v>372</v>
      </c>
    </row>
    <row r="2889" ht="15.75" customHeight="1">
      <c r="A2889" s="87" t="s">
        <v>8493</v>
      </c>
      <c r="B2889" s="88">
        <v>1.22E18</v>
      </c>
      <c r="C2889" s="87" t="s">
        <v>8494</v>
      </c>
      <c r="D2889" s="87" t="s">
        <v>87</v>
      </c>
      <c r="E2889" s="87" t="s">
        <v>88</v>
      </c>
      <c r="F2889" s="87" t="s">
        <v>373</v>
      </c>
      <c r="H2889" s="93"/>
      <c r="I2889" s="87" t="s">
        <v>315</v>
      </c>
      <c r="J2889" s="87" t="s">
        <v>8495</v>
      </c>
      <c r="K2889" s="90">
        <v>30000.0</v>
      </c>
      <c r="L2889" s="92"/>
      <c r="M2889" s="93"/>
      <c r="N2889" s="87" t="s">
        <v>390</v>
      </c>
      <c r="O2889" s="87" t="s">
        <v>377</v>
      </c>
      <c r="P2889" s="87" t="s">
        <v>372</v>
      </c>
    </row>
    <row r="2890" ht="15.75" customHeight="1">
      <c r="A2890" s="87" t="s">
        <v>8496</v>
      </c>
      <c r="B2890" s="88">
        <v>1.22E18</v>
      </c>
      <c r="C2890" s="87" t="s">
        <v>8497</v>
      </c>
      <c r="D2890" s="87" t="s">
        <v>262</v>
      </c>
      <c r="E2890" s="87" t="s">
        <v>275</v>
      </c>
      <c r="F2890" s="87" t="s">
        <v>1749</v>
      </c>
      <c r="H2890" s="93"/>
      <c r="I2890" s="87" t="s">
        <v>5012</v>
      </c>
      <c r="J2890" s="87" t="s">
        <v>8498</v>
      </c>
      <c r="K2890" s="90">
        <v>0.0</v>
      </c>
      <c r="L2890" s="92"/>
      <c r="M2890" s="93"/>
      <c r="N2890" s="87" t="s">
        <v>2358</v>
      </c>
      <c r="O2890" s="87" t="s">
        <v>377</v>
      </c>
      <c r="P2890" s="87" t="s">
        <v>372</v>
      </c>
    </row>
    <row r="2891" ht="15.75" customHeight="1">
      <c r="A2891" s="87" t="s">
        <v>8499</v>
      </c>
      <c r="B2891" s="88">
        <v>1.22E18</v>
      </c>
      <c r="C2891" s="87" t="s">
        <v>8500</v>
      </c>
      <c r="D2891" s="87" t="s">
        <v>87</v>
      </c>
      <c r="E2891" s="87" t="s">
        <v>88</v>
      </c>
      <c r="F2891" s="87" t="s">
        <v>373</v>
      </c>
      <c r="H2891" s="93"/>
      <c r="I2891" s="87" t="s">
        <v>340</v>
      </c>
      <c r="J2891" s="87" t="s">
        <v>8501</v>
      </c>
      <c r="K2891" s="90">
        <v>100000.0</v>
      </c>
      <c r="L2891" s="92"/>
      <c r="M2891" s="93"/>
      <c r="N2891" s="87" t="s">
        <v>8429</v>
      </c>
      <c r="O2891" s="87" t="s">
        <v>377</v>
      </c>
      <c r="P2891" s="87" t="s">
        <v>372</v>
      </c>
    </row>
    <row r="2892" ht="15.75" customHeight="1">
      <c r="A2892" s="87" t="s">
        <v>8502</v>
      </c>
      <c r="B2892" s="88">
        <v>1.22E18</v>
      </c>
      <c r="C2892" s="87" t="s">
        <v>8503</v>
      </c>
      <c r="D2892" s="87" t="s">
        <v>56</v>
      </c>
      <c r="E2892" s="87" t="s">
        <v>248</v>
      </c>
      <c r="F2892" s="87" t="s">
        <v>2769</v>
      </c>
      <c r="G2892" s="93"/>
      <c r="H2892" s="93"/>
      <c r="I2892" s="87" t="s">
        <v>58</v>
      </c>
      <c r="J2892" s="87" t="s">
        <v>1076</v>
      </c>
      <c r="K2892" s="90">
        <v>0.0</v>
      </c>
      <c r="L2892" s="92"/>
      <c r="M2892" s="93"/>
      <c r="N2892" s="87" t="s">
        <v>7614</v>
      </c>
      <c r="O2892" s="87" t="s">
        <v>377</v>
      </c>
      <c r="P2892" s="87" t="s">
        <v>372</v>
      </c>
    </row>
    <row r="2893" ht="15.75" customHeight="1">
      <c r="A2893" s="87" t="s">
        <v>8504</v>
      </c>
      <c r="B2893" s="88">
        <v>1.22E18</v>
      </c>
      <c r="C2893" s="87" t="s">
        <v>8505</v>
      </c>
      <c r="D2893" s="87" t="s">
        <v>56</v>
      </c>
      <c r="E2893" s="87" t="s">
        <v>248</v>
      </c>
      <c r="F2893" s="87" t="s">
        <v>2769</v>
      </c>
      <c r="G2893" s="93"/>
      <c r="H2893" s="93"/>
      <c r="I2893" s="87" t="s">
        <v>58</v>
      </c>
      <c r="J2893" s="87" t="s">
        <v>3852</v>
      </c>
      <c r="K2893" s="90">
        <v>0.0</v>
      </c>
      <c r="L2893" s="92"/>
      <c r="M2893" s="93"/>
      <c r="N2893" s="87" t="s">
        <v>7614</v>
      </c>
      <c r="O2893" s="87" t="s">
        <v>377</v>
      </c>
      <c r="P2893" s="87" t="s">
        <v>372</v>
      </c>
    </row>
    <row r="2894" ht="15.75" customHeight="1">
      <c r="A2894" s="87" t="s">
        <v>8506</v>
      </c>
      <c r="B2894" s="88">
        <v>1.22E18</v>
      </c>
      <c r="C2894" s="87" t="s">
        <v>8507</v>
      </c>
      <c r="D2894" s="87" t="s">
        <v>56</v>
      </c>
      <c r="E2894" s="87" t="s">
        <v>248</v>
      </c>
      <c r="F2894" s="87" t="s">
        <v>2769</v>
      </c>
      <c r="G2894" s="93"/>
      <c r="H2894" s="93"/>
      <c r="I2894" s="87" t="s">
        <v>58</v>
      </c>
      <c r="J2894" s="87" t="s">
        <v>8508</v>
      </c>
      <c r="K2894" s="90">
        <v>0.0</v>
      </c>
      <c r="L2894" s="92"/>
      <c r="M2894" s="93"/>
      <c r="N2894" s="87" t="s">
        <v>8509</v>
      </c>
      <c r="O2894" s="87" t="s">
        <v>377</v>
      </c>
      <c r="P2894" s="87" t="s">
        <v>372</v>
      </c>
    </row>
    <row r="2895" ht="15.75" customHeight="1">
      <c r="A2895" s="87" t="s">
        <v>8510</v>
      </c>
      <c r="B2895" s="88">
        <v>1.22E18</v>
      </c>
      <c r="C2895" s="87" t="s">
        <v>8511</v>
      </c>
      <c r="D2895" s="87" t="s">
        <v>262</v>
      </c>
      <c r="E2895" s="87" t="s">
        <v>270</v>
      </c>
      <c r="F2895" s="87" t="s">
        <v>1749</v>
      </c>
      <c r="H2895" s="93"/>
      <c r="I2895" s="87" t="s">
        <v>58</v>
      </c>
      <c r="J2895" s="87" t="s">
        <v>8512</v>
      </c>
      <c r="K2895" s="90">
        <v>0.0</v>
      </c>
      <c r="L2895" s="92"/>
      <c r="M2895" s="93"/>
      <c r="N2895" s="87" t="s">
        <v>3202</v>
      </c>
      <c r="O2895" s="87" t="s">
        <v>377</v>
      </c>
      <c r="P2895" s="87" t="s">
        <v>372</v>
      </c>
    </row>
    <row r="2896" ht="15.75" customHeight="1">
      <c r="A2896" s="87" t="s">
        <v>8513</v>
      </c>
      <c r="B2896" s="88">
        <v>1.22E18</v>
      </c>
      <c r="C2896" s="87" t="s">
        <v>8514</v>
      </c>
      <c r="D2896" s="87" t="s">
        <v>262</v>
      </c>
      <c r="E2896" s="87" t="s">
        <v>267</v>
      </c>
      <c r="F2896" s="87" t="s">
        <v>1749</v>
      </c>
      <c r="H2896" s="93"/>
      <c r="I2896" s="87" t="s">
        <v>58</v>
      </c>
      <c r="J2896" s="87" t="s">
        <v>8515</v>
      </c>
      <c r="K2896" s="90">
        <v>0.0</v>
      </c>
      <c r="L2896" s="92"/>
      <c r="M2896" s="93"/>
      <c r="N2896" s="87" t="s">
        <v>8286</v>
      </c>
      <c r="O2896" s="87" t="s">
        <v>377</v>
      </c>
      <c r="P2896" s="87" t="s">
        <v>372</v>
      </c>
    </row>
    <row r="2897" ht="15.75" customHeight="1">
      <c r="A2897" s="87" t="s">
        <v>8516</v>
      </c>
      <c r="B2897" s="88">
        <v>1.22E18</v>
      </c>
      <c r="C2897" s="87" t="s">
        <v>8517</v>
      </c>
      <c r="D2897" s="87" t="s">
        <v>262</v>
      </c>
      <c r="E2897" s="87" t="s">
        <v>267</v>
      </c>
      <c r="F2897" s="87" t="s">
        <v>1749</v>
      </c>
      <c r="H2897" s="93"/>
      <c r="I2897" s="87" t="s">
        <v>58</v>
      </c>
      <c r="J2897" s="87" t="s">
        <v>8518</v>
      </c>
      <c r="K2897" s="90">
        <v>0.0</v>
      </c>
      <c r="L2897" s="92"/>
      <c r="M2897" s="93"/>
      <c r="N2897" s="87" t="s">
        <v>8519</v>
      </c>
      <c r="O2897" s="87" t="s">
        <v>377</v>
      </c>
      <c r="P2897" s="87" t="s">
        <v>372</v>
      </c>
    </row>
    <row r="2898" ht="15.75" customHeight="1">
      <c r="A2898" s="87" t="s">
        <v>8520</v>
      </c>
      <c r="B2898" s="88">
        <v>1.22E18</v>
      </c>
      <c r="C2898" s="87" t="s">
        <v>8521</v>
      </c>
      <c r="D2898" s="87" t="s">
        <v>56</v>
      </c>
      <c r="E2898" s="87" t="s">
        <v>259</v>
      </c>
      <c r="F2898" s="87" t="s">
        <v>415</v>
      </c>
      <c r="G2898" s="93"/>
      <c r="H2898" s="93"/>
      <c r="I2898" s="87" t="s">
        <v>58</v>
      </c>
      <c r="J2898" s="87" t="s">
        <v>8522</v>
      </c>
      <c r="K2898" s="90">
        <v>0.0</v>
      </c>
      <c r="L2898" s="92"/>
      <c r="M2898" s="93"/>
      <c r="N2898" s="87" t="s">
        <v>5014</v>
      </c>
      <c r="O2898" s="87" t="s">
        <v>377</v>
      </c>
      <c r="P2898" s="87" t="s">
        <v>372</v>
      </c>
    </row>
    <row r="2899" ht="15.75" customHeight="1">
      <c r="A2899" s="87" t="s">
        <v>8523</v>
      </c>
      <c r="B2899" s="88">
        <v>1.22E18</v>
      </c>
      <c r="C2899" s="87" t="s">
        <v>8524</v>
      </c>
      <c r="D2899" s="87" t="s">
        <v>87</v>
      </c>
      <c r="E2899" s="87" t="s">
        <v>88</v>
      </c>
      <c r="F2899" s="87" t="s">
        <v>379</v>
      </c>
      <c r="G2899" s="93"/>
      <c r="H2899" s="93"/>
      <c r="I2899" s="87" t="s">
        <v>327</v>
      </c>
      <c r="J2899" s="87" t="s">
        <v>8525</v>
      </c>
      <c r="K2899" s="90">
        <v>60000.0</v>
      </c>
      <c r="L2899" s="92"/>
      <c r="M2899" s="93"/>
      <c r="N2899" s="87" t="s">
        <v>390</v>
      </c>
      <c r="O2899" s="87" t="s">
        <v>377</v>
      </c>
      <c r="P2899" s="87" t="s">
        <v>372</v>
      </c>
    </row>
    <row r="2900" ht="15.75" customHeight="1">
      <c r="A2900" s="87" t="s">
        <v>8526</v>
      </c>
      <c r="B2900" s="88">
        <v>1.22E18</v>
      </c>
      <c r="C2900" s="87" t="s">
        <v>8527</v>
      </c>
      <c r="D2900" s="87" t="s">
        <v>87</v>
      </c>
      <c r="E2900" s="87" t="s">
        <v>88</v>
      </c>
      <c r="F2900" s="87" t="s">
        <v>379</v>
      </c>
      <c r="G2900" s="93"/>
      <c r="H2900" s="93"/>
      <c r="I2900" s="87" t="s">
        <v>327</v>
      </c>
      <c r="J2900" s="87" t="s">
        <v>8528</v>
      </c>
      <c r="K2900" s="90">
        <v>50000.0</v>
      </c>
      <c r="L2900" s="92"/>
      <c r="M2900" s="93"/>
      <c r="N2900" s="87" t="s">
        <v>390</v>
      </c>
      <c r="O2900" s="87" t="s">
        <v>377</v>
      </c>
      <c r="P2900" s="87" t="s">
        <v>372</v>
      </c>
    </row>
    <row r="2901" ht="15.75" customHeight="1">
      <c r="A2901" s="87" t="s">
        <v>8529</v>
      </c>
      <c r="B2901" s="88">
        <v>1.22E18</v>
      </c>
      <c r="C2901" s="87" t="s">
        <v>8530</v>
      </c>
      <c r="D2901" s="87" t="s">
        <v>56</v>
      </c>
      <c r="E2901" s="87" t="s">
        <v>102</v>
      </c>
      <c r="F2901" s="87" t="s">
        <v>1763</v>
      </c>
      <c r="I2901" s="87" t="s">
        <v>58</v>
      </c>
      <c r="J2901" s="87" t="s">
        <v>8531</v>
      </c>
      <c r="K2901" s="90">
        <v>7000.0</v>
      </c>
      <c r="L2901" s="92"/>
      <c r="M2901" s="93"/>
      <c r="N2901" s="87" t="s">
        <v>5018</v>
      </c>
      <c r="O2901" s="87" t="s">
        <v>377</v>
      </c>
      <c r="P2901" s="87" t="s">
        <v>372</v>
      </c>
    </row>
    <row r="2902" ht="15.75" customHeight="1">
      <c r="A2902" s="87" t="s">
        <v>8532</v>
      </c>
      <c r="B2902" s="88">
        <v>1.22E18</v>
      </c>
      <c r="C2902" s="87" t="s">
        <v>8533</v>
      </c>
      <c r="D2902" s="87" t="s">
        <v>87</v>
      </c>
      <c r="E2902" s="87" t="s">
        <v>241</v>
      </c>
      <c r="F2902" s="87" t="s">
        <v>373</v>
      </c>
      <c r="H2902" s="93"/>
      <c r="I2902" s="87" t="s">
        <v>3984</v>
      </c>
      <c r="J2902" s="87" t="s">
        <v>6346</v>
      </c>
      <c r="K2902" s="90">
        <v>0.0</v>
      </c>
      <c r="L2902" s="92"/>
      <c r="M2902" s="93"/>
      <c r="N2902" s="87" t="s">
        <v>8534</v>
      </c>
      <c r="O2902" s="87" t="s">
        <v>377</v>
      </c>
      <c r="P2902" s="87" t="s">
        <v>372</v>
      </c>
    </row>
    <row r="2903" ht="15.75" customHeight="1">
      <c r="A2903" s="87" t="s">
        <v>8535</v>
      </c>
      <c r="B2903" s="88">
        <v>1.22E18</v>
      </c>
      <c r="C2903" s="87" t="s">
        <v>8536</v>
      </c>
      <c r="D2903" s="87" t="s">
        <v>87</v>
      </c>
      <c r="E2903" s="87" t="s">
        <v>88</v>
      </c>
      <c r="F2903" s="87" t="s">
        <v>8536</v>
      </c>
      <c r="I2903" s="87" t="s">
        <v>327</v>
      </c>
      <c r="J2903" s="87" t="s">
        <v>8537</v>
      </c>
      <c r="K2903" s="90">
        <v>0.0</v>
      </c>
      <c r="L2903" s="92"/>
      <c r="M2903" s="93"/>
      <c r="N2903" s="87" t="s">
        <v>2370</v>
      </c>
      <c r="O2903" s="87" t="s">
        <v>377</v>
      </c>
      <c r="P2903" s="87" t="s">
        <v>372</v>
      </c>
    </row>
    <row r="2904" ht="15.75" customHeight="1">
      <c r="A2904" s="87" t="s">
        <v>8538</v>
      </c>
      <c r="B2904" s="88">
        <v>1.22E18</v>
      </c>
      <c r="C2904" s="87" t="s">
        <v>8539</v>
      </c>
      <c r="D2904" s="87" t="s">
        <v>87</v>
      </c>
      <c r="E2904" s="87" t="s">
        <v>88</v>
      </c>
      <c r="F2904" s="87" t="s">
        <v>373</v>
      </c>
      <c r="H2904" s="93"/>
      <c r="I2904" s="87" t="s">
        <v>58</v>
      </c>
      <c r="J2904" s="87" t="s">
        <v>8540</v>
      </c>
      <c r="K2904" s="90">
        <v>0.0</v>
      </c>
      <c r="L2904" s="92"/>
      <c r="M2904" s="93"/>
      <c r="N2904" s="87" t="s">
        <v>2572</v>
      </c>
      <c r="O2904" s="87" t="s">
        <v>377</v>
      </c>
      <c r="P2904" s="87" t="s">
        <v>372</v>
      </c>
    </row>
    <row r="2905" ht="15.75" customHeight="1">
      <c r="A2905" s="87" t="s">
        <v>8541</v>
      </c>
      <c r="B2905" s="88">
        <v>1.22E18</v>
      </c>
      <c r="C2905" s="87" t="s">
        <v>8542</v>
      </c>
      <c r="D2905" s="87" t="s">
        <v>87</v>
      </c>
      <c r="E2905" s="87" t="s">
        <v>88</v>
      </c>
      <c r="F2905" s="87" t="s">
        <v>373</v>
      </c>
      <c r="H2905" s="93"/>
      <c r="I2905" s="87" t="s">
        <v>58</v>
      </c>
      <c r="J2905" s="87" t="s">
        <v>8540</v>
      </c>
      <c r="K2905" s="90">
        <v>0.0</v>
      </c>
      <c r="L2905" s="92"/>
      <c r="M2905" s="93"/>
      <c r="N2905" s="87" t="s">
        <v>2572</v>
      </c>
      <c r="O2905" s="87" t="s">
        <v>377</v>
      </c>
      <c r="P2905" s="87" t="s">
        <v>372</v>
      </c>
    </row>
    <row r="2906" ht="15.75" customHeight="1">
      <c r="A2906" s="87" t="s">
        <v>8543</v>
      </c>
      <c r="B2906" s="88">
        <v>1.22E18</v>
      </c>
      <c r="C2906" s="87" t="s">
        <v>8544</v>
      </c>
      <c r="D2906" s="87" t="s">
        <v>87</v>
      </c>
      <c r="E2906" s="87" t="s">
        <v>88</v>
      </c>
      <c r="F2906" s="87" t="s">
        <v>373</v>
      </c>
      <c r="H2906" s="93"/>
      <c r="I2906" s="87" t="s">
        <v>58</v>
      </c>
      <c r="J2906" s="87" t="s">
        <v>5718</v>
      </c>
      <c r="K2906" s="90">
        <v>0.0</v>
      </c>
      <c r="L2906" s="92"/>
      <c r="M2906" s="93"/>
      <c r="N2906" s="87" t="s">
        <v>2572</v>
      </c>
      <c r="O2906" s="87" t="s">
        <v>377</v>
      </c>
      <c r="P2906" s="87" t="s">
        <v>372</v>
      </c>
    </row>
    <row r="2907" ht="15.75" customHeight="1">
      <c r="A2907" s="87" t="s">
        <v>8545</v>
      </c>
      <c r="B2907" s="88">
        <v>1.22E18</v>
      </c>
      <c r="C2907" s="87" t="s">
        <v>8546</v>
      </c>
      <c r="D2907" s="87" t="s">
        <v>87</v>
      </c>
      <c r="E2907" s="87" t="s">
        <v>88</v>
      </c>
      <c r="F2907" s="87" t="s">
        <v>373</v>
      </c>
      <c r="H2907" s="93"/>
      <c r="I2907" s="87" t="s">
        <v>58</v>
      </c>
      <c r="J2907" s="87" t="s">
        <v>8540</v>
      </c>
      <c r="K2907" s="90">
        <v>0.0</v>
      </c>
      <c r="L2907" s="92"/>
      <c r="M2907" s="93"/>
      <c r="N2907" s="87" t="s">
        <v>2572</v>
      </c>
      <c r="O2907" s="87" t="s">
        <v>377</v>
      </c>
      <c r="P2907" s="87" t="s">
        <v>372</v>
      </c>
    </row>
    <row r="2908" ht="15.75" customHeight="1">
      <c r="A2908" s="87" t="s">
        <v>8547</v>
      </c>
      <c r="B2908" s="88">
        <v>1.22E18</v>
      </c>
      <c r="C2908" s="87" t="s">
        <v>8548</v>
      </c>
      <c r="D2908" s="87" t="s">
        <v>87</v>
      </c>
      <c r="E2908" s="87" t="s">
        <v>88</v>
      </c>
      <c r="F2908" s="87" t="s">
        <v>373</v>
      </c>
      <c r="H2908" s="93"/>
      <c r="I2908" s="87" t="s">
        <v>58</v>
      </c>
      <c r="J2908" s="87" t="s">
        <v>8540</v>
      </c>
      <c r="K2908" s="90">
        <v>0.0</v>
      </c>
      <c r="L2908" s="92"/>
      <c r="M2908" s="93"/>
      <c r="N2908" s="87" t="s">
        <v>2572</v>
      </c>
      <c r="O2908" s="87" t="s">
        <v>377</v>
      </c>
      <c r="P2908" s="87" t="s">
        <v>372</v>
      </c>
    </row>
    <row r="2909" ht="15.75" customHeight="1">
      <c r="A2909" s="87" t="s">
        <v>8549</v>
      </c>
      <c r="B2909" s="88">
        <v>1.22E18</v>
      </c>
      <c r="C2909" s="87" t="s">
        <v>8550</v>
      </c>
      <c r="D2909" s="87" t="s">
        <v>87</v>
      </c>
      <c r="E2909" s="87" t="s">
        <v>88</v>
      </c>
      <c r="F2909" s="87" t="s">
        <v>373</v>
      </c>
      <c r="H2909" s="93"/>
      <c r="I2909" s="87" t="s">
        <v>58</v>
      </c>
      <c r="J2909" s="87" t="s">
        <v>8540</v>
      </c>
      <c r="K2909" s="90">
        <v>0.0</v>
      </c>
      <c r="L2909" s="92"/>
      <c r="M2909" s="93"/>
      <c r="N2909" s="87" t="s">
        <v>2572</v>
      </c>
      <c r="O2909" s="87" t="s">
        <v>377</v>
      </c>
      <c r="P2909" s="87" t="s">
        <v>372</v>
      </c>
    </row>
    <row r="2910" ht="15.75" customHeight="1">
      <c r="A2910" s="87" t="s">
        <v>8551</v>
      </c>
      <c r="B2910" s="88">
        <v>1.22E18</v>
      </c>
      <c r="C2910" s="87" t="s">
        <v>8552</v>
      </c>
      <c r="D2910" s="87" t="s">
        <v>87</v>
      </c>
      <c r="E2910" s="87" t="s">
        <v>88</v>
      </c>
      <c r="F2910" s="87" t="s">
        <v>373</v>
      </c>
      <c r="H2910" s="93"/>
      <c r="I2910" s="87" t="s">
        <v>58</v>
      </c>
      <c r="J2910" s="87" t="s">
        <v>8553</v>
      </c>
      <c r="K2910" s="90">
        <v>0.0</v>
      </c>
      <c r="L2910" s="92"/>
      <c r="M2910" s="93"/>
      <c r="N2910" s="87" t="s">
        <v>2572</v>
      </c>
      <c r="O2910" s="87" t="s">
        <v>377</v>
      </c>
      <c r="P2910" s="87" t="s">
        <v>372</v>
      </c>
    </row>
    <row r="2911" ht="15.75" customHeight="1">
      <c r="A2911" s="87" t="s">
        <v>8554</v>
      </c>
      <c r="B2911" s="88">
        <v>1.22E18</v>
      </c>
      <c r="C2911" s="87" t="s">
        <v>8555</v>
      </c>
      <c r="D2911" s="87" t="s">
        <v>87</v>
      </c>
      <c r="E2911" s="87" t="s">
        <v>88</v>
      </c>
      <c r="F2911" s="87" t="s">
        <v>373</v>
      </c>
      <c r="H2911" s="93"/>
      <c r="I2911" s="87" t="s">
        <v>58</v>
      </c>
      <c r="J2911" s="87" t="s">
        <v>8540</v>
      </c>
      <c r="K2911" s="90">
        <v>0.0</v>
      </c>
      <c r="L2911" s="92"/>
      <c r="M2911" s="93"/>
      <c r="N2911" s="87" t="s">
        <v>2572</v>
      </c>
      <c r="O2911" s="87" t="s">
        <v>377</v>
      </c>
      <c r="P2911" s="87" t="s">
        <v>372</v>
      </c>
    </row>
    <row r="2912" ht="15.75" customHeight="1">
      <c r="A2912" s="87" t="s">
        <v>8556</v>
      </c>
      <c r="B2912" s="88">
        <v>1.22E18</v>
      </c>
      <c r="C2912" s="87" t="s">
        <v>8557</v>
      </c>
      <c r="D2912" s="87" t="s">
        <v>87</v>
      </c>
      <c r="E2912" s="87" t="s">
        <v>88</v>
      </c>
      <c r="F2912" s="87" t="s">
        <v>373</v>
      </c>
      <c r="H2912" s="93"/>
      <c r="I2912" s="87" t="s">
        <v>58</v>
      </c>
      <c r="J2912" s="87" t="s">
        <v>7840</v>
      </c>
      <c r="K2912" s="90">
        <v>0.0</v>
      </c>
      <c r="L2912" s="92"/>
      <c r="M2912" s="93"/>
      <c r="N2912" s="87" t="s">
        <v>2572</v>
      </c>
      <c r="O2912" s="87" t="s">
        <v>377</v>
      </c>
      <c r="P2912" s="87" t="s">
        <v>372</v>
      </c>
    </row>
    <row r="2913" ht="15.75" customHeight="1">
      <c r="A2913" s="87" t="s">
        <v>8558</v>
      </c>
      <c r="B2913" s="88">
        <v>1.22E18</v>
      </c>
      <c r="C2913" s="87" t="s">
        <v>8559</v>
      </c>
      <c r="D2913" s="87" t="s">
        <v>87</v>
      </c>
      <c r="E2913" s="87" t="s">
        <v>88</v>
      </c>
      <c r="F2913" s="87" t="s">
        <v>373</v>
      </c>
      <c r="H2913" s="93"/>
      <c r="I2913" s="87" t="s">
        <v>327</v>
      </c>
      <c r="J2913" s="87" t="s">
        <v>8560</v>
      </c>
      <c r="K2913" s="90">
        <v>500.0</v>
      </c>
      <c r="L2913" s="92"/>
      <c r="M2913" s="93"/>
      <c r="N2913" s="87" t="s">
        <v>4427</v>
      </c>
      <c r="O2913" s="87" t="s">
        <v>377</v>
      </c>
      <c r="P2913" s="87" t="s">
        <v>372</v>
      </c>
    </row>
    <row r="2914" ht="15.75" customHeight="1">
      <c r="A2914" s="87" t="s">
        <v>8561</v>
      </c>
      <c r="B2914" s="88">
        <v>1.22E18</v>
      </c>
      <c r="C2914" s="87" t="s">
        <v>8562</v>
      </c>
      <c r="D2914" s="87" t="s">
        <v>87</v>
      </c>
      <c r="E2914" s="87" t="s">
        <v>88</v>
      </c>
      <c r="F2914" s="87" t="s">
        <v>373</v>
      </c>
      <c r="H2914" s="93"/>
      <c r="I2914" s="87" t="s">
        <v>327</v>
      </c>
      <c r="J2914" s="87" t="s">
        <v>8563</v>
      </c>
      <c r="K2914" s="90">
        <v>0.0</v>
      </c>
      <c r="L2914" s="92"/>
      <c r="M2914" s="93"/>
      <c r="N2914" s="87" t="s">
        <v>4427</v>
      </c>
      <c r="O2914" s="87" t="s">
        <v>377</v>
      </c>
      <c r="P2914" s="87" t="s">
        <v>372</v>
      </c>
    </row>
    <row r="2915" ht="15.75" customHeight="1">
      <c r="A2915" s="87" t="s">
        <v>8564</v>
      </c>
      <c r="B2915" s="88">
        <v>1.22E18</v>
      </c>
      <c r="C2915" s="87" t="s">
        <v>8565</v>
      </c>
      <c r="D2915" s="87" t="s">
        <v>87</v>
      </c>
      <c r="E2915" s="87" t="s">
        <v>228</v>
      </c>
      <c r="F2915" s="87" t="s">
        <v>373</v>
      </c>
      <c r="H2915" s="93"/>
      <c r="I2915" s="87" t="s">
        <v>340</v>
      </c>
      <c r="J2915" s="87" t="s">
        <v>8566</v>
      </c>
      <c r="K2915" s="90">
        <v>0.0</v>
      </c>
      <c r="L2915" s="92"/>
      <c r="M2915" s="93"/>
      <c r="N2915" s="87" t="s">
        <v>8088</v>
      </c>
      <c r="O2915" s="87" t="s">
        <v>377</v>
      </c>
      <c r="P2915" s="87" t="s">
        <v>372</v>
      </c>
    </row>
    <row r="2916" ht="15.75" customHeight="1">
      <c r="A2916" s="87" t="s">
        <v>8567</v>
      </c>
      <c r="B2916" s="88">
        <v>1.22E18</v>
      </c>
      <c r="C2916" s="87" t="s">
        <v>8568</v>
      </c>
      <c r="D2916" s="87" t="s">
        <v>87</v>
      </c>
      <c r="E2916" s="87" t="s">
        <v>228</v>
      </c>
      <c r="F2916" s="87" t="s">
        <v>373</v>
      </c>
      <c r="H2916" s="93"/>
      <c r="I2916" s="87" t="s">
        <v>340</v>
      </c>
      <c r="J2916" s="87" t="s">
        <v>8566</v>
      </c>
      <c r="K2916" s="90">
        <v>0.0</v>
      </c>
      <c r="L2916" s="92"/>
      <c r="M2916" s="93"/>
      <c r="N2916" s="87" t="s">
        <v>8088</v>
      </c>
      <c r="O2916" s="87" t="s">
        <v>377</v>
      </c>
      <c r="P2916" s="87" t="s">
        <v>372</v>
      </c>
    </row>
    <row r="2917" ht="15.75" customHeight="1">
      <c r="A2917" s="87" t="s">
        <v>8569</v>
      </c>
      <c r="B2917" s="88">
        <v>1.22E18</v>
      </c>
      <c r="C2917" s="87" t="s">
        <v>8570</v>
      </c>
      <c r="D2917" s="87" t="s">
        <v>87</v>
      </c>
      <c r="E2917" s="87" t="s">
        <v>228</v>
      </c>
      <c r="F2917" s="87" t="s">
        <v>373</v>
      </c>
      <c r="H2917" s="93"/>
      <c r="I2917" s="87" t="s">
        <v>340</v>
      </c>
      <c r="J2917" s="87" t="s">
        <v>8566</v>
      </c>
      <c r="K2917" s="90">
        <v>0.0</v>
      </c>
      <c r="L2917" s="92"/>
      <c r="M2917" s="93"/>
      <c r="N2917" s="87" t="s">
        <v>8088</v>
      </c>
      <c r="O2917" s="87" t="s">
        <v>377</v>
      </c>
      <c r="P2917" s="87" t="s">
        <v>372</v>
      </c>
    </row>
    <row r="2918" ht="15.75" customHeight="1">
      <c r="A2918" s="87" t="s">
        <v>8571</v>
      </c>
      <c r="B2918" s="88">
        <v>1.22E18</v>
      </c>
      <c r="C2918" s="87" t="s">
        <v>8572</v>
      </c>
      <c r="D2918" s="87" t="s">
        <v>87</v>
      </c>
      <c r="E2918" s="87" t="s">
        <v>228</v>
      </c>
      <c r="F2918" s="87" t="s">
        <v>373</v>
      </c>
      <c r="H2918" s="93"/>
      <c r="I2918" s="87" t="s">
        <v>340</v>
      </c>
      <c r="J2918" s="87" t="s">
        <v>8573</v>
      </c>
      <c r="K2918" s="90">
        <v>0.0</v>
      </c>
      <c r="L2918" s="92"/>
      <c r="M2918" s="93"/>
      <c r="N2918" s="87" t="s">
        <v>8088</v>
      </c>
      <c r="O2918" s="87" t="s">
        <v>377</v>
      </c>
      <c r="P2918" s="87" t="s">
        <v>372</v>
      </c>
    </row>
    <row r="2919" ht="15.75" customHeight="1">
      <c r="A2919" s="87" t="s">
        <v>8574</v>
      </c>
      <c r="B2919" s="88">
        <v>1.22E18</v>
      </c>
      <c r="C2919" s="87" t="s">
        <v>8575</v>
      </c>
      <c r="D2919" s="87" t="s">
        <v>87</v>
      </c>
      <c r="E2919" s="87" t="s">
        <v>228</v>
      </c>
      <c r="F2919" s="87" t="s">
        <v>379</v>
      </c>
      <c r="G2919" s="93"/>
      <c r="H2919" s="93"/>
      <c r="I2919" s="87" t="s">
        <v>340</v>
      </c>
      <c r="J2919" s="87" t="s">
        <v>8576</v>
      </c>
      <c r="K2919" s="90">
        <v>9000.0</v>
      </c>
      <c r="L2919" s="92"/>
      <c r="M2919" s="93"/>
      <c r="N2919" s="87" t="s">
        <v>6725</v>
      </c>
      <c r="O2919" s="87" t="s">
        <v>377</v>
      </c>
      <c r="P2919" s="87" t="s">
        <v>372</v>
      </c>
    </row>
    <row r="2920" ht="15.75" customHeight="1">
      <c r="A2920" s="87" t="s">
        <v>8577</v>
      </c>
      <c r="B2920" s="88">
        <v>1.22E18</v>
      </c>
      <c r="C2920" s="87" t="s">
        <v>8578</v>
      </c>
      <c r="D2920" s="87" t="s">
        <v>87</v>
      </c>
      <c r="E2920" s="87" t="s">
        <v>228</v>
      </c>
      <c r="F2920" s="87" t="s">
        <v>379</v>
      </c>
      <c r="G2920" s="93"/>
      <c r="H2920" s="93"/>
      <c r="I2920" s="87" t="s">
        <v>340</v>
      </c>
      <c r="J2920" s="87" t="s">
        <v>8576</v>
      </c>
      <c r="K2920" s="90">
        <v>7000.0</v>
      </c>
      <c r="L2920" s="92"/>
      <c r="M2920" s="93"/>
      <c r="N2920" s="87" t="s">
        <v>6725</v>
      </c>
      <c r="O2920" s="87" t="s">
        <v>377</v>
      </c>
      <c r="P2920" s="87" t="s">
        <v>372</v>
      </c>
    </row>
    <row r="2921" ht="15.75" customHeight="1">
      <c r="A2921" s="87" t="s">
        <v>8579</v>
      </c>
      <c r="B2921" s="88">
        <v>1.22E18</v>
      </c>
      <c r="C2921" s="87" t="s">
        <v>8580</v>
      </c>
      <c r="D2921" s="87" t="s">
        <v>87</v>
      </c>
      <c r="E2921" s="87" t="s">
        <v>228</v>
      </c>
      <c r="F2921" s="87" t="s">
        <v>379</v>
      </c>
      <c r="G2921" s="93"/>
      <c r="H2921" s="93"/>
      <c r="I2921" s="87" t="s">
        <v>340</v>
      </c>
      <c r="J2921" s="87" t="s">
        <v>4007</v>
      </c>
      <c r="K2921" s="90">
        <v>2000.0</v>
      </c>
      <c r="L2921" s="92"/>
      <c r="M2921" s="93"/>
      <c r="N2921" s="87" t="s">
        <v>6725</v>
      </c>
      <c r="O2921" s="87" t="s">
        <v>377</v>
      </c>
      <c r="P2921" s="87" t="s">
        <v>372</v>
      </c>
    </row>
    <row r="2922" ht="15.75" customHeight="1">
      <c r="A2922" s="87" t="s">
        <v>8581</v>
      </c>
      <c r="B2922" s="88">
        <v>1.22E18</v>
      </c>
      <c r="C2922" s="87" t="s">
        <v>8582</v>
      </c>
      <c r="D2922" s="87" t="s">
        <v>87</v>
      </c>
      <c r="E2922" s="87" t="s">
        <v>88</v>
      </c>
      <c r="F2922" s="87" t="s">
        <v>373</v>
      </c>
      <c r="H2922" s="93"/>
      <c r="I2922" s="87" t="s">
        <v>315</v>
      </c>
      <c r="J2922" s="87" t="s">
        <v>8583</v>
      </c>
      <c r="K2922" s="90">
        <v>25000.0</v>
      </c>
      <c r="L2922" s="92"/>
      <c r="M2922" s="93"/>
      <c r="N2922" s="87" t="s">
        <v>8584</v>
      </c>
      <c r="O2922" s="87" t="s">
        <v>377</v>
      </c>
      <c r="P2922" s="87" t="s">
        <v>372</v>
      </c>
    </row>
    <row r="2923" ht="15.75" customHeight="1">
      <c r="A2923" s="87" t="s">
        <v>8585</v>
      </c>
      <c r="B2923" s="88">
        <v>1.22E18</v>
      </c>
      <c r="C2923" s="87" t="s">
        <v>8586</v>
      </c>
      <c r="D2923" s="87" t="s">
        <v>87</v>
      </c>
      <c r="E2923" s="87" t="s">
        <v>88</v>
      </c>
      <c r="F2923" s="87" t="s">
        <v>373</v>
      </c>
      <c r="H2923" s="93"/>
      <c r="I2923" s="87" t="s">
        <v>315</v>
      </c>
      <c r="J2923" s="87" t="s">
        <v>8587</v>
      </c>
      <c r="K2923" s="90">
        <v>25000.0</v>
      </c>
      <c r="L2923" s="92"/>
      <c r="M2923" s="93"/>
      <c r="N2923" s="87" t="s">
        <v>8584</v>
      </c>
      <c r="O2923" s="87" t="s">
        <v>377</v>
      </c>
      <c r="P2923" s="87" t="s">
        <v>372</v>
      </c>
    </row>
    <row r="2924" ht="15.75" customHeight="1">
      <c r="A2924" s="87" t="s">
        <v>8588</v>
      </c>
      <c r="B2924" s="88">
        <v>1.22E18</v>
      </c>
      <c r="C2924" s="87" t="s">
        <v>8589</v>
      </c>
      <c r="D2924" s="87" t="s">
        <v>87</v>
      </c>
      <c r="E2924" s="87" t="s">
        <v>88</v>
      </c>
      <c r="F2924" s="87" t="s">
        <v>373</v>
      </c>
      <c r="H2924" s="93"/>
      <c r="I2924" s="87" t="s">
        <v>327</v>
      </c>
      <c r="J2924" s="87" t="s">
        <v>8590</v>
      </c>
      <c r="K2924" s="90">
        <v>0.0</v>
      </c>
      <c r="L2924" s="92"/>
      <c r="M2924" s="93"/>
      <c r="N2924" s="87" t="s">
        <v>390</v>
      </c>
      <c r="O2924" s="87" t="s">
        <v>377</v>
      </c>
      <c r="P2924" s="87" t="s">
        <v>372</v>
      </c>
    </row>
    <row r="2925" ht="15.75" customHeight="1">
      <c r="A2925" s="87" t="s">
        <v>8591</v>
      </c>
      <c r="B2925" s="88">
        <v>1.22E18</v>
      </c>
      <c r="C2925" s="87" t="s">
        <v>8592</v>
      </c>
      <c r="D2925" s="87" t="s">
        <v>87</v>
      </c>
      <c r="E2925" s="87" t="s">
        <v>88</v>
      </c>
      <c r="F2925" s="87" t="s">
        <v>373</v>
      </c>
      <c r="H2925" s="93"/>
      <c r="I2925" s="87" t="s">
        <v>327</v>
      </c>
      <c r="J2925" s="87" t="s">
        <v>8593</v>
      </c>
      <c r="K2925" s="90">
        <v>0.0</v>
      </c>
      <c r="L2925" s="92"/>
      <c r="M2925" s="93"/>
      <c r="N2925" s="87" t="s">
        <v>390</v>
      </c>
      <c r="O2925" s="87" t="s">
        <v>377</v>
      </c>
      <c r="P2925" s="87" t="s">
        <v>372</v>
      </c>
    </row>
    <row r="2926" ht="15.75" customHeight="1">
      <c r="A2926" s="87" t="s">
        <v>8594</v>
      </c>
      <c r="B2926" s="88">
        <v>1.22E18</v>
      </c>
      <c r="C2926" s="87" t="s">
        <v>8595</v>
      </c>
      <c r="D2926" s="87" t="s">
        <v>87</v>
      </c>
      <c r="E2926" s="87" t="s">
        <v>88</v>
      </c>
      <c r="F2926" s="87" t="s">
        <v>373</v>
      </c>
      <c r="H2926" s="93"/>
      <c r="I2926" s="87" t="s">
        <v>315</v>
      </c>
      <c r="J2926" s="87" t="s">
        <v>8596</v>
      </c>
      <c r="K2926" s="90">
        <v>40000.0</v>
      </c>
      <c r="L2926" s="92"/>
      <c r="M2926" s="93"/>
      <c r="N2926" s="87" t="s">
        <v>390</v>
      </c>
      <c r="O2926" s="87" t="s">
        <v>377</v>
      </c>
      <c r="P2926" s="87" t="s">
        <v>372</v>
      </c>
    </row>
    <row r="2927" ht="15.75" customHeight="1">
      <c r="A2927" s="87" t="s">
        <v>8597</v>
      </c>
      <c r="B2927" s="88">
        <v>1.22E18</v>
      </c>
      <c r="C2927" s="87" t="s">
        <v>8598</v>
      </c>
      <c r="D2927" s="87" t="s">
        <v>56</v>
      </c>
      <c r="E2927" s="87" t="s">
        <v>59</v>
      </c>
      <c r="F2927" s="87" t="s">
        <v>8598</v>
      </c>
      <c r="H2927" s="93"/>
      <c r="I2927" s="87" t="s">
        <v>58</v>
      </c>
      <c r="J2927" s="87" t="s">
        <v>2431</v>
      </c>
      <c r="K2927" s="90">
        <v>0.0</v>
      </c>
      <c r="L2927" s="92"/>
      <c r="M2927" s="93"/>
      <c r="N2927" s="87" t="s">
        <v>2576</v>
      </c>
      <c r="O2927" s="87" t="s">
        <v>377</v>
      </c>
      <c r="P2927" s="87" t="s">
        <v>372</v>
      </c>
    </row>
    <row r="2928" ht="15.75" customHeight="1">
      <c r="A2928" s="87" t="s">
        <v>8599</v>
      </c>
      <c r="B2928" s="88">
        <v>1.22E18</v>
      </c>
      <c r="C2928" s="87" t="s">
        <v>8600</v>
      </c>
      <c r="D2928" s="87" t="s">
        <v>87</v>
      </c>
      <c r="E2928" s="87" t="s">
        <v>228</v>
      </c>
      <c r="F2928" s="87" t="s">
        <v>373</v>
      </c>
      <c r="H2928" s="93"/>
      <c r="I2928" s="87" t="s">
        <v>340</v>
      </c>
      <c r="J2928" s="87" t="s">
        <v>449</v>
      </c>
      <c r="K2928" s="90">
        <v>750.0</v>
      </c>
      <c r="L2928" s="92"/>
      <c r="M2928" s="93"/>
      <c r="N2928" s="93"/>
      <c r="O2928" s="87" t="s">
        <v>377</v>
      </c>
      <c r="P2928" s="87" t="s">
        <v>372</v>
      </c>
    </row>
    <row r="2929" ht="15.75" customHeight="1">
      <c r="A2929" s="87" t="s">
        <v>8601</v>
      </c>
      <c r="B2929" s="88">
        <v>1.22E18</v>
      </c>
      <c r="C2929" s="87" t="s">
        <v>8602</v>
      </c>
      <c r="D2929" s="87" t="s">
        <v>87</v>
      </c>
      <c r="E2929" s="87" t="s">
        <v>228</v>
      </c>
      <c r="F2929" s="87" t="s">
        <v>373</v>
      </c>
      <c r="H2929" s="93"/>
      <c r="I2929" s="87" t="s">
        <v>340</v>
      </c>
      <c r="J2929" s="87" t="s">
        <v>449</v>
      </c>
      <c r="K2929" s="90">
        <v>750.0</v>
      </c>
      <c r="L2929" s="92"/>
      <c r="M2929" s="93"/>
      <c r="N2929" s="87" t="s">
        <v>2483</v>
      </c>
      <c r="O2929" s="87" t="s">
        <v>377</v>
      </c>
      <c r="P2929" s="87" t="s">
        <v>372</v>
      </c>
    </row>
    <row r="2930" ht="15.75" customHeight="1">
      <c r="A2930" s="87" t="s">
        <v>8603</v>
      </c>
      <c r="B2930" s="88">
        <v>1.22E18</v>
      </c>
      <c r="C2930" s="87" t="s">
        <v>8604</v>
      </c>
      <c r="D2930" s="87" t="s">
        <v>262</v>
      </c>
      <c r="E2930" s="87" t="s">
        <v>263</v>
      </c>
      <c r="F2930" s="87" t="s">
        <v>415</v>
      </c>
      <c r="G2930" s="93"/>
      <c r="H2930" s="93"/>
      <c r="I2930" s="87" t="s">
        <v>58</v>
      </c>
      <c r="J2930" s="87" t="s">
        <v>3867</v>
      </c>
      <c r="K2930" s="90">
        <v>0.0</v>
      </c>
      <c r="L2930" s="92"/>
      <c r="M2930" s="93"/>
      <c r="N2930" s="87" t="s">
        <v>8605</v>
      </c>
      <c r="O2930" s="87" t="s">
        <v>377</v>
      </c>
      <c r="P2930" s="87" t="s">
        <v>372</v>
      </c>
    </row>
    <row r="2931" ht="15.75" customHeight="1">
      <c r="A2931" s="87" t="s">
        <v>8606</v>
      </c>
      <c r="B2931" s="88">
        <v>1.22E18</v>
      </c>
      <c r="C2931" s="87" t="s">
        <v>8607</v>
      </c>
      <c r="D2931" s="87" t="s">
        <v>87</v>
      </c>
      <c r="E2931" s="87" t="s">
        <v>228</v>
      </c>
      <c r="F2931" s="87" t="s">
        <v>8607</v>
      </c>
      <c r="I2931" s="87" t="s">
        <v>340</v>
      </c>
      <c r="J2931" s="87" t="s">
        <v>8608</v>
      </c>
      <c r="K2931" s="90">
        <v>920.0</v>
      </c>
      <c r="L2931" s="92"/>
      <c r="M2931" s="93"/>
      <c r="N2931" s="87" t="s">
        <v>617</v>
      </c>
      <c r="O2931" s="87" t="s">
        <v>377</v>
      </c>
      <c r="P2931" s="87" t="s">
        <v>372</v>
      </c>
    </row>
    <row r="2932" ht="15.75" customHeight="1">
      <c r="A2932" s="87" t="s">
        <v>8609</v>
      </c>
      <c r="B2932" s="88">
        <v>1.22E18</v>
      </c>
      <c r="C2932" s="87" t="s">
        <v>8610</v>
      </c>
      <c r="D2932" s="87" t="s">
        <v>56</v>
      </c>
      <c r="E2932" s="87" t="s">
        <v>248</v>
      </c>
      <c r="F2932" s="87" t="s">
        <v>2769</v>
      </c>
      <c r="G2932" s="93"/>
      <c r="H2932" s="93"/>
      <c r="I2932" s="87" t="s">
        <v>2365</v>
      </c>
      <c r="J2932" s="87" t="s">
        <v>8611</v>
      </c>
      <c r="K2932" s="90">
        <v>0.0</v>
      </c>
      <c r="L2932" s="92"/>
      <c r="M2932" s="93"/>
      <c r="N2932" s="93"/>
      <c r="O2932" s="87" t="s">
        <v>377</v>
      </c>
      <c r="P2932" s="87" t="s">
        <v>372</v>
      </c>
    </row>
    <row r="2933" ht="15.75" customHeight="1">
      <c r="A2933" s="87" t="s">
        <v>8612</v>
      </c>
      <c r="B2933" s="88">
        <v>1.22E18</v>
      </c>
      <c r="C2933" s="87" t="s">
        <v>8613</v>
      </c>
      <c r="D2933" s="87" t="s">
        <v>87</v>
      </c>
      <c r="E2933" s="87" t="s">
        <v>102</v>
      </c>
      <c r="F2933" s="87" t="s">
        <v>861</v>
      </c>
      <c r="G2933" s="93"/>
      <c r="H2933" s="93"/>
      <c r="I2933" s="87" t="s">
        <v>103</v>
      </c>
      <c r="J2933" s="87" t="s">
        <v>816</v>
      </c>
      <c r="K2933" s="90">
        <v>0.0</v>
      </c>
      <c r="L2933" s="92"/>
      <c r="M2933" s="93"/>
      <c r="N2933" s="87" t="s">
        <v>111</v>
      </c>
      <c r="O2933" s="87" t="s">
        <v>377</v>
      </c>
      <c r="P2933" s="87" t="s">
        <v>372</v>
      </c>
    </row>
    <row r="2934" ht="15.75" customHeight="1">
      <c r="A2934" s="87" t="s">
        <v>8614</v>
      </c>
      <c r="B2934" s="88">
        <v>1.22E18</v>
      </c>
      <c r="C2934" s="87" t="s">
        <v>8615</v>
      </c>
      <c r="D2934" s="87" t="s">
        <v>87</v>
      </c>
      <c r="E2934" s="87" t="s">
        <v>88</v>
      </c>
      <c r="F2934" s="87" t="s">
        <v>8615</v>
      </c>
      <c r="H2934" s="93"/>
      <c r="I2934" s="87" t="s">
        <v>315</v>
      </c>
      <c r="J2934" s="87" t="s">
        <v>449</v>
      </c>
      <c r="K2934" s="90">
        <v>0.0</v>
      </c>
      <c r="L2934" s="92"/>
      <c r="M2934" s="93"/>
      <c r="N2934" s="93"/>
      <c r="O2934" s="87" t="s">
        <v>377</v>
      </c>
      <c r="P2934" s="87" t="s">
        <v>372</v>
      </c>
    </row>
    <row r="2935" ht="15.75" customHeight="1">
      <c r="A2935" s="87" t="s">
        <v>8616</v>
      </c>
      <c r="B2935" s="88">
        <v>1.22E18</v>
      </c>
      <c r="C2935" s="87" t="s">
        <v>8617</v>
      </c>
      <c r="D2935" s="87" t="s">
        <v>87</v>
      </c>
      <c r="E2935" s="87" t="s">
        <v>88</v>
      </c>
      <c r="F2935" s="87" t="s">
        <v>861</v>
      </c>
      <c r="G2935" s="93"/>
      <c r="H2935" s="93"/>
      <c r="I2935" s="87" t="s">
        <v>58</v>
      </c>
      <c r="J2935" s="87" t="s">
        <v>4453</v>
      </c>
      <c r="K2935" s="90">
        <v>130.0</v>
      </c>
      <c r="L2935" s="92"/>
      <c r="M2935" s="93"/>
      <c r="N2935" s="87" t="s">
        <v>111</v>
      </c>
      <c r="O2935" s="87" t="s">
        <v>377</v>
      </c>
      <c r="P2935" s="87" t="s">
        <v>372</v>
      </c>
    </row>
    <row r="2936" ht="15.75" customHeight="1">
      <c r="A2936" s="87" t="s">
        <v>8618</v>
      </c>
      <c r="B2936" s="88">
        <v>1.22E18</v>
      </c>
      <c r="C2936" s="87" t="s">
        <v>8619</v>
      </c>
      <c r="D2936" s="87" t="s">
        <v>56</v>
      </c>
      <c r="E2936" s="87" t="s">
        <v>102</v>
      </c>
      <c r="F2936" s="87" t="s">
        <v>1763</v>
      </c>
      <c r="I2936" s="87" t="s">
        <v>8620</v>
      </c>
      <c r="J2936" s="87" t="s">
        <v>8621</v>
      </c>
      <c r="K2936" s="90">
        <v>0.0</v>
      </c>
      <c r="L2936" s="92"/>
      <c r="M2936" s="93"/>
      <c r="N2936" s="87" t="s">
        <v>8622</v>
      </c>
      <c r="O2936" s="87" t="s">
        <v>377</v>
      </c>
      <c r="P2936" s="87" t="s">
        <v>372</v>
      </c>
    </row>
    <row r="2937" ht="15.75" customHeight="1">
      <c r="A2937" s="87" t="s">
        <v>8623</v>
      </c>
      <c r="B2937" s="88">
        <v>1.22E18</v>
      </c>
      <c r="C2937" s="87" t="s">
        <v>8624</v>
      </c>
      <c r="D2937" s="87" t="s">
        <v>262</v>
      </c>
      <c r="E2937" s="87" t="s">
        <v>267</v>
      </c>
      <c r="F2937" s="87" t="s">
        <v>1749</v>
      </c>
      <c r="H2937" s="93"/>
      <c r="I2937" s="87" t="s">
        <v>58</v>
      </c>
      <c r="J2937" s="87" t="s">
        <v>8625</v>
      </c>
      <c r="K2937" s="90">
        <v>0.0</v>
      </c>
      <c r="L2937" s="92"/>
      <c r="M2937" s="93"/>
      <c r="N2937" s="87" t="s">
        <v>4379</v>
      </c>
      <c r="O2937" s="87" t="s">
        <v>377</v>
      </c>
      <c r="P2937" s="87" t="s">
        <v>372</v>
      </c>
    </row>
    <row r="2938" ht="15.75" customHeight="1">
      <c r="A2938" s="87" t="s">
        <v>8626</v>
      </c>
      <c r="B2938" s="88">
        <v>1.22E18</v>
      </c>
      <c r="C2938" s="87" t="s">
        <v>8627</v>
      </c>
      <c r="D2938" s="87" t="s">
        <v>262</v>
      </c>
      <c r="E2938" s="87" t="s">
        <v>267</v>
      </c>
      <c r="F2938" s="87" t="s">
        <v>1749</v>
      </c>
      <c r="H2938" s="93"/>
      <c r="I2938" s="87" t="s">
        <v>58</v>
      </c>
      <c r="J2938" s="87" t="s">
        <v>8628</v>
      </c>
      <c r="K2938" s="90">
        <v>0.0</v>
      </c>
      <c r="L2938" s="92"/>
      <c r="M2938" s="93"/>
      <c r="N2938" s="87" t="s">
        <v>4379</v>
      </c>
      <c r="O2938" s="87" t="s">
        <v>377</v>
      </c>
      <c r="P2938" s="87" t="s">
        <v>372</v>
      </c>
    </row>
    <row r="2939" ht="15.75" customHeight="1">
      <c r="A2939" s="87" t="s">
        <v>8629</v>
      </c>
      <c r="B2939" s="88">
        <v>1.22E18</v>
      </c>
      <c r="C2939" s="87" t="s">
        <v>8630</v>
      </c>
      <c r="D2939" s="87" t="s">
        <v>56</v>
      </c>
      <c r="E2939" s="87" t="s">
        <v>102</v>
      </c>
      <c r="F2939" s="87" t="s">
        <v>1763</v>
      </c>
      <c r="I2939" s="87" t="s">
        <v>5012</v>
      </c>
      <c r="J2939" s="87" t="s">
        <v>8631</v>
      </c>
      <c r="K2939" s="90">
        <v>0.0</v>
      </c>
      <c r="L2939" s="92"/>
      <c r="M2939" s="93"/>
      <c r="N2939" s="87" t="s">
        <v>1772</v>
      </c>
      <c r="O2939" s="87" t="s">
        <v>377</v>
      </c>
      <c r="P2939" s="87" t="s">
        <v>372</v>
      </c>
    </row>
    <row r="2940" ht="15.75" customHeight="1">
      <c r="A2940" s="87" t="s">
        <v>8632</v>
      </c>
      <c r="B2940" s="88">
        <v>1.22E18</v>
      </c>
      <c r="C2940" s="87" t="s">
        <v>8633</v>
      </c>
      <c r="D2940" s="87" t="s">
        <v>57</v>
      </c>
      <c r="E2940" s="87" t="s">
        <v>287</v>
      </c>
      <c r="F2940" s="87" t="s">
        <v>415</v>
      </c>
      <c r="G2940" s="93"/>
      <c r="H2940" s="93"/>
      <c r="I2940" s="87" t="s">
        <v>58</v>
      </c>
      <c r="J2940" s="87" t="s">
        <v>8634</v>
      </c>
      <c r="K2940" s="90">
        <v>2.0</v>
      </c>
      <c r="L2940" s="92"/>
      <c r="M2940" s="93"/>
      <c r="N2940" s="87" t="s">
        <v>1772</v>
      </c>
      <c r="O2940" s="87" t="s">
        <v>377</v>
      </c>
      <c r="P2940" s="87" t="s">
        <v>372</v>
      </c>
    </row>
    <row r="2941" ht="15.75" customHeight="1">
      <c r="A2941" s="87" t="s">
        <v>8635</v>
      </c>
      <c r="B2941" s="88">
        <v>1.22E18</v>
      </c>
      <c r="C2941" s="87" t="s">
        <v>8636</v>
      </c>
      <c r="D2941" s="87" t="s">
        <v>57</v>
      </c>
      <c r="E2941" s="87" t="s">
        <v>287</v>
      </c>
      <c r="F2941" s="87" t="s">
        <v>415</v>
      </c>
      <c r="G2941" s="93"/>
      <c r="H2941" s="93"/>
      <c r="I2941" s="87" t="s">
        <v>58</v>
      </c>
      <c r="J2941" s="87" t="s">
        <v>8637</v>
      </c>
      <c r="K2941" s="90">
        <v>0.0</v>
      </c>
      <c r="L2941" s="92"/>
      <c r="M2941" s="93"/>
      <c r="N2941" s="87" t="s">
        <v>1772</v>
      </c>
      <c r="O2941" s="87" t="s">
        <v>377</v>
      </c>
      <c r="P2941" s="87" t="s">
        <v>372</v>
      </c>
    </row>
    <row r="2942" ht="15.75" customHeight="1">
      <c r="A2942" s="87" t="s">
        <v>8638</v>
      </c>
      <c r="B2942" s="88">
        <v>1.22E18</v>
      </c>
      <c r="C2942" s="87" t="s">
        <v>8639</v>
      </c>
      <c r="D2942" s="87" t="s">
        <v>56</v>
      </c>
      <c r="E2942" s="87" t="s">
        <v>102</v>
      </c>
      <c r="F2942" s="87" t="s">
        <v>1763</v>
      </c>
      <c r="I2942" s="87" t="s">
        <v>58</v>
      </c>
      <c r="J2942" s="87" t="s">
        <v>8640</v>
      </c>
      <c r="K2942" s="90">
        <v>0.0</v>
      </c>
      <c r="L2942" s="92"/>
      <c r="M2942" s="93"/>
      <c r="N2942" s="87" t="s">
        <v>2835</v>
      </c>
      <c r="O2942" s="87" t="s">
        <v>377</v>
      </c>
      <c r="P2942" s="87" t="s">
        <v>372</v>
      </c>
    </row>
    <row r="2943" ht="15.75" customHeight="1">
      <c r="A2943" s="87" t="s">
        <v>8641</v>
      </c>
      <c r="B2943" s="88">
        <v>1.22E18</v>
      </c>
      <c r="C2943" s="87" t="s">
        <v>8642</v>
      </c>
      <c r="D2943" s="87" t="s">
        <v>262</v>
      </c>
      <c r="E2943" s="87" t="s">
        <v>278</v>
      </c>
      <c r="F2943" s="87" t="s">
        <v>8642</v>
      </c>
      <c r="I2943" s="87" t="s">
        <v>58</v>
      </c>
      <c r="J2943" s="87" t="s">
        <v>8643</v>
      </c>
      <c r="L2943" s="92"/>
      <c r="M2943" s="93"/>
      <c r="N2943" s="87" t="s">
        <v>8644</v>
      </c>
      <c r="O2943" s="87" t="s">
        <v>377</v>
      </c>
      <c r="P2943" s="87" t="s">
        <v>2565</v>
      </c>
    </row>
    <row r="2944" ht="15.75" customHeight="1">
      <c r="A2944" s="87" t="s">
        <v>8645</v>
      </c>
      <c r="B2944" s="88">
        <v>1.22E18</v>
      </c>
      <c r="C2944" s="87" t="s">
        <v>8646</v>
      </c>
      <c r="D2944" s="87" t="s">
        <v>87</v>
      </c>
      <c r="E2944" s="87" t="s">
        <v>88</v>
      </c>
      <c r="F2944" s="87" t="s">
        <v>373</v>
      </c>
      <c r="H2944" s="93"/>
      <c r="I2944" s="87" t="s">
        <v>315</v>
      </c>
      <c r="J2944" s="87" t="s">
        <v>8647</v>
      </c>
      <c r="K2944" s="90">
        <v>0.0</v>
      </c>
      <c r="L2944" s="92"/>
      <c r="M2944" s="93"/>
      <c r="N2944" s="87" t="s">
        <v>2572</v>
      </c>
      <c r="O2944" s="87" t="s">
        <v>377</v>
      </c>
      <c r="P2944" s="87" t="s">
        <v>372</v>
      </c>
    </row>
    <row r="2945" ht="15.75" customHeight="1">
      <c r="A2945" s="87" t="s">
        <v>8648</v>
      </c>
      <c r="B2945" s="88">
        <v>1.22E18</v>
      </c>
      <c r="C2945" s="87" t="s">
        <v>8649</v>
      </c>
      <c r="D2945" s="87" t="s">
        <v>87</v>
      </c>
      <c r="E2945" s="87" t="s">
        <v>88</v>
      </c>
      <c r="F2945" s="87" t="s">
        <v>373</v>
      </c>
      <c r="H2945" s="93"/>
      <c r="I2945" s="87" t="s">
        <v>327</v>
      </c>
      <c r="J2945" s="87" t="s">
        <v>8650</v>
      </c>
      <c r="K2945" s="90">
        <v>0.0</v>
      </c>
      <c r="L2945" s="92"/>
      <c r="M2945" s="93"/>
      <c r="N2945" s="87" t="s">
        <v>2572</v>
      </c>
      <c r="O2945" s="87" t="s">
        <v>377</v>
      </c>
      <c r="P2945" s="87" t="s">
        <v>372</v>
      </c>
    </row>
    <row r="2946" ht="15.75" customHeight="1">
      <c r="A2946" s="87" t="s">
        <v>8651</v>
      </c>
      <c r="B2946" s="88">
        <v>1.22E18</v>
      </c>
      <c r="C2946" s="87" t="s">
        <v>8652</v>
      </c>
      <c r="D2946" s="87" t="s">
        <v>87</v>
      </c>
      <c r="E2946" s="87" t="s">
        <v>88</v>
      </c>
      <c r="F2946" s="87" t="s">
        <v>373</v>
      </c>
      <c r="H2946" s="93"/>
      <c r="I2946" s="87" t="s">
        <v>340</v>
      </c>
      <c r="J2946" s="87" t="s">
        <v>8653</v>
      </c>
      <c r="K2946" s="90">
        <v>0.0</v>
      </c>
      <c r="L2946" s="92"/>
      <c r="M2946" s="93"/>
      <c r="N2946" s="87" t="s">
        <v>2572</v>
      </c>
      <c r="O2946" s="87" t="s">
        <v>377</v>
      </c>
      <c r="P2946" s="87" t="s">
        <v>372</v>
      </c>
    </row>
    <row r="2947" ht="15.75" customHeight="1">
      <c r="A2947" s="87" t="s">
        <v>8654</v>
      </c>
      <c r="B2947" s="88">
        <v>1.22E18</v>
      </c>
      <c r="C2947" s="87" t="s">
        <v>8655</v>
      </c>
      <c r="D2947" s="87" t="s">
        <v>87</v>
      </c>
      <c r="E2947" s="87" t="s">
        <v>88</v>
      </c>
      <c r="F2947" s="87" t="s">
        <v>373</v>
      </c>
      <c r="H2947" s="93"/>
      <c r="I2947" s="87" t="s">
        <v>327</v>
      </c>
      <c r="J2947" s="87" t="s">
        <v>8656</v>
      </c>
      <c r="K2947" s="90">
        <v>0.0</v>
      </c>
      <c r="L2947" s="92"/>
      <c r="M2947" s="93"/>
      <c r="N2947" s="87" t="s">
        <v>2572</v>
      </c>
      <c r="O2947" s="87" t="s">
        <v>377</v>
      </c>
      <c r="P2947" s="87" t="s">
        <v>372</v>
      </c>
    </row>
    <row r="2948" ht="15.75" customHeight="1">
      <c r="A2948" s="87" t="s">
        <v>8657</v>
      </c>
      <c r="B2948" s="88">
        <v>1.22E18</v>
      </c>
      <c r="C2948" s="87" t="s">
        <v>8658</v>
      </c>
      <c r="D2948" s="87" t="s">
        <v>87</v>
      </c>
      <c r="E2948" s="87" t="s">
        <v>88</v>
      </c>
      <c r="F2948" s="87" t="s">
        <v>373</v>
      </c>
      <c r="H2948" s="93"/>
      <c r="I2948" s="87" t="s">
        <v>340</v>
      </c>
      <c r="J2948" s="87" t="s">
        <v>8659</v>
      </c>
      <c r="K2948" s="90">
        <v>0.0</v>
      </c>
      <c r="L2948" s="92"/>
      <c r="M2948" s="93"/>
      <c r="N2948" s="87" t="s">
        <v>2572</v>
      </c>
      <c r="O2948" s="87" t="s">
        <v>377</v>
      </c>
      <c r="P2948" s="87" t="s">
        <v>372</v>
      </c>
    </row>
    <row r="2949" ht="15.75" customHeight="1">
      <c r="A2949" s="87" t="s">
        <v>8660</v>
      </c>
      <c r="B2949" s="88">
        <v>1.22E18</v>
      </c>
      <c r="C2949" s="87" t="s">
        <v>8661</v>
      </c>
      <c r="D2949" s="87" t="s">
        <v>87</v>
      </c>
      <c r="E2949" s="87" t="s">
        <v>88</v>
      </c>
      <c r="F2949" s="87" t="s">
        <v>373</v>
      </c>
      <c r="H2949" s="93"/>
      <c r="I2949" s="87" t="s">
        <v>327</v>
      </c>
      <c r="J2949" s="87" t="s">
        <v>8662</v>
      </c>
      <c r="K2949" s="90">
        <v>0.0</v>
      </c>
      <c r="L2949" s="92"/>
      <c r="M2949" s="93"/>
      <c r="N2949" s="87" t="s">
        <v>2572</v>
      </c>
      <c r="O2949" s="87" t="s">
        <v>377</v>
      </c>
      <c r="P2949" s="87" t="s">
        <v>372</v>
      </c>
    </row>
    <row r="2950" ht="15.75" customHeight="1">
      <c r="A2950" s="87" t="s">
        <v>8663</v>
      </c>
      <c r="B2950" s="88">
        <v>1.22E18</v>
      </c>
      <c r="C2950" s="87" t="s">
        <v>8664</v>
      </c>
      <c r="D2950" s="87" t="s">
        <v>87</v>
      </c>
      <c r="E2950" s="87" t="s">
        <v>88</v>
      </c>
      <c r="F2950" s="87" t="s">
        <v>373</v>
      </c>
      <c r="H2950" s="93"/>
      <c r="I2950" s="87" t="s">
        <v>327</v>
      </c>
      <c r="J2950" s="87" t="s">
        <v>8665</v>
      </c>
      <c r="K2950" s="90">
        <v>0.0</v>
      </c>
      <c r="L2950" s="92"/>
      <c r="M2950" s="93"/>
      <c r="N2950" s="87" t="s">
        <v>2572</v>
      </c>
      <c r="O2950" s="87" t="s">
        <v>377</v>
      </c>
      <c r="P2950" s="87" t="s">
        <v>372</v>
      </c>
    </row>
    <row r="2951" ht="15.75" customHeight="1">
      <c r="A2951" s="87" t="s">
        <v>8666</v>
      </c>
      <c r="B2951" s="88">
        <v>1.22E18</v>
      </c>
      <c r="C2951" s="87" t="s">
        <v>8667</v>
      </c>
      <c r="D2951" s="87" t="s">
        <v>87</v>
      </c>
      <c r="E2951" s="87" t="s">
        <v>88</v>
      </c>
      <c r="F2951" s="87" t="s">
        <v>373</v>
      </c>
      <c r="H2951" s="93"/>
      <c r="I2951" s="87" t="s">
        <v>340</v>
      </c>
      <c r="J2951" s="87" t="s">
        <v>8668</v>
      </c>
      <c r="K2951" s="90">
        <v>0.0</v>
      </c>
      <c r="L2951" s="92"/>
      <c r="M2951" s="93"/>
      <c r="N2951" s="87" t="s">
        <v>2572</v>
      </c>
      <c r="O2951" s="87" t="s">
        <v>377</v>
      </c>
      <c r="P2951" s="87" t="s">
        <v>372</v>
      </c>
    </row>
    <row r="2952" ht="15.75" customHeight="1">
      <c r="A2952" s="87" t="s">
        <v>8669</v>
      </c>
      <c r="B2952" s="88">
        <v>1.22E18</v>
      </c>
      <c r="C2952" s="87" t="s">
        <v>8670</v>
      </c>
      <c r="D2952" s="87" t="s">
        <v>87</v>
      </c>
      <c r="E2952" s="87" t="s">
        <v>88</v>
      </c>
      <c r="F2952" s="87" t="s">
        <v>373</v>
      </c>
      <c r="H2952" s="93"/>
      <c r="I2952" s="87" t="s">
        <v>340</v>
      </c>
      <c r="J2952" s="87" t="s">
        <v>8671</v>
      </c>
      <c r="K2952" s="90">
        <v>0.0</v>
      </c>
      <c r="L2952" s="92"/>
      <c r="M2952" s="93"/>
      <c r="N2952" s="87" t="s">
        <v>2572</v>
      </c>
      <c r="O2952" s="87" t="s">
        <v>377</v>
      </c>
      <c r="P2952" s="87" t="s">
        <v>372</v>
      </c>
    </row>
    <row r="2953" ht="15.75" customHeight="1">
      <c r="A2953" s="87" t="s">
        <v>8672</v>
      </c>
      <c r="B2953" s="88">
        <v>1.22E18</v>
      </c>
      <c r="C2953" s="87" t="s">
        <v>8673</v>
      </c>
      <c r="D2953" s="87" t="s">
        <v>87</v>
      </c>
      <c r="E2953" s="87" t="s">
        <v>88</v>
      </c>
      <c r="F2953" s="87" t="s">
        <v>373</v>
      </c>
      <c r="H2953" s="93"/>
      <c r="I2953" s="87" t="s">
        <v>327</v>
      </c>
      <c r="J2953" s="87" t="s">
        <v>8674</v>
      </c>
      <c r="K2953" s="90">
        <v>0.0</v>
      </c>
      <c r="L2953" s="92"/>
      <c r="M2953" s="93"/>
      <c r="N2953" s="87" t="s">
        <v>2572</v>
      </c>
      <c r="O2953" s="87" t="s">
        <v>377</v>
      </c>
      <c r="P2953" s="87" t="s">
        <v>372</v>
      </c>
    </row>
    <row r="2954" ht="15.75" customHeight="1">
      <c r="A2954" s="87" t="s">
        <v>8675</v>
      </c>
      <c r="B2954" s="88">
        <v>1.22E18</v>
      </c>
      <c r="C2954" s="87" t="s">
        <v>8676</v>
      </c>
      <c r="D2954" s="87" t="s">
        <v>87</v>
      </c>
      <c r="E2954" s="87" t="s">
        <v>88</v>
      </c>
      <c r="F2954" s="87" t="s">
        <v>373</v>
      </c>
      <c r="H2954" s="93"/>
      <c r="I2954" s="87" t="s">
        <v>327</v>
      </c>
      <c r="J2954" s="87" t="s">
        <v>8677</v>
      </c>
      <c r="K2954" s="90">
        <v>0.0</v>
      </c>
      <c r="L2954" s="92"/>
      <c r="M2954" s="93"/>
      <c r="N2954" s="87" t="s">
        <v>2572</v>
      </c>
      <c r="O2954" s="87" t="s">
        <v>377</v>
      </c>
      <c r="P2954" s="87" t="s">
        <v>372</v>
      </c>
    </row>
    <row r="2955" ht="15.75" customHeight="1">
      <c r="A2955" s="87" t="s">
        <v>8678</v>
      </c>
      <c r="B2955" s="88">
        <v>1.22E18</v>
      </c>
      <c r="C2955" s="87" t="s">
        <v>8679</v>
      </c>
      <c r="D2955" s="87" t="s">
        <v>87</v>
      </c>
      <c r="E2955" s="87" t="s">
        <v>88</v>
      </c>
      <c r="F2955" s="87" t="s">
        <v>373</v>
      </c>
      <c r="H2955" s="93"/>
      <c r="I2955" s="87" t="s">
        <v>327</v>
      </c>
      <c r="J2955" s="87" t="s">
        <v>8680</v>
      </c>
      <c r="K2955" s="90">
        <v>0.0</v>
      </c>
      <c r="L2955" s="92"/>
      <c r="M2955" s="93"/>
      <c r="N2955" s="87" t="s">
        <v>2572</v>
      </c>
      <c r="O2955" s="87" t="s">
        <v>377</v>
      </c>
      <c r="P2955" s="87" t="s">
        <v>372</v>
      </c>
    </row>
    <row r="2956" ht="15.75" customHeight="1">
      <c r="A2956" s="87" t="s">
        <v>8681</v>
      </c>
      <c r="B2956" s="88">
        <v>1.22E18</v>
      </c>
      <c r="C2956" s="87" t="s">
        <v>8682</v>
      </c>
      <c r="D2956" s="87" t="s">
        <v>87</v>
      </c>
      <c r="E2956" s="87" t="s">
        <v>88</v>
      </c>
      <c r="F2956" s="87" t="s">
        <v>373</v>
      </c>
      <c r="H2956" s="93"/>
      <c r="I2956" s="87" t="s">
        <v>340</v>
      </c>
      <c r="J2956" s="87" t="s">
        <v>8683</v>
      </c>
      <c r="K2956" s="90">
        <v>0.0</v>
      </c>
      <c r="L2956" s="92"/>
      <c r="M2956" s="93"/>
      <c r="N2956" s="87" t="s">
        <v>2572</v>
      </c>
      <c r="O2956" s="87" t="s">
        <v>377</v>
      </c>
      <c r="P2956" s="87" t="s">
        <v>372</v>
      </c>
    </row>
    <row r="2957" ht="15.75" customHeight="1">
      <c r="A2957" s="87" t="s">
        <v>8684</v>
      </c>
      <c r="B2957" s="88">
        <v>1.22E18</v>
      </c>
      <c r="C2957" s="87" t="s">
        <v>8685</v>
      </c>
      <c r="D2957" s="87" t="s">
        <v>87</v>
      </c>
      <c r="E2957" s="87" t="s">
        <v>88</v>
      </c>
      <c r="F2957" s="87" t="s">
        <v>373</v>
      </c>
      <c r="H2957" s="93"/>
      <c r="I2957" s="87" t="s">
        <v>327</v>
      </c>
      <c r="J2957" s="87" t="s">
        <v>8686</v>
      </c>
      <c r="K2957" s="90">
        <v>0.0</v>
      </c>
      <c r="L2957" s="92"/>
      <c r="M2957" s="93"/>
      <c r="N2957" s="87" t="s">
        <v>2572</v>
      </c>
      <c r="O2957" s="87" t="s">
        <v>377</v>
      </c>
      <c r="P2957" s="87" t="s">
        <v>372</v>
      </c>
    </row>
    <row r="2958" ht="15.75" customHeight="1">
      <c r="A2958" s="87" t="s">
        <v>8687</v>
      </c>
      <c r="B2958" s="88">
        <v>1.22E18</v>
      </c>
      <c r="C2958" s="87" t="s">
        <v>8688</v>
      </c>
      <c r="D2958" s="87" t="s">
        <v>87</v>
      </c>
      <c r="E2958" s="87" t="s">
        <v>88</v>
      </c>
      <c r="F2958" s="87" t="s">
        <v>373</v>
      </c>
      <c r="H2958" s="93"/>
      <c r="I2958" s="87" t="s">
        <v>340</v>
      </c>
      <c r="J2958" s="87" t="s">
        <v>8689</v>
      </c>
      <c r="K2958" s="90">
        <v>0.0</v>
      </c>
      <c r="L2958" s="92"/>
      <c r="M2958" s="93"/>
      <c r="N2958" s="87" t="s">
        <v>2572</v>
      </c>
      <c r="O2958" s="87" t="s">
        <v>377</v>
      </c>
      <c r="P2958" s="87" t="s">
        <v>372</v>
      </c>
    </row>
    <row r="2959" ht="15.75" customHeight="1">
      <c r="A2959" s="87" t="s">
        <v>8690</v>
      </c>
      <c r="B2959" s="88">
        <v>1.22E18</v>
      </c>
      <c r="C2959" s="87" t="s">
        <v>8691</v>
      </c>
      <c r="D2959" s="87" t="s">
        <v>87</v>
      </c>
      <c r="E2959" s="87" t="s">
        <v>88</v>
      </c>
      <c r="F2959" s="87" t="s">
        <v>373</v>
      </c>
      <c r="H2959" s="93"/>
      <c r="I2959" s="87" t="s">
        <v>327</v>
      </c>
      <c r="J2959" s="87" t="s">
        <v>8692</v>
      </c>
      <c r="K2959" s="90">
        <v>0.0</v>
      </c>
      <c r="L2959" s="92"/>
      <c r="M2959" s="93"/>
      <c r="N2959" s="87" t="s">
        <v>2572</v>
      </c>
      <c r="O2959" s="87" t="s">
        <v>377</v>
      </c>
      <c r="P2959" s="87" t="s">
        <v>372</v>
      </c>
    </row>
    <row r="2960" ht="15.75" customHeight="1">
      <c r="A2960" s="87" t="s">
        <v>8693</v>
      </c>
      <c r="B2960" s="88">
        <v>1.22E18</v>
      </c>
      <c r="C2960" s="87" t="s">
        <v>8694</v>
      </c>
      <c r="D2960" s="87" t="s">
        <v>87</v>
      </c>
      <c r="E2960" s="87" t="s">
        <v>88</v>
      </c>
      <c r="F2960" s="87" t="s">
        <v>373</v>
      </c>
      <c r="H2960" s="93"/>
      <c r="I2960" s="87" t="s">
        <v>340</v>
      </c>
      <c r="J2960" s="87" t="s">
        <v>8695</v>
      </c>
      <c r="K2960" s="90">
        <v>0.0</v>
      </c>
      <c r="L2960" s="92"/>
      <c r="M2960" s="93"/>
      <c r="N2960" s="87" t="s">
        <v>2572</v>
      </c>
      <c r="O2960" s="87" t="s">
        <v>377</v>
      </c>
      <c r="P2960" s="87" t="s">
        <v>372</v>
      </c>
    </row>
    <row r="2961" ht="15.75" customHeight="1">
      <c r="A2961" s="87" t="s">
        <v>8696</v>
      </c>
      <c r="B2961" s="88">
        <v>1.22E18</v>
      </c>
      <c r="C2961" s="87" t="s">
        <v>8697</v>
      </c>
      <c r="D2961" s="87" t="s">
        <v>262</v>
      </c>
      <c r="E2961" s="87" t="s">
        <v>263</v>
      </c>
      <c r="F2961" s="87" t="s">
        <v>415</v>
      </c>
      <c r="G2961" s="93"/>
      <c r="H2961" s="93"/>
      <c r="I2961" s="87" t="s">
        <v>5012</v>
      </c>
      <c r="J2961" s="87" t="s">
        <v>8698</v>
      </c>
      <c r="K2961" s="90">
        <v>1.0</v>
      </c>
      <c r="L2961" s="92"/>
      <c r="M2961" s="93"/>
      <c r="N2961" s="87" t="s">
        <v>1772</v>
      </c>
      <c r="O2961" s="87" t="s">
        <v>377</v>
      </c>
      <c r="P2961" s="87" t="s">
        <v>372</v>
      </c>
    </row>
    <row r="2962" ht="15.75" customHeight="1">
      <c r="A2962" s="87" t="s">
        <v>8699</v>
      </c>
      <c r="B2962" s="88">
        <v>1.22E18</v>
      </c>
      <c r="C2962" s="87" t="s">
        <v>8700</v>
      </c>
      <c r="D2962" s="87" t="s">
        <v>56</v>
      </c>
      <c r="E2962" s="87" t="s">
        <v>248</v>
      </c>
      <c r="F2962" s="87" t="s">
        <v>2769</v>
      </c>
      <c r="G2962" s="93"/>
      <c r="H2962" s="93"/>
      <c r="I2962" s="87" t="s">
        <v>58</v>
      </c>
      <c r="J2962" s="87" t="s">
        <v>7132</v>
      </c>
      <c r="K2962" s="90">
        <v>528.0</v>
      </c>
      <c r="L2962" s="92"/>
      <c r="M2962" s="93"/>
      <c r="N2962" s="87" t="s">
        <v>8701</v>
      </c>
      <c r="O2962" s="87" t="s">
        <v>377</v>
      </c>
      <c r="P2962" s="87" t="s">
        <v>372</v>
      </c>
    </row>
    <row r="2963" ht="15.75" customHeight="1">
      <c r="A2963" s="87" t="s">
        <v>8702</v>
      </c>
      <c r="B2963" s="88">
        <v>1.22E18</v>
      </c>
      <c r="C2963" s="87" t="s">
        <v>8703</v>
      </c>
      <c r="D2963" s="87" t="s">
        <v>262</v>
      </c>
      <c r="E2963" s="87" t="s">
        <v>267</v>
      </c>
      <c r="F2963" s="87" t="s">
        <v>1749</v>
      </c>
      <c r="H2963" s="93"/>
      <c r="I2963" s="87" t="s">
        <v>58</v>
      </c>
      <c r="J2963" s="87" t="s">
        <v>3285</v>
      </c>
      <c r="K2963" s="90">
        <v>0.0</v>
      </c>
      <c r="L2963" s="92"/>
      <c r="M2963" s="93"/>
      <c r="N2963" s="87" t="s">
        <v>1772</v>
      </c>
      <c r="O2963" s="87" t="s">
        <v>377</v>
      </c>
      <c r="P2963" s="87" t="s">
        <v>372</v>
      </c>
    </row>
    <row r="2964" ht="15.75" customHeight="1">
      <c r="A2964" s="87" t="s">
        <v>8704</v>
      </c>
      <c r="B2964" s="88">
        <v>1.22E18</v>
      </c>
      <c r="C2964" s="87" t="s">
        <v>8705</v>
      </c>
      <c r="D2964" s="87" t="s">
        <v>56</v>
      </c>
      <c r="E2964" s="87" t="s">
        <v>102</v>
      </c>
      <c r="F2964" s="87" t="s">
        <v>1763</v>
      </c>
      <c r="I2964" s="87" t="s">
        <v>58</v>
      </c>
      <c r="J2964" s="87" t="s">
        <v>8706</v>
      </c>
      <c r="K2964" s="90">
        <v>0.0</v>
      </c>
      <c r="L2964" s="92"/>
      <c r="M2964" s="93"/>
      <c r="N2964" s="87" t="s">
        <v>1772</v>
      </c>
      <c r="O2964" s="87" t="s">
        <v>377</v>
      </c>
      <c r="P2964" s="87" t="s">
        <v>372</v>
      </c>
    </row>
    <row r="2965" ht="15.75" customHeight="1">
      <c r="A2965" s="87" t="s">
        <v>8707</v>
      </c>
      <c r="B2965" s="88">
        <v>1.22E18</v>
      </c>
      <c r="C2965" s="87" t="s">
        <v>8708</v>
      </c>
      <c r="D2965" s="87" t="s">
        <v>57</v>
      </c>
      <c r="E2965" s="87" t="s">
        <v>287</v>
      </c>
      <c r="F2965" s="87" t="s">
        <v>1749</v>
      </c>
      <c r="H2965" s="93"/>
      <c r="I2965" s="87" t="s">
        <v>58</v>
      </c>
      <c r="J2965" s="87" t="s">
        <v>8709</v>
      </c>
      <c r="K2965" s="90">
        <v>0.0</v>
      </c>
      <c r="L2965" s="92"/>
      <c r="M2965" s="93"/>
      <c r="N2965" s="87" t="s">
        <v>1772</v>
      </c>
      <c r="O2965" s="87" t="s">
        <v>377</v>
      </c>
      <c r="P2965" s="87" t="s">
        <v>372</v>
      </c>
    </row>
    <row r="2966" ht="15.75" customHeight="1">
      <c r="A2966" s="87" t="s">
        <v>8710</v>
      </c>
      <c r="B2966" s="88">
        <v>1.22E18</v>
      </c>
      <c r="C2966" s="87" t="s">
        <v>8711</v>
      </c>
      <c r="D2966" s="87" t="s">
        <v>56</v>
      </c>
      <c r="E2966" s="87" t="s">
        <v>248</v>
      </c>
      <c r="F2966" s="87" t="s">
        <v>1763</v>
      </c>
      <c r="I2966" s="87" t="s">
        <v>58</v>
      </c>
      <c r="J2966" s="87" t="s">
        <v>4962</v>
      </c>
      <c r="K2966" s="90">
        <v>0.0</v>
      </c>
      <c r="L2966" s="92"/>
      <c r="M2966" s="93"/>
      <c r="N2966" s="87" t="s">
        <v>1772</v>
      </c>
      <c r="O2966" s="87" t="s">
        <v>377</v>
      </c>
      <c r="P2966" s="87" t="s">
        <v>372</v>
      </c>
    </row>
    <row r="2967" ht="15.75" customHeight="1">
      <c r="A2967" s="87" t="s">
        <v>8712</v>
      </c>
      <c r="B2967" s="88">
        <v>1.22E18</v>
      </c>
      <c r="C2967" s="87" t="s">
        <v>8713</v>
      </c>
      <c r="D2967" s="87" t="s">
        <v>57</v>
      </c>
      <c r="E2967" s="87" t="s">
        <v>287</v>
      </c>
      <c r="F2967" s="87" t="s">
        <v>415</v>
      </c>
      <c r="G2967" s="93"/>
      <c r="H2967" s="93"/>
      <c r="I2967" s="87" t="s">
        <v>58</v>
      </c>
      <c r="J2967" s="87" t="s">
        <v>8714</v>
      </c>
      <c r="K2967" s="90">
        <v>1.0</v>
      </c>
      <c r="L2967" s="92"/>
      <c r="M2967" s="93"/>
      <c r="N2967" s="87" t="s">
        <v>1772</v>
      </c>
      <c r="O2967" s="87" t="s">
        <v>377</v>
      </c>
      <c r="P2967" s="87" t="s">
        <v>372</v>
      </c>
    </row>
    <row r="2968" ht="15.75" customHeight="1">
      <c r="A2968" s="87" t="s">
        <v>8715</v>
      </c>
      <c r="B2968" s="88">
        <v>1.22E18</v>
      </c>
      <c r="C2968" s="87" t="s">
        <v>8716</v>
      </c>
      <c r="D2968" s="87" t="s">
        <v>57</v>
      </c>
      <c r="E2968" s="87" t="s">
        <v>287</v>
      </c>
      <c r="F2968" s="87" t="s">
        <v>415</v>
      </c>
      <c r="G2968" s="93"/>
      <c r="H2968" s="93"/>
      <c r="I2968" s="87" t="s">
        <v>58</v>
      </c>
      <c r="J2968" s="87" t="s">
        <v>5372</v>
      </c>
      <c r="K2968" s="90">
        <v>1.0</v>
      </c>
      <c r="L2968" s="92"/>
      <c r="M2968" s="93"/>
      <c r="N2968" s="87" t="s">
        <v>1772</v>
      </c>
      <c r="O2968" s="87" t="s">
        <v>377</v>
      </c>
      <c r="P2968" s="87" t="s">
        <v>372</v>
      </c>
    </row>
    <row r="2969" ht="15.75" customHeight="1">
      <c r="A2969" s="87" t="s">
        <v>8717</v>
      </c>
      <c r="B2969" s="88">
        <v>1.22E18</v>
      </c>
      <c r="C2969" s="87" t="s">
        <v>8718</v>
      </c>
      <c r="D2969" s="87" t="s">
        <v>87</v>
      </c>
      <c r="E2969" s="87" t="s">
        <v>228</v>
      </c>
      <c r="F2969" s="87" t="s">
        <v>373</v>
      </c>
      <c r="H2969" s="93"/>
      <c r="I2969" s="87" t="s">
        <v>340</v>
      </c>
      <c r="J2969" s="87" t="s">
        <v>8719</v>
      </c>
      <c r="K2969" s="90">
        <v>1000.0</v>
      </c>
      <c r="L2969" s="92"/>
      <c r="M2969" s="93"/>
      <c r="N2969" s="87" t="s">
        <v>408</v>
      </c>
      <c r="O2969" s="87" t="s">
        <v>377</v>
      </c>
      <c r="P2969" s="87" t="s">
        <v>372</v>
      </c>
    </row>
    <row r="2970" ht="15.75" customHeight="1">
      <c r="A2970" s="87" t="s">
        <v>8720</v>
      </c>
      <c r="B2970" s="88">
        <v>1.22E18</v>
      </c>
      <c r="C2970" s="87" t="s">
        <v>8721</v>
      </c>
      <c r="D2970" s="87" t="s">
        <v>87</v>
      </c>
      <c r="E2970" s="87" t="s">
        <v>228</v>
      </c>
      <c r="F2970" s="87" t="s">
        <v>373</v>
      </c>
      <c r="H2970" s="93"/>
      <c r="I2970" s="87" t="s">
        <v>340</v>
      </c>
      <c r="J2970" s="87" t="s">
        <v>8719</v>
      </c>
      <c r="K2970" s="90">
        <v>1000.0</v>
      </c>
      <c r="L2970" s="92"/>
      <c r="M2970" s="93"/>
      <c r="N2970" s="87" t="s">
        <v>408</v>
      </c>
      <c r="O2970" s="87" t="s">
        <v>377</v>
      </c>
      <c r="P2970" s="87" t="s">
        <v>372</v>
      </c>
    </row>
    <row r="2971" ht="15.75" customHeight="1">
      <c r="A2971" s="87" t="s">
        <v>8722</v>
      </c>
      <c r="B2971" s="88">
        <v>1.22E18</v>
      </c>
      <c r="C2971" s="87" t="s">
        <v>8723</v>
      </c>
      <c r="D2971" s="87" t="s">
        <v>87</v>
      </c>
      <c r="E2971" s="87" t="s">
        <v>228</v>
      </c>
      <c r="F2971" s="87" t="s">
        <v>373</v>
      </c>
      <c r="H2971" s="93"/>
      <c r="I2971" s="87" t="s">
        <v>340</v>
      </c>
      <c r="J2971" s="87" t="s">
        <v>8724</v>
      </c>
      <c r="K2971" s="90">
        <v>800.0</v>
      </c>
      <c r="L2971" s="92"/>
      <c r="M2971" s="93"/>
      <c r="N2971" s="87" t="s">
        <v>408</v>
      </c>
      <c r="O2971" s="87" t="s">
        <v>377</v>
      </c>
      <c r="P2971" s="87" t="s">
        <v>372</v>
      </c>
    </row>
    <row r="2972" ht="15.75" customHeight="1">
      <c r="A2972" s="87" t="s">
        <v>8725</v>
      </c>
      <c r="B2972" s="88">
        <v>1.22E18</v>
      </c>
      <c r="C2972" s="87" t="s">
        <v>8726</v>
      </c>
      <c r="D2972" s="87" t="s">
        <v>87</v>
      </c>
      <c r="E2972" s="87" t="s">
        <v>228</v>
      </c>
      <c r="F2972" s="87" t="s">
        <v>373</v>
      </c>
      <c r="H2972" s="93"/>
      <c r="I2972" s="87" t="s">
        <v>340</v>
      </c>
      <c r="J2972" s="87" t="s">
        <v>8724</v>
      </c>
      <c r="K2972" s="90">
        <v>850.0</v>
      </c>
      <c r="L2972" s="92"/>
      <c r="M2972" s="93"/>
      <c r="N2972" s="87" t="s">
        <v>408</v>
      </c>
      <c r="O2972" s="87" t="s">
        <v>377</v>
      </c>
      <c r="P2972" s="87" t="s">
        <v>372</v>
      </c>
    </row>
    <row r="2973" ht="15.75" customHeight="1">
      <c r="A2973" s="87" t="s">
        <v>8727</v>
      </c>
      <c r="B2973" s="88">
        <v>1.22E18</v>
      </c>
      <c r="C2973" s="87" t="s">
        <v>8728</v>
      </c>
      <c r="D2973" s="87" t="s">
        <v>87</v>
      </c>
      <c r="E2973" s="87" t="s">
        <v>228</v>
      </c>
      <c r="F2973" s="87" t="s">
        <v>373</v>
      </c>
      <c r="H2973" s="93"/>
      <c r="I2973" s="87" t="s">
        <v>340</v>
      </c>
      <c r="J2973" s="87" t="s">
        <v>8729</v>
      </c>
      <c r="K2973" s="90">
        <v>0.0</v>
      </c>
      <c r="L2973" s="92"/>
      <c r="M2973" s="93"/>
      <c r="N2973" s="93"/>
      <c r="O2973" s="87" t="s">
        <v>377</v>
      </c>
      <c r="P2973" s="87" t="s">
        <v>372</v>
      </c>
    </row>
    <row r="2974" ht="15.75" customHeight="1">
      <c r="A2974" s="87" t="s">
        <v>8730</v>
      </c>
      <c r="B2974" s="88">
        <v>1.22E18</v>
      </c>
      <c r="C2974" s="87" t="s">
        <v>8731</v>
      </c>
      <c r="D2974" s="87" t="s">
        <v>87</v>
      </c>
      <c r="E2974" s="87" t="s">
        <v>228</v>
      </c>
      <c r="F2974" s="87" t="s">
        <v>373</v>
      </c>
      <c r="H2974" s="93"/>
      <c r="I2974" s="87" t="s">
        <v>340</v>
      </c>
      <c r="J2974" s="87" t="s">
        <v>8729</v>
      </c>
      <c r="K2974" s="90">
        <v>0.0</v>
      </c>
      <c r="L2974" s="92"/>
      <c r="M2974" s="93"/>
      <c r="N2974" s="93"/>
      <c r="O2974" s="87" t="s">
        <v>377</v>
      </c>
      <c r="P2974" s="87" t="s">
        <v>372</v>
      </c>
    </row>
    <row r="2975" ht="15.75" customHeight="1">
      <c r="A2975" s="87" t="s">
        <v>8732</v>
      </c>
      <c r="B2975" s="88">
        <v>1.22E18</v>
      </c>
      <c r="C2975" s="87" t="s">
        <v>8733</v>
      </c>
      <c r="D2975" s="87" t="s">
        <v>87</v>
      </c>
      <c r="E2975" s="87" t="s">
        <v>88</v>
      </c>
      <c r="F2975" s="87" t="s">
        <v>373</v>
      </c>
      <c r="H2975" s="93"/>
      <c r="I2975" s="87" t="s">
        <v>340</v>
      </c>
      <c r="J2975" s="87" t="s">
        <v>8734</v>
      </c>
      <c r="K2975" s="90">
        <v>0.0</v>
      </c>
      <c r="L2975" s="92"/>
      <c r="M2975" s="93"/>
      <c r="N2975" s="93"/>
      <c r="O2975" s="87" t="s">
        <v>377</v>
      </c>
      <c r="P2975" s="87" t="s">
        <v>372</v>
      </c>
    </row>
    <row r="2976" ht="15.75" customHeight="1">
      <c r="A2976" s="87" t="s">
        <v>8735</v>
      </c>
      <c r="B2976" s="88">
        <v>1.22E18</v>
      </c>
      <c r="C2976" s="87" t="s">
        <v>8736</v>
      </c>
      <c r="D2976" s="87" t="s">
        <v>87</v>
      </c>
      <c r="E2976" s="87" t="s">
        <v>88</v>
      </c>
      <c r="F2976" s="87" t="s">
        <v>373</v>
      </c>
      <c r="H2976" s="93"/>
      <c r="I2976" s="87" t="s">
        <v>340</v>
      </c>
      <c r="J2976" s="87" t="s">
        <v>8734</v>
      </c>
      <c r="K2976" s="90">
        <v>0.0</v>
      </c>
      <c r="L2976" s="92"/>
      <c r="M2976" s="93"/>
      <c r="N2976" s="93"/>
      <c r="O2976" s="87" t="s">
        <v>377</v>
      </c>
      <c r="P2976" s="87" t="s">
        <v>372</v>
      </c>
    </row>
    <row r="2977" ht="15.75" customHeight="1">
      <c r="A2977" s="87" t="s">
        <v>8737</v>
      </c>
      <c r="B2977" s="88">
        <v>1.22E18</v>
      </c>
      <c r="C2977" s="87" t="s">
        <v>8738</v>
      </c>
      <c r="D2977" s="87" t="s">
        <v>87</v>
      </c>
      <c r="E2977" s="87" t="s">
        <v>88</v>
      </c>
      <c r="F2977" s="87" t="s">
        <v>373</v>
      </c>
      <c r="H2977" s="93"/>
      <c r="I2977" s="87" t="s">
        <v>495</v>
      </c>
      <c r="J2977" s="87" t="s">
        <v>8739</v>
      </c>
      <c r="K2977" s="90">
        <v>50.0</v>
      </c>
      <c r="L2977" s="92"/>
      <c r="M2977" s="93"/>
      <c r="N2977" s="87" t="s">
        <v>8266</v>
      </c>
      <c r="O2977" s="87" t="s">
        <v>377</v>
      </c>
      <c r="P2977" s="87" t="s">
        <v>372</v>
      </c>
    </row>
    <row r="2978" ht="15.75" customHeight="1">
      <c r="A2978" s="87" t="s">
        <v>8740</v>
      </c>
      <c r="B2978" s="88">
        <v>1.22E18</v>
      </c>
      <c r="C2978" s="87" t="s">
        <v>8741</v>
      </c>
      <c r="D2978" s="87" t="s">
        <v>87</v>
      </c>
      <c r="E2978" s="87" t="s">
        <v>88</v>
      </c>
      <c r="F2978" s="87" t="s">
        <v>373</v>
      </c>
      <c r="H2978" s="93"/>
      <c r="I2978" s="87" t="s">
        <v>495</v>
      </c>
      <c r="J2978" s="87" t="s">
        <v>8739</v>
      </c>
      <c r="K2978" s="90">
        <v>50.0</v>
      </c>
      <c r="L2978" s="92"/>
      <c r="M2978" s="93"/>
      <c r="N2978" s="87" t="s">
        <v>8266</v>
      </c>
      <c r="O2978" s="87" t="s">
        <v>377</v>
      </c>
      <c r="P2978" s="87" t="s">
        <v>372</v>
      </c>
    </row>
    <row r="2979" ht="15.75" customHeight="1">
      <c r="A2979" s="87" t="s">
        <v>8742</v>
      </c>
      <c r="B2979" s="88">
        <v>1.22E18</v>
      </c>
      <c r="C2979" s="87" t="s">
        <v>8743</v>
      </c>
      <c r="D2979" s="87" t="s">
        <v>87</v>
      </c>
      <c r="E2979" s="87" t="s">
        <v>241</v>
      </c>
      <c r="F2979" s="87" t="s">
        <v>373</v>
      </c>
      <c r="H2979" s="93"/>
      <c r="I2979" s="87" t="s">
        <v>3984</v>
      </c>
      <c r="J2979" s="87" t="s">
        <v>8744</v>
      </c>
      <c r="K2979" s="90">
        <v>0.0</v>
      </c>
      <c r="L2979" s="92"/>
      <c r="M2979" s="93"/>
      <c r="N2979" s="87" t="s">
        <v>390</v>
      </c>
      <c r="O2979" s="87" t="s">
        <v>377</v>
      </c>
      <c r="P2979" s="87" t="s">
        <v>372</v>
      </c>
    </row>
    <row r="2980" ht="15.75" customHeight="1">
      <c r="A2980" s="87" t="s">
        <v>8745</v>
      </c>
      <c r="B2980" s="88">
        <v>1.22E18</v>
      </c>
      <c r="C2980" s="87" t="s">
        <v>8746</v>
      </c>
      <c r="D2980" s="87" t="s">
        <v>87</v>
      </c>
      <c r="E2980" s="87" t="s">
        <v>228</v>
      </c>
      <c r="F2980" s="87" t="s">
        <v>379</v>
      </c>
      <c r="G2980" s="93"/>
      <c r="H2980" s="93"/>
      <c r="I2980" s="87" t="s">
        <v>340</v>
      </c>
      <c r="J2980" s="87" t="s">
        <v>8747</v>
      </c>
      <c r="K2980" s="90">
        <v>1200.0</v>
      </c>
      <c r="L2980" s="92"/>
      <c r="M2980" s="93"/>
      <c r="N2980" s="87" t="s">
        <v>6273</v>
      </c>
      <c r="O2980" s="87" t="s">
        <v>377</v>
      </c>
      <c r="P2980" s="87" t="s">
        <v>372</v>
      </c>
    </row>
    <row r="2981" ht="15.75" customHeight="1">
      <c r="A2981" s="87" t="s">
        <v>8748</v>
      </c>
      <c r="B2981" s="88">
        <v>1.22E18</v>
      </c>
      <c r="C2981" s="87" t="s">
        <v>8749</v>
      </c>
      <c r="D2981" s="87" t="s">
        <v>262</v>
      </c>
      <c r="E2981" s="87" t="s">
        <v>270</v>
      </c>
      <c r="F2981" s="87" t="s">
        <v>1749</v>
      </c>
      <c r="H2981" s="93"/>
      <c r="I2981" s="87" t="s">
        <v>58</v>
      </c>
      <c r="J2981" s="87" t="s">
        <v>8750</v>
      </c>
      <c r="K2981" s="90">
        <v>0.0</v>
      </c>
      <c r="L2981" s="92"/>
      <c r="M2981" s="93"/>
      <c r="N2981" s="87" t="s">
        <v>6214</v>
      </c>
      <c r="O2981" s="87" t="s">
        <v>377</v>
      </c>
      <c r="P2981" s="87" t="s">
        <v>372</v>
      </c>
    </row>
    <row r="2982" ht="15.75" customHeight="1">
      <c r="A2982" s="87" t="s">
        <v>8751</v>
      </c>
      <c r="B2982" s="88">
        <v>1.22E18</v>
      </c>
      <c r="C2982" s="87" t="s">
        <v>8752</v>
      </c>
      <c r="D2982" s="87" t="s">
        <v>262</v>
      </c>
      <c r="E2982" s="87" t="s">
        <v>270</v>
      </c>
      <c r="F2982" s="87" t="s">
        <v>1749</v>
      </c>
      <c r="H2982" s="93"/>
      <c r="I2982" s="87" t="s">
        <v>58</v>
      </c>
      <c r="J2982" s="87" t="s">
        <v>8753</v>
      </c>
      <c r="K2982" s="90">
        <v>0.0</v>
      </c>
      <c r="L2982" s="92"/>
      <c r="M2982" s="93"/>
      <c r="N2982" s="87" t="s">
        <v>6214</v>
      </c>
      <c r="O2982" s="87" t="s">
        <v>377</v>
      </c>
      <c r="P2982" s="87" t="s">
        <v>372</v>
      </c>
    </row>
    <row r="2983" ht="15.75" customHeight="1">
      <c r="A2983" s="87" t="s">
        <v>8754</v>
      </c>
      <c r="B2983" s="88">
        <v>1.22E18</v>
      </c>
      <c r="C2983" s="87" t="s">
        <v>8755</v>
      </c>
      <c r="D2983" s="87" t="s">
        <v>262</v>
      </c>
      <c r="E2983" s="87" t="s">
        <v>270</v>
      </c>
      <c r="F2983" s="87" t="s">
        <v>1749</v>
      </c>
      <c r="H2983" s="93"/>
      <c r="I2983" s="87" t="s">
        <v>58</v>
      </c>
      <c r="J2983" s="87" t="s">
        <v>8756</v>
      </c>
      <c r="K2983" s="90">
        <v>0.0</v>
      </c>
      <c r="L2983" s="92"/>
      <c r="M2983" s="93"/>
      <c r="N2983" s="87" t="s">
        <v>6214</v>
      </c>
      <c r="O2983" s="87" t="s">
        <v>377</v>
      </c>
      <c r="P2983" s="87" t="s">
        <v>372</v>
      </c>
    </row>
    <row r="2984" ht="15.75" customHeight="1">
      <c r="A2984" s="87" t="s">
        <v>8757</v>
      </c>
      <c r="B2984" s="88">
        <v>1.22E18</v>
      </c>
      <c r="C2984" s="87" t="s">
        <v>8758</v>
      </c>
      <c r="D2984" s="87" t="s">
        <v>262</v>
      </c>
      <c r="E2984" s="87" t="s">
        <v>270</v>
      </c>
      <c r="F2984" s="87" t="s">
        <v>1749</v>
      </c>
      <c r="H2984" s="93"/>
      <c r="I2984" s="87" t="s">
        <v>58</v>
      </c>
      <c r="J2984" s="87" t="s">
        <v>8759</v>
      </c>
      <c r="K2984" s="90">
        <v>0.0</v>
      </c>
      <c r="L2984" s="92"/>
      <c r="M2984" s="93"/>
      <c r="N2984" s="87" t="s">
        <v>6214</v>
      </c>
      <c r="O2984" s="87" t="s">
        <v>377</v>
      </c>
      <c r="P2984" s="87" t="s">
        <v>372</v>
      </c>
    </row>
    <row r="2985" ht="15.75" customHeight="1">
      <c r="A2985" s="87" t="s">
        <v>8760</v>
      </c>
      <c r="B2985" s="88">
        <v>1.22E18</v>
      </c>
      <c r="C2985" s="87" t="s">
        <v>8761</v>
      </c>
      <c r="D2985" s="87" t="s">
        <v>262</v>
      </c>
      <c r="E2985" s="87" t="s">
        <v>263</v>
      </c>
      <c r="F2985" s="87" t="s">
        <v>415</v>
      </c>
      <c r="G2985" s="93"/>
      <c r="H2985" s="93"/>
      <c r="I2985" s="87" t="s">
        <v>58</v>
      </c>
      <c r="J2985" s="87" t="s">
        <v>8762</v>
      </c>
      <c r="K2985" s="90">
        <v>1.0</v>
      </c>
      <c r="L2985" s="92"/>
      <c r="M2985" s="93"/>
      <c r="N2985" s="93"/>
      <c r="O2985" s="87" t="s">
        <v>377</v>
      </c>
      <c r="P2985" s="87" t="s">
        <v>372</v>
      </c>
    </row>
    <row r="2986" ht="15.75" customHeight="1">
      <c r="A2986" s="87" t="s">
        <v>8763</v>
      </c>
      <c r="B2986" s="88">
        <v>1.22E18</v>
      </c>
      <c r="C2986" s="87" t="s">
        <v>8764</v>
      </c>
      <c r="D2986" s="87" t="s">
        <v>56</v>
      </c>
      <c r="E2986" s="87" t="s">
        <v>248</v>
      </c>
      <c r="F2986" s="87" t="s">
        <v>2769</v>
      </c>
      <c r="G2986" s="93"/>
      <c r="H2986" s="93"/>
      <c r="I2986" s="87" t="s">
        <v>58</v>
      </c>
      <c r="J2986" s="87" t="s">
        <v>8765</v>
      </c>
      <c r="K2986" s="90">
        <v>0.0</v>
      </c>
      <c r="L2986" s="92"/>
      <c r="M2986" s="93"/>
      <c r="N2986" s="87" t="s">
        <v>5364</v>
      </c>
      <c r="O2986" s="87" t="s">
        <v>377</v>
      </c>
      <c r="P2986" s="87" t="s">
        <v>372</v>
      </c>
    </row>
    <row r="2987" ht="15.75" customHeight="1">
      <c r="A2987" s="87" t="s">
        <v>8766</v>
      </c>
      <c r="B2987" s="88">
        <v>1.22E18</v>
      </c>
      <c r="C2987" s="87" t="s">
        <v>8767</v>
      </c>
      <c r="D2987" s="87" t="s">
        <v>56</v>
      </c>
      <c r="E2987" s="87" t="s">
        <v>248</v>
      </c>
      <c r="F2987" s="87" t="s">
        <v>2769</v>
      </c>
      <c r="G2987" s="93"/>
      <c r="H2987" s="93"/>
      <c r="I2987" s="87" t="s">
        <v>58</v>
      </c>
      <c r="J2987" s="87" t="s">
        <v>2535</v>
      </c>
      <c r="K2987" s="90">
        <v>0.0</v>
      </c>
      <c r="L2987" s="92"/>
      <c r="M2987" s="93"/>
      <c r="N2987" s="87" t="s">
        <v>5364</v>
      </c>
      <c r="O2987" s="87" t="s">
        <v>377</v>
      </c>
      <c r="P2987" s="87" t="s">
        <v>372</v>
      </c>
    </row>
    <row r="2988" ht="15.75" customHeight="1">
      <c r="A2988" s="87" t="s">
        <v>8768</v>
      </c>
      <c r="B2988" s="88">
        <v>1.22E18</v>
      </c>
      <c r="C2988" s="87" t="s">
        <v>8769</v>
      </c>
      <c r="D2988" s="87" t="s">
        <v>56</v>
      </c>
      <c r="E2988" s="87" t="s">
        <v>248</v>
      </c>
      <c r="F2988" s="87" t="s">
        <v>2769</v>
      </c>
      <c r="G2988" s="93"/>
      <c r="H2988" s="93"/>
      <c r="I2988" s="87" t="s">
        <v>58</v>
      </c>
      <c r="J2988" s="87" t="s">
        <v>2535</v>
      </c>
      <c r="K2988" s="90">
        <v>0.0</v>
      </c>
      <c r="L2988" s="92"/>
      <c r="M2988" s="93"/>
      <c r="N2988" s="87" t="s">
        <v>5364</v>
      </c>
      <c r="O2988" s="87" t="s">
        <v>377</v>
      </c>
      <c r="P2988" s="87" t="s">
        <v>372</v>
      </c>
    </row>
    <row r="2989" ht="15.75" customHeight="1">
      <c r="A2989" s="87" t="s">
        <v>8770</v>
      </c>
      <c r="B2989" s="88">
        <v>1.22E18</v>
      </c>
      <c r="C2989" s="87" t="s">
        <v>8771</v>
      </c>
      <c r="D2989" s="87" t="s">
        <v>57</v>
      </c>
      <c r="E2989" s="87" t="s">
        <v>281</v>
      </c>
      <c r="F2989" s="87" t="s">
        <v>2819</v>
      </c>
      <c r="G2989" s="87" t="s">
        <v>8772</v>
      </c>
      <c r="H2989" s="93"/>
      <c r="I2989" s="87" t="s">
        <v>8773</v>
      </c>
      <c r="J2989" s="87" t="s">
        <v>2379</v>
      </c>
      <c r="K2989" s="90">
        <v>9.0</v>
      </c>
      <c r="L2989" s="92"/>
      <c r="M2989" s="87" t="s">
        <v>2821</v>
      </c>
      <c r="O2989" s="87" t="s">
        <v>377</v>
      </c>
      <c r="P2989" s="87" t="s">
        <v>372</v>
      </c>
    </row>
    <row r="2990" ht="15.75" customHeight="1">
      <c r="A2990" s="87" t="s">
        <v>8774</v>
      </c>
      <c r="B2990" s="88">
        <v>1.22E18</v>
      </c>
      <c r="C2990" s="87" t="s">
        <v>8775</v>
      </c>
      <c r="D2990" s="87" t="s">
        <v>57</v>
      </c>
      <c r="E2990" s="87" t="s">
        <v>281</v>
      </c>
      <c r="F2990" s="87" t="s">
        <v>2819</v>
      </c>
      <c r="G2990" s="87" t="s">
        <v>8776</v>
      </c>
      <c r="H2990" s="93"/>
      <c r="I2990" s="87" t="s">
        <v>58</v>
      </c>
      <c r="J2990" s="87" t="s">
        <v>2379</v>
      </c>
      <c r="K2990" s="90">
        <v>100.0</v>
      </c>
      <c r="L2990" s="92"/>
      <c r="M2990" s="87" t="s">
        <v>2821</v>
      </c>
      <c r="O2990" s="87" t="s">
        <v>377</v>
      </c>
      <c r="P2990" s="87" t="s">
        <v>372</v>
      </c>
    </row>
    <row r="2991" ht="15.75" customHeight="1">
      <c r="A2991" s="87" t="s">
        <v>8777</v>
      </c>
      <c r="B2991" s="88">
        <v>1.22E18</v>
      </c>
      <c r="C2991" s="87" t="s">
        <v>8778</v>
      </c>
      <c r="D2991" s="87" t="s">
        <v>57</v>
      </c>
      <c r="E2991" s="87" t="s">
        <v>281</v>
      </c>
      <c r="F2991" s="87" t="s">
        <v>2819</v>
      </c>
      <c r="G2991" s="87" t="s">
        <v>8779</v>
      </c>
      <c r="H2991" s="93"/>
      <c r="I2991" s="87" t="s">
        <v>58</v>
      </c>
      <c r="J2991" s="87" t="s">
        <v>2379</v>
      </c>
      <c r="K2991" s="90">
        <v>0.0</v>
      </c>
      <c r="L2991" s="92"/>
      <c r="M2991" s="93"/>
      <c r="N2991" s="93"/>
      <c r="O2991" s="87" t="s">
        <v>377</v>
      </c>
      <c r="P2991" s="87" t="s">
        <v>372</v>
      </c>
    </row>
    <row r="2992" ht="15.75" customHeight="1">
      <c r="A2992" s="87" t="s">
        <v>8780</v>
      </c>
      <c r="B2992" s="88">
        <v>1.22E18</v>
      </c>
      <c r="C2992" s="87" t="s">
        <v>8781</v>
      </c>
      <c r="D2992" s="87" t="s">
        <v>57</v>
      </c>
      <c r="E2992" s="87" t="s">
        <v>281</v>
      </c>
      <c r="F2992" s="87" t="s">
        <v>2819</v>
      </c>
      <c r="G2992" s="87" t="s">
        <v>8782</v>
      </c>
      <c r="H2992" s="93"/>
      <c r="I2992" s="87" t="s">
        <v>58</v>
      </c>
      <c r="J2992" s="87" t="s">
        <v>2379</v>
      </c>
      <c r="K2992" s="90">
        <v>19.0</v>
      </c>
      <c r="L2992" s="92"/>
      <c r="M2992" s="87" t="s">
        <v>2821</v>
      </c>
      <c r="O2992" s="87" t="s">
        <v>377</v>
      </c>
      <c r="P2992" s="87" t="s">
        <v>372</v>
      </c>
    </row>
    <row r="2993" ht="15.75" customHeight="1">
      <c r="A2993" s="87" t="s">
        <v>8783</v>
      </c>
      <c r="B2993" s="88">
        <v>1.22E18</v>
      </c>
      <c r="C2993" s="87" t="s">
        <v>8784</v>
      </c>
      <c r="D2993" s="87" t="s">
        <v>57</v>
      </c>
      <c r="E2993" s="87" t="s">
        <v>281</v>
      </c>
      <c r="F2993" s="87" t="s">
        <v>2819</v>
      </c>
      <c r="G2993" s="87" t="s">
        <v>8785</v>
      </c>
      <c r="H2993" s="93"/>
      <c r="I2993" s="87" t="s">
        <v>58</v>
      </c>
      <c r="J2993" s="87" t="s">
        <v>2379</v>
      </c>
      <c r="K2993" s="90">
        <v>0.0</v>
      </c>
      <c r="L2993" s="92"/>
      <c r="M2993" s="93"/>
      <c r="N2993" s="93"/>
      <c r="O2993" s="87" t="s">
        <v>377</v>
      </c>
      <c r="P2993" s="87" t="s">
        <v>372</v>
      </c>
    </row>
    <row r="2994" ht="15.75" customHeight="1">
      <c r="A2994" s="87" t="s">
        <v>8786</v>
      </c>
      <c r="B2994" s="88">
        <v>1.22E18</v>
      </c>
      <c r="C2994" s="87" t="s">
        <v>8787</v>
      </c>
      <c r="D2994" s="87" t="s">
        <v>57</v>
      </c>
      <c r="E2994" s="87" t="s">
        <v>281</v>
      </c>
      <c r="F2994" s="87" t="s">
        <v>2819</v>
      </c>
      <c r="G2994" s="87" t="s">
        <v>8788</v>
      </c>
      <c r="H2994" s="93"/>
      <c r="I2994" s="87" t="s">
        <v>58</v>
      </c>
      <c r="J2994" s="87" t="s">
        <v>2379</v>
      </c>
      <c r="K2994" s="90">
        <v>0.0</v>
      </c>
      <c r="L2994" s="92"/>
      <c r="M2994" s="93"/>
      <c r="N2994" s="93"/>
      <c r="O2994" s="87" t="s">
        <v>377</v>
      </c>
      <c r="P2994" s="87" t="s">
        <v>372</v>
      </c>
    </row>
    <row r="2995" ht="15.75" customHeight="1">
      <c r="A2995" s="87" t="s">
        <v>8789</v>
      </c>
      <c r="B2995" s="88">
        <v>1.22E18</v>
      </c>
      <c r="C2995" s="87" t="s">
        <v>8790</v>
      </c>
      <c r="D2995" s="87" t="s">
        <v>57</v>
      </c>
      <c r="E2995" s="87" t="s">
        <v>281</v>
      </c>
      <c r="F2995" s="87" t="s">
        <v>2819</v>
      </c>
      <c r="G2995" s="87" t="s">
        <v>8791</v>
      </c>
      <c r="H2995" s="93"/>
      <c r="I2995" s="87" t="s">
        <v>58</v>
      </c>
      <c r="J2995" s="87" t="s">
        <v>2379</v>
      </c>
      <c r="K2995" s="90">
        <v>20.0</v>
      </c>
      <c r="L2995" s="92"/>
      <c r="M2995" s="87" t="s">
        <v>2821</v>
      </c>
      <c r="O2995" s="87" t="s">
        <v>377</v>
      </c>
      <c r="P2995" s="87" t="s">
        <v>372</v>
      </c>
    </row>
    <row r="2996" ht="15.75" customHeight="1">
      <c r="A2996" s="87" t="s">
        <v>8792</v>
      </c>
      <c r="B2996" s="88">
        <v>1.22E18</v>
      </c>
      <c r="C2996" s="87" t="s">
        <v>8793</v>
      </c>
      <c r="D2996" s="87" t="s">
        <v>57</v>
      </c>
      <c r="E2996" s="87" t="s">
        <v>281</v>
      </c>
      <c r="F2996" s="87" t="s">
        <v>2819</v>
      </c>
      <c r="G2996" s="87" t="s">
        <v>8794</v>
      </c>
      <c r="H2996" s="93"/>
      <c r="I2996" s="87" t="s">
        <v>2010</v>
      </c>
      <c r="J2996" s="87" t="s">
        <v>2379</v>
      </c>
      <c r="K2996" s="90">
        <v>0.0</v>
      </c>
      <c r="L2996" s="92"/>
      <c r="M2996" s="93"/>
      <c r="N2996" s="93"/>
      <c r="O2996" s="87" t="s">
        <v>377</v>
      </c>
      <c r="P2996" s="87" t="s">
        <v>372</v>
      </c>
    </row>
    <row r="2997" ht="15.75" customHeight="1">
      <c r="A2997" s="87" t="s">
        <v>8795</v>
      </c>
      <c r="B2997" s="88">
        <v>1.22E18</v>
      </c>
      <c r="C2997" s="87" t="s">
        <v>8796</v>
      </c>
      <c r="D2997" s="87" t="s">
        <v>57</v>
      </c>
      <c r="E2997" s="87" t="s">
        <v>281</v>
      </c>
      <c r="F2997" s="87" t="s">
        <v>2819</v>
      </c>
      <c r="G2997" s="87" t="s">
        <v>8797</v>
      </c>
      <c r="H2997" s="93"/>
      <c r="I2997" s="87" t="s">
        <v>8773</v>
      </c>
      <c r="J2997" s="87" t="s">
        <v>2379</v>
      </c>
      <c r="K2997" s="90">
        <v>9.0</v>
      </c>
      <c r="L2997" s="92"/>
      <c r="M2997" s="87" t="s">
        <v>2821</v>
      </c>
      <c r="O2997" s="87" t="s">
        <v>377</v>
      </c>
      <c r="P2997" s="87" t="s">
        <v>372</v>
      </c>
    </row>
    <row r="2998" ht="15.75" customHeight="1">
      <c r="A2998" s="87" t="s">
        <v>8798</v>
      </c>
      <c r="B2998" s="88">
        <v>1.22E18</v>
      </c>
      <c r="C2998" s="87" t="s">
        <v>8799</v>
      </c>
      <c r="D2998" s="87" t="s">
        <v>57</v>
      </c>
      <c r="E2998" s="87" t="s">
        <v>281</v>
      </c>
      <c r="F2998" s="87" t="s">
        <v>2819</v>
      </c>
      <c r="G2998" s="87" t="s">
        <v>8800</v>
      </c>
      <c r="H2998" s="93"/>
      <c r="I2998" s="87" t="s">
        <v>58</v>
      </c>
      <c r="J2998" s="87" t="s">
        <v>2379</v>
      </c>
      <c r="K2998" s="90">
        <v>3.0</v>
      </c>
      <c r="L2998" s="92"/>
      <c r="M2998" s="87" t="s">
        <v>2821</v>
      </c>
      <c r="O2998" s="87" t="s">
        <v>377</v>
      </c>
      <c r="P2998" s="87" t="s">
        <v>372</v>
      </c>
    </row>
    <row r="2999" ht="15.75" customHeight="1">
      <c r="A2999" s="87" t="s">
        <v>8801</v>
      </c>
      <c r="B2999" s="88">
        <v>1.22E18</v>
      </c>
      <c r="C2999" s="87" t="s">
        <v>8802</v>
      </c>
      <c r="D2999" s="87" t="s">
        <v>57</v>
      </c>
      <c r="E2999" s="87" t="s">
        <v>281</v>
      </c>
      <c r="F2999" s="87" t="s">
        <v>2819</v>
      </c>
      <c r="G2999" s="87" t="s">
        <v>8803</v>
      </c>
      <c r="H2999" s="93"/>
      <c r="I2999" s="87" t="s">
        <v>8773</v>
      </c>
      <c r="J2999" s="87" t="s">
        <v>2379</v>
      </c>
      <c r="K2999" s="90">
        <v>0.0</v>
      </c>
      <c r="L2999" s="92"/>
      <c r="M2999" s="93"/>
      <c r="N2999" s="93"/>
      <c r="O2999" s="87" t="s">
        <v>377</v>
      </c>
      <c r="P2999" s="87" t="s">
        <v>372</v>
      </c>
    </row>
    <row r="3000" ht="15.75" customHeight="1">
      <c r="A3000" s="87" t="s">
        <v>8804</v>
      </c>
      <c r="B3000" s="88">
        <v>1.22E18</v>
      </c>
      <c r="C3000" s="87" t="s">
        <v>8805</v>
      </c>
      <c r="D3000" s="87" t="s">
        <v>57</v>
      </c>
      <c r="E3000" s="87" t="s">
        <v>281</v>
      </c>
      <c r="F3000" s="87" t="s">
        <v>2819</v>
      </c>
      <c r="G3000" s="87" t="s">
        <v>8806</v>
      </c>
      <c r="H3000" s="93"/>
      <c r="I3000" s="87" t="s">
        <v>2333</v>
      </c>
      <c r="J3000" s="87" t="s">
        <v>2379</v>
      </c>
      <c r="K3000" s="90">
        <v>3.0</v>
      </c>
      <c r="L3000" s="92"/>
      <c r="M3000" s="87" t="s">
        <v>2821</v>
      </c>
      <c r="O3000" s="87" t="s">
        <v>377</v>
      </c>
      <c r="P3000" s="87" t="s">
        <v>372</v>
      </c>
    </row>
    <row r="3001" ht="15.75" customHeight="1">
      <c r="A3001" s="87" t="s">
        <v>8807</v>
      </c>
      <c r="B3001" s="88">
        <v>1.22E18</v>
      </c>
      <c r="C3001" s="87" t="s">
        <v>8808</v>
      </c>
      <c r="D3001" s="87" t="s">
        <v>57</v>
      </c>
      <c r="E3001" s="87" t="s">
        <v>281</v>
      </c>
      <c r="F3001" s="87" t="s">
        <v>2819</v>
      </c>
      <c r="G3001" s="87" t="s">
        <v>8809</v>
      </c>
      <c r="H3001" s="93"/>
      <c r="I3001" s="87" t="s">
        <v>58</v>
      </c>
      <c r="J3001" s="87" t="s">
        <v>2379</v>
      </c>
      <c r="K3001" s="90">
        <v>0.0</v>
      </c>
      <c r="L3001" s="92"/>
      <c r="M3001" s="93"/>
      <c r="N3001" s="93"/>
      <c r="O3001" s="87" t="s">
        <v>377</v>
      </c>
      <c r="P3001" s="87" t="s">
        <v>372</v>
      </c>
    </row>
    <row r="3002" ht="15.75" customHeight="1">
      <c r="A3002" s="87" t="s">
        <v>8810</v>
      </c>
      <c r="B3002" s="88">
        <v>1.22E18</v>
      </c>
      <c r="C3002" s="87" t="s">
        <v>8811</v>
      </c>
      <c r="D3002" s="87" t="s">
        <v>57</v>
      </c>
      <c r="E3002" s="87" t="s">
        <v>281</v>
      </c>
      <c r="F3002" s="87" t="s">
        <v>2819</v>
      </c>
      <c r="G3002" s="87" t="s">
        <v>8812</v>
      </c>
      <c r="H3002" s="93"/>
      <c r="I3002" s="87" t="s">
        <v>2365</v>
      </c>
      <c r="J3002" s="87" t="s">
        <v>2379</v>
      </c>
      <c r="K3002" s="90">
        <v>100.0</v>
      </c>
      <c r="L3002" s="92"/>
      <c r="M3002" s="87" t="s">
        <v>2821</v>
      </c>
      <c r="O3002" s="87" t="s">
        <v>377</v>
      </c>
      <c r="P3002" s="87" t="s">
        <v>372</v>
      </c>
    </row>
    <row r="3003" ht="15.75" customHeight="1">
      <c r="A3003" s="87" t="s">
        <v>8813</v>
      </c>
      <c r="B3003" s="88">
        <v>1.22E18</v>
      </c>
      <c r="C3003" s="87" t="s">
        <v>8814</v>
      </c>
      <c r="D3003" s="87" t="s">
        <v>57</v>
      </c>
      <c r="E3003" s="87" t="s">
        <v>281</v>
      </c>
      <c r="F3003" s="87" t="s">
        <v>2819</v>
      </c>
      <c r="G3003" s="87" t="s">
        <v>8815</v>
      </c>
      <c r="H3003" s="93"/>
      <c r="I3003" s="87" t="s">
        <v>2365</v>
      </c>
      <c r="J3003" s="87" t="s">
        <v>2379</v>
      </c>
      <c r="K3003" s="90">
        <v>12.0</v>
      </c>
      <c r="L3003" s="92"/>
      <c r="M3003" s="87" t="s">
        <v>2821</v>
      </c>
      <c r="O3003" s="87" t="s">
        <v>377</v>
      </c>
      <c r="P3003" s="87" t="s">
        <v>372</v>
      </c>
    </row>
    <row r="3004" ht="15.75" customHeight="1">
      <c r="A3004" s="87" t="s">
        <v>8816</v>
      </c>
      <c r="B3004" s="88">
        <v>1.22E18</v>
      </c>
      <c r="C3004" s="87" t="s">
        <v>8817</v>
      </c>
      <c r="D3004" s="87" t="s">
        <v>57</v>
      </c>
      <c r="E3004" s="87" t="s">
        <v>281</v>
      </c>
      <c r="F3004" s="87" t="s">
        <v>2819</v>
      </c>
      <c r="G3004" s="87" t="s">
        <v>8818</v>
      </c>
      <c r="H3004" s="93"/>
      <c r="I3004" s="87" t="s">
        <v>8773</v>
      </c>
      <c r="J3004" s="87" t="s">
        <v>2379</v>
      </c>
      <c r="K3004" s="90">
        <v>45.0</v>
      </c>
      <c r="L3004" s="92"/>
      <c r="M3004" s="87" t="s">
        <v>2821</v>
      </c>
      <c r="O3004" s="87" t="s">
        <v>377</v>
      </c>
      <c r="P3004" s="87" t="s">
        <v>372</v>
      </c>
    </row>
    <row r="3005" ht="15.75" customHeight="1">
      <c r="A3005" s="87" t="s">
        <v>8819</v>
      </c>
      <c r="B3005" s="88">
        <v>1.22E18</v>
      </c>
      <c r="C3005" s="87" t="s">
        <v>8820</v>
      </c>
      <c r="D3005" s="87" t="s">
        <v>57</v>
      </c>
      <c r="E3005" s="87" t="s">
        <v>281</v>
      </c>
      <c r="F3005" s="87" t="s">
        <v>2819</v>
      </c>
      <c r="G3005" s="87" t="s">
        <v>8821</v>
      </c>
      <c r="H3005" s="93"/>
      <c r="I3005" s="87" t="s">
        <v>58</v>
      </c>
      <c r="J3005" s="87" t="s">
        <v>2379</v>
      </c>
      <c r="K3005" s="90">
        <v>8.0</v>
      </c>
      <c r="L3005" s="92"/>
      <c r="M3005" s="87" t="s">
        <v>2821</v>
      </c>
      <c r="O3005" s="87" t="s">
        <v>377</v>
      </c>
      <c r="P3005" s="87" t="s">
        <v>372</v>
      </c>
    </row>
    <row r="3006" ht="15.75" customHeight="1">
      <c r="A3006" s="87" t="s">
        <v>8822</v>
      </c>
      <c r="B3006" s="88">
        <v>1.22E18</v>
      </c>
      <c r="C3006" s="87" t="s">
        <v>8823</v>
      </c>
      <c r="D3006" s="87" t="s">
        <v>57</v>
      </c>
      <c r="E3006" s="87" t="s">
        <v>281</v>
      </c>
      <c r="F3006" s="87" t="s">
        <v>2819</v>
      </c>
      <c r="G3006" s="87" t="s">
        <v>8824</v>
      </c>
      <c r="H3006" s="93"/>
      <c r="I3006" s="87" t="s">
        <v>58</v>
      </c>
      <c r="J3006" s="87" t="s">
        <v>2379</v>
      </c>
      <c r="K3006" s="90">
        <v>11.0</v>
      </c>
      <c r="L3006" s="92"/>
      <c r="M3006" s="87" t="s">
        <v>2821</v>
      </c>
      <c r="O3006" s="87" t="s">
        <v>377</v>
      </c>
      <c r="P3006" s="87" t="s">
        <v>372</v>
      </c>
    </row>
    <row r="3007" ht="15.75" customHeight="1">
      <c r="A3007" s="87" t="s">
        <v>8825</v>
      </c>
      <c r="B3007" s="88">
        <v>1.22E18</v>
      </c>
      <c r="C3007" s="87" t="s">
        <v>8826</v>
      </c>
      <c r="D3007" s="87" t="s">
        <v>57</v>
      </c>
      <c r="E3007" s="87" t="s">
        <v>281</v>
      </c>
      <c r="F3007" s="87" t="s">
        <v>2819</v>
      </c>
      <c r="G3007" s="87" t="s">
        <v>8827</v>
      </c>
      <c r="H3007" s="93"/>
      <c r="I3007" s="87" t="s">
        <v>58</v>
      </c>
      <c r="J3007" s="87" t="s">
        <v>2379</v>
      </c>
      <c r="K3007" s="90">
        <v>9.0</v>
      </c>
      <c r="L3007" s="92"/>
      <c r="M3007" s="87" t="s">
        <v>2821</v>
      </c>
      <c r="O3007" s="87" t="s">
        <v>377</v>
      </c>
      <c r="P3007" s="87" t="s">
        <v>372</v>
      </c>
    </row>
    <row r="3008" ht="15.75" customHeight="1">
      <c r="A3008" s="87" t="s">
        <v>8828</v>
      </c>
      <c r="B3008" s="88">
        <v>1.22E18</v>
      </c>
      <c r="C3008" s="87" t="s">
        <v>8829</v>
      </c>
      <c r="D3008" s="87" t="s">
        <v>57</v>
      </c>
      <c r="E3008" s="87" t="s">
        <v>281</v>
      </c>
      <c r="F3008" s="87" t="s">
        <v>2819</v>
      </c>
      <c r="G3008" s="87" t="s">
        <v>8830</v>
      </c>
      <c r="H3008" s="93"/>
      <c r="I3008" s="87" t="s">
        <v>58</v>
      </c>
      <c r="J3008" s="87" t="s">
        <v>2379</v>
      </c>
      <c r="K3008" s="90">
        <v>4.0</v>
      </c>
      <c r="L3008" s="92"/>
      <c r="M3008" s="87" t="s">
        <v>2821</v>
      </c>
      <c r="O3008" s="87" t="s">
        <v>377</v>
      </c>
      <c r="P3008" s="87" t="s">
        <v>372</v>
      </c>
    </row>
    <row r="3009" ht="15.75" customHeight="1">
      <c r="A3009" s="87" t="s">
        <v>8831</v>
      </c>
      <c r="B3009" s="88">
        <v>1.22E18</v>
      </c>
      <c r="C3009" s="87" t="s">
        <v>8832</v>
      </c>
      <c r="D3009" s="87" t="s">
        <v>57</v>
      </c>
      <c r="E3009" s="87" t="s">
        <v>281</v>
      </c>
      <c r="F3009" s="87" t="s">
        <v>2819</v>
      </c>
      <c r="G3009" s="87" t="s">
        <v>8833</v>
      </c>
      <c r="H3009" s="93"/>
      <c r="I3009" s="87" t="s">
        <v>58</v>
      </c>
      <c r="J3009" s="87" t="s">
        <v>2379</v>
      </c>
      <c r="K3009" s="90">
        <v>9.0</v>
      </c>
      <c r="L3009" s="92"/>
      <c r="M3009" s="87" t="s">
        <v>2821</v>
      </c>
      <c r="O3009" s="87" t="s">
        <v>377</v>
      </c>
      <c r="P3009" s="87" t="s">
        <v>372</v>
      </c>
    </row>
    <row r="3010" ht="15.75" customHeight="1">
      <c r="A3010" s="87" t="s">
        <v>8834</v>
      </c>
      <c r="B3010" s="88">
        <v>1.22E18</v>
      </c>
      <c r="C3010" s="87" t="s">
        <v>8835</v>
      </c>
      <c r="D3010" s="87" t="s">
        <v>57</v>
      </c>
      <c r="E3010" s="87" t="s">
        <v>281</v>
      </c>
      <c r="F3010" s="87" t="s">
        <v>2819</v>
      </c>
      <c r="G3010" s="87" t="s">
        <v>8836</v>
      </c>
      <c r="H3010" s="93"/>
      <c r="I3010" s="87" t="s">
        <v>58</v>
      </c>
      <c r="J3010" s="87" t="s">
        <v>2379</v>
      </c>
      <c r="K3010" s="90">
        <v>0.0</v>
      </c>
      <c r="L3010" s="92"/>
      <c r="M3010" s="93"/>
      <c r="N3010" s="93"/>
      <c r="O3010" s="87" t="s">
        <v>377</v>
      </c>
      <c r="P3010" s="87" t="s">
        <v>372</v>
      </c>
    </row>
    <row r="3011" ht="15.75" customHeight="1">
      <c r="A3011" s="87" t="s">
        <v>8837</v>
      </c>
      <c r="B3011" s="88">
        <v>1.22E18</v>
      </c>
      <c r="C3011" s="87" t="s">
        <v>8838</v>
      </c>
      <c r="D3011" s="87" t="s">
        <v>57</v>
      </c>
      <c r="E3011" s="87" t="s">
        <v>281</v>
      </c>
      <c r="F3011" s="87" t="s">
        <v>2819</v>
      </c>
      <c r="G3011" s="87" t="s">
        <v>8839</v>
      </c>
      <c r="H3011" s="93"/>
      <c r="I3011" s="87" t="s">
        <v>2010</v>
      </c>
      <c r="J3011" s="87" t="s">
        <v>2379</v>
      </c>
      <c r="K3011" s="90">
        <v>3.0</v>
      </c>
      <c r="L3011" s="92"/>
      <c r="M3011" s="87" t="s">
        <v>2821</v>
      </c>
      <c r="O3011" s="87" t="s">
        <v>377</v>
      </c>
      <c r="P3011" s="87" t="s">
        <v>372</v>
      </c>
    </row>
    <row r="3012" ht="15.75" customHeight="1">
      <c r="A3012" s="87" t="s">
        <v>8840</v>
      </c>
      <c r="B3012" s="88">
        <v>1.22E18</v>
      </c>
      <c r="C3012" s="87" t="s">
        <v>8841</v>
      </c>
      <c r="D3012" s="87" t="s">
        <v>57</v>
      </c>
      <c r="E3012" s="87" t="s">
        <v>281</v>
      </c>
      <c r="F3012" s="87" t="s">
        <v>2819</v>
      </c>
      <c r="G3012" s="87" t="s">
        <v>8842</v>
      </c>
      <c r="H3012" s="93"/>
      <c r="I3012" s="87" t="s">
        <v>58</v>
      </c>
      <c r="J3012" s="87" t="s">
        <v>2379</v>
      </c>
      <c r="K3012" s="90">
        <v>4.0</v>
      </c>
      <c r="L3012" s="92"/>
      <c r="M3012" s="87" t="s">
        <v>2821</v>
      </c>
      <c r="O3012" s="87" t="s">
        <v>377</v>
      </c>
      <c r="P3012" s="87" t="s">
        <v>372</v>
      </c>
    </row>
    <row r="3013" ht="15.75" customHeight="1">
      <c r="A3013" s="87" t="s">
        <v>8843</v>
      </c>
      <c r="B3013" s="88">
        <v>1.22E18</v>
      </c>
      <c r="C3013" s="87" t="s">
        <v>8844</v>
      </c>
      <c r="D3013" s="87" t="s">
        <v>57</v>
      </c>
      <c r="E3013" s="87" t="s">
        <v>281</v>
      </c>
      <c r="F3013" s="87" t="s">
        <v>2819</v>
      </c>
      <c r="G3013" s="87" t="s">
        <v>8845</v>
      </c>
      <c r="H3013" s="93"/>
      <c r="I3013" s="87" t="s">
        <v>58</v>
      </c>
      <c r="J3013" s="87" t="s">
        <v>2379</v>
      </c>
      <c r="K3013" s="90">
        <v>7.0</v>
      </c>
      <c r="L3013" s="92"/>
      <c r="M3013" s="87" t="s">
        <v>2821</v>
      </c>
      <c r="O3013" s="87" t="s">
        <v>377</v>
      </c>
      <c r="P3013" s="87" t="s">
        <v>372</v>
      </c>
    </row>
    <row r="3014" ht="15.75" customHeight="1">
      <c r="A3014" s="87" t="s">
        <v>8846</v>
      </c>
      <c r="B3014" s="88">
        <v>1.22E18</v>
      </c>
      <c r="C3014" s="87" t="s">
        <v>8847</v>
      </c>
      <c r="D3014" s="87" t="s">
        <v>57</v>
      </c>
      <c r="E3014" s="87" t="s">
        <v>281</v>
      </c>
      <c r="F3014" s="87" t="s">
        <v>2819</v>
      </c>
      <c r="G3014" s="87" t="s">
        <v>8848</v>
      </c>
      <c r="H3014" s="93"/>
      <c r="I3014" s="87" t="s">
        <v>2010</v>
      </c>
      <c r="J3014" s="87" t="s">
        <v>2379</v>
      </c>
      <c r="K3014" s="90">
        <v>5.0</v>
      </c>
      <c r="L3014" s="92"/>
      <c r="M3014" s="87" t="s">
        <v>2821</v>
      </c>
      <c r="O3014" s="87" t="s">
        <v>377</v>
      </c>
      <c r="P3014" s="87" t="s">
        <v>372</v>
      </c>
    </row>
    <row r="3015" ht="15.75" customHeight="1">
      <c r="A3015" s="87" t="s">
        <v>8849</v>
      </c>
      <c r="B3015" s="88">
        <v>1.22E18</v>
      </c>
      <c r="C3015" s="87" t="s">
        <v>8850</v>
      </c>
      <c r="D3015" s="87" t="s">
        <v>57</v>
      </c>
      <c r="E3015" s="87" t="s">
        <v>281</v>
      </c>
      <c r="F3015" s="87" t="s">
        <v>2819</v>
      </c>
      <c r="G3015" s="87" t="s">
        <v>8851</v>
      </c>
      <c r="H3015" s="93"/>
      <c r="I3015" s="87" t="s">
        <v>2010</v>
      </c>
      <c r="J3015" s="87" t="s">
        <v>2379</v>
      </c>
      <c r="K3015" s="90">
        <v>6.0</v>
      </c>
      <c r="L3015" s="92"/>
      <c r="M3015" s="87" t="s">
        <v>2821</v>
      </c>
      <c r="O3015" s="87" t="s">
        <v>377</v>
      </c>
      <c r="P3015" s="87" t="s">
        <v>372</v>
      </c>
    </row>
    <row r="3016" ht="15.75" customHeight="1">
      <c r="A3016" s="87" t="s">
        <v>8852</v>
      </c>
      <c r="B3016" s="88">
        <v>1.22E18</v>
      </c>
      <c r="C3016" s="87" t="s">
        <v>8853</v>
      </c>
      <c r="D3016" s="87" t="s">
        <v>57</v>
      </c>
      <c r="E3016" s="87" t="s">
        <v>281</v>
      </c>
      <c r="F3016" s="87" t="s">
        <v>2819</v>
      </c>
      <c r="G3016" s="87" t="s">
        <v>8854</v>
      </c>
      <c r="H3016" s="93"/>
      <c r="I3016" s="87" t="s">
        <v>8773</v>
      </c>
      <c r="J3016" s="87" t="s">
        <v>2379</v>
      </c>
      <c r="K3016" s="90">
        <v>2.0</v>
      </c>
      <c r="L3016" s="92"/>
      <c r="M3016" s="87" t="s">
        <v>2821</v>
      </c>
      <c r="O3016" s="87" t="s">
        <v>377</v>
      </c>
      <c r="P3016" s="87" t="s">
        <v>372</v>
      </c>
    </row>
    <row r="3017" ht="15.75" customHeight="1">
      <c r="A3017" s="87" t="s">
        <v>8855</v>
      </c>
      <c r="B3017" s="88">
        <v>1.22E18</v>
      </c>
      <c r="C3017" s="87" t="s">
        <v>8856</v>
      </c>
      <c r="D3017" s="87" t="s">
        <v>57</v>
      </c>
      <c r="E3017" s="87" t="s">
        <v>281</v>
      </c>
      <c r="F3017" s="87" t="s">
        <v>2819</v>
      </c>
      <c r="G3017" s="87" t="s">
        <v>8857</v>
      </c>
      <c r="H3017" s="93"/>
      <c r="I3017" s="87" t="s">
        <v>2010</v>
      </c>
      <c r="J3017" s="87" t="s">
        <v>2379</v>
      </c>
      <c r="K3017" s="90">
        <v>1.0</v>
      </c>
      <c r="L3017" s="92"/>
      <c r="M3017" s="87" t="s">
        <v>2821</v>
      </c>
      <c r="O3017" s="87" t="s">
        <v>377</v>
      </c>
      <c r="P3017" s="87" t="s">
        <v>372</v>
      </c>
    </row>
    <row r="3018" ht="15.75" customHeight="1">
      <c r="A3018" s="87" t="s">
        <v>8858</v>
      </c>
      <c r="B3018" s="88">
        <v>1.22E18</v>
      </c>
      <c r="C3018" s="87" t="s">
        <v>8859</v>
      </c>
      <c r="D3018" s="87" t="s">
        <v>57</v>
      </c>
      <c r="E3018" s="87" t="s">
        <v>281</v>
      </c>
      <c r="F3018" s="87" t="s">
        <v>2819</v>
      </c>
      <c r="G3018" s="87" t="s">
        <v>8860</v>
      </c>
      <c r="H3018" s="93"/>
      <c r="I3018" s="87" t="s">
        <v>58</v>
      </c>
      <c r="J3018" s="87" t="s">
        <v>2379</v>
      </c>
      <c r="K3018" s="90">
        <v>0.0</v>
      </c>
      <c r="L3018" s="92"/>
      <c r="M3018" s="93"/>
      <c r="N3018" s="93"/>
      <c r="O3018" s="87" t="s">
        <v>377</v>
      </c>
      <c r="P3018" s="87" t="s">
        <v>372</v>
      </c>
    </row>
    <row r="3019" ht="15.75" customHeight="1">
      <c r="A3019" s="87" t="s">
        <v>8861</v>
      </c>
      <c r="B3019" s="88">
        <v>1.22E18</v>
      </c>
      <c r="C3019" s="87" t="s">
        <v>8862</v>
      </c>
      <c r="D3019" s="87" t="s">
        <v>57</v>
      </c>
      <c r="E3019" s="87" t="s">
        <v>281</v>
      </c>
      <c r="F3019" s="87" t="s">
        <v>2819</v>
      </c>
      <c r="G3019" s="87" t="s">
        <v>8863</v>
      </c>
      <c r="H3019" s="93"/>
      <c r="I3019" s="87" t="s">
        <v>2010</v>
      </c>
      <c r="J3019" s="87" t="s">
        <v>2379</v>
      </c>
      <c r="K3019" s="90">
        <v>27.0</v>
      </c>
      <c r="L3019" s="92"/>
      <c r="M3019" s="87" t="s">
        <v>2821</v>
      </c>
      <c r="O3019" s="87" t="s">
        <v>377</v>
      </c>
      <c r="P3019" s="87" t="s">
        <v>372</v>
      </c>
    </row>
    <row r="3020" ht="15.75" customHeight="1">
      <c r="A3020" s="87" t="s">
        <v>8864</v>
      </c>
      <c r="B3020" s="88">
        <v>1.22E18</v>
      </c>
      <c r="C3020" s="87" t="s">
        <v>8865</v>
      </c>
      <c r="D3020" s="87" t="s">
        <v>57</v>
      </c>
      <c r="E3020" s="87" t="s">
        <v>281</v>
      </c>
      <c r="F3020" s="87" t="s">
        <v>2819</v>
      </c>
      <c r="G3020" s="87" t="s">
        <v>8866</v>
      </c>
      <c r="H3020" s="93"/>
      <c r="I3020" s="87" t="s">
        <v>58</v>
      </c>
      <c r="J3020" s="87" t="s">
        <v>2379</v>
      </c>
      <c r="K3020" s="90">
        <v>0.0</v>
      </c>
      <c r="L3020" s="92"/>
      <c r="M3020" s="93"/>
      <c r="N3020" s="93"/>
      <c r="O3020" s="87" t="s">
        <v>377</v>
      </c>
      <c r="P3020" s="87" t="s">
        <v>372</v>
      </c>
    </row>
    <row r="3021" ht="15.75" customHeight="1">
      <c r="A3021" s="87" t="s">
        <v>8867</v>
      </c>
      <c r="B3021" s="88">
        <v>1.22E18</v>
      </c>
      <c r="C3021" s="87" t="s">
        <v>8868</v>
      </c>
      <c r="D3021" s="87" t="s">
        <v>57</v>
      </c>
      <c r="E3021" s="87" t="s">
        <v>281</v>
      </c>
      <c r="F3021" s="87" t="s">
        <v>2819</v>
      </c>
      <c r="G3021" s="87" t="s">
        <v>8869</v>
      </c>
      <c r="H3021" s="93"/>
      <c r="I3021" s="87" t="s">
        <v>2010</v>
      </c>
      <c r="J3021" s="87" t="s">
        <v>2379</v>
      </c>
      <c r="K3021" s="90">
        <v>3.0</v>
      </c>
      <c r="L3021" s="92"/>
      <c r="M3021" s="87" t="s">
        <v>2821</v>
      </c>
      <c r="O3021" s="87" t="s">
        <v>377</v>
      </c>
      <c r="P3021" s="87" t="s">
        <v>372</v>
      </c>
    </row>
    <row r="3022" ht="15.75" customHeight="1">
      <c r="A3022" s="87" t="s">
        <v>8870</v>
      </c>
      <c r="B3022" s="88">
        <v>1.22E18</v>
      </c>
      <c r="C3022" s="87" t="s">
        <v>8871</v>
      </c>
      <c r="D3022" s="87" t="s">
        <v>57</v>
      </c>
      <c r="E3022" s="87" t="s">
        <v>281</v>
      </c>
      <c r="F3022" s="87" t="s">
        <v>2819</v>
      </c>
      <c r="G3022" s="87" t="s">
        <v>8872</v>
      </c>
      <c r="H3022" s="93"/>
      <c r="I3022" s="87" t="s">
        <v>8773</v>
      </c>
      <c r="J3022" s="87" t="s">
        <v>2379</v>
      </c>
      <c r="K3022" s="90">
        <v>12.0</v>
      </c>
      <c r="L3022" s="92"/>
      <c r="M3022" s="87" t="s">
        <v>2821</v>
      </c>
      <c r="O3022" s="87" t="s">
        <v>377</v>
      </c>
      <c r="P3022" s="87" t="s">
        <v>372</v>
      </c>
    </row>
    <row r="3023" ht="15.75" customHeight="1">
      <c r="A3023" s="87" t="s">
        <v>8873</v>
      </c>
      <c r="B3023" s="88">
        <v>1.22E18</v>
      </c>
      <c r="C3023" s="87" t="s">
        <v>8874</v>
      </c>
      <c r="D3023" s="87" t="s">
        <v>57</v>
      </c>
      <c r="E3023" s="87" t="s">
        <v>281</v>
      </c>
      <c r="F3023" s="87" t="s">
        <v>2819</v>
      </c>
      <c r="G3023" s="87" t="s">
        <v>8875</v>
      </c>
      <c r="H3023" s="93"/>
      <c r="I3023" s="87" t="s">
        <v>8773</v>
      </c>
      <c r="J3023" s="87" t="s">
        <v>2379</v>
      </c>
      <c r="K3023" s="90">
        <v>10.0</v>
      </c>
      <c r="L3023" s="92"/>
      <c r="M3023" s="87" t="s">
        <v>2821</v>
      </c>
      <c r="O3023" s="87" t="s">
        <v>377</v>
      </c>
      <c r="P3023" s="87" t="s">
        <v>372</v>
      </c>
    </row>
    <row r="3024" ht="15.75" customHeight="1">
      <c r="A3024" s="87" t="s">
        <v>8876</v>
      </c>
      <c r="B3024" s="88">
        <v>1.22E18</v>
      </c>
      <c r="C3024" s="87" t="s">
        <v>8877</v>
      </c>
      <c r="D3024" s="87" t="s">
        <v>57</v>
      </c>
      <c r="E3024" s="87" t="s">
        <v>281</v>
      </c>
      <c r="F3024" s="87" t="s">
        <v>2819</v>
      </c>
      <c r="G3024" s="87" t="s">
        <v>8878</v>
      </c>
      <c r="H3024" s="93"/>
      <c r="I3024" s="87" t="s">
        <v>8773</v>
      </c>
      <c r="J3024" s="87" t="s">
        <v>2379</v>
      </c>
      <c r="K3024" s="90">
        <v>8.0</v>
      </c>
      <c r="L3024" s="92"/>
      <c r="M3024" s="87" t="s">
        <v>2821</v>
      </c>
      <c r="O3024" s="87" t="s">
        <v>377</v>
      </c>
      <c r="P3024" s="87" t="s">
        <v>372</v>
      </c>
    </row>
    <row r="3025" ht="15.75" customHeight="1">
      <c r="A3025" s="87" t="s">
        <v>8879</v>
      </c>
      <c r="B3025" s="88">
        <v>1.22E18</v>
      </c>
      <c r="C3025" s="87" t="s">
        <v>8880</v>
      </c>
      <c r="D3025" s="87" t="s">
        <v>57</v>
      </c>
      <c r="E3025" s="87" t="s">
        <v>281</v>
      </c>
      <c r="F3025" s="87" t="s">
        <v>2819</v>
      </c>
      <c r="G3025" s="87" t="s">
        <v>8881</v>
      </c>
      <c r="H3025" s="93"/>
      <c r="I3025" s="87" t="s">
        <v>58</v>
      </c>
      <c r="J3025" s="87" t="s">
        <v>2379</v>
      </c>
      <c r="K3025" s="90">
        <v>0.0</v>
      </c>
      <c r="L3025" s="92"/>
      <c r="M3025" s="93"/>
      <c r="N3025" s="93"/>
      <c r="O3025" s="87" t="s">
        <v>377</v>
      </c>
      <c r="P3025" s="87" t="s">
        <v>372</v>
      </c>
    </row>
    <row r="3026" ht="15.75" customHeight="1">
      <c r="A3026" s="87" t="s">
        <v>8882</v>
      </c>
      <c r="B3026" s="88">
        <v>1.22E18</v>
      </c>
      <c r="C3026" s="87" t="s">
        <v>8883</v>
      </c>
      <c r="D3026" s="87" t="s">
        <v>57</v>
      </c>
      <c r="E3026" s="87" t="s">
        <v>281</v>
      </c>
      <c r="F3026" s="87" t="s">
        <v>2819</v>
      </c>
      <c r="G3026" s="87" t="s">
        <v>8884</v>
      </c>
      <c r="H3026" s="93"/>
      <c r="I3026" s="87" t="s">
        <v>2010</v>
      </c>
      <c r="J3026" s="87" t="s">
        <v>2379</v>
      </c>
      <c r="K3026" s="90">
        <v>0.0</v>
      </c>
      <c r="L3026" s="92"/>
      <c r="M3026" s="93"/>
      <c r="N3026" s="93"/>
      <c r="O3026" s="87" t="s">
        <v>377</v>
      </c>
      <c r="P3026" s="87" t="s">
        <v>372</v>
      </c>
    </row>
    <row r="3027" ht="15.75" customHeight="1">
      <c r="A3027" s="87" t="s">
        <v>8885</v>
      </c>
      <c r="B3027" s="88">
        <v>1.22E18</v>
      </c>
      <c r="C3027" s="87" t="s">
        <v>8886</v>
      </c>
      <c r="D3027" s="87" t="s">
        <v>57</v>
      </c>
      <c r="E3027" s="87" t="s">
        <v>281</v>
      </c>
      <c r="F3027" s="87" t="s">
        <v>2819</v>
      </c>
      <c r="G3027" s="87" t="s">
        <v>8887</v>
      </c>
      <c r="H3027" s="93"/>
      <c r="I3027" s="87" t="s">
        <v>58</v>
      </c>
      <c r="J3027" s="87" t="s">
        <v>2379</v>
      </c>
      <c r="K3027" s="90">
        <v>4.0</v>
      </c>
      <c r="L3027" s="92"/>
      <c r="M3027" s="87" t="s">
        <v>2821</v>
      </c>
      <c r="O3027" s="87" t="s">
        <v>377</v>
      </c>
      <c r="P3027" s="87" t="s">
        <v>372</v>
      </c>
    </row>
    <row r="3028" ht="15.75" customHeight="1">
      <c r="A3028" s="87" t="s">
        <v>8888</v>
      </c>
      <c r="B3028" s="88">
        <v>1.22E18</v>
      </c>
      <c r="C3028" s="87" t="s">
        <v>8889</v>
      </c>
      <c r="D3028" s="87" t="s">
        <v>87</v>
      </c>
      <c r="E3028" s="87" t="s">
        <v>102</v>
      </c>
      <c r="F3028" s="87" t="s">
        <v>1763</v>
      </c>
      <c r="I3028" s="87" t="s">
        <v>58</v>
      </c>
      <c r="J3028" s="87" t="s">
        <v>8890</v>
      </c>
      <c r="K3028" s="90">
        <v>1000.0</v>
      </c>
      <c r="L3028" s="92"/>
      <c r="M3028" s="93"/>
      <c r="N3028" s="87" t="s">
        <v>4427</v>
      </c>
      <c r="O3028" s="87" t="s">
        <v>377</v>
      </c>
      <c r="P3028" s="87" t="s">
        <v>372</v>
      </c>
    </row>
    <row r="3029" ht="15.75" customHeight="1">
      <c r="A3029" s="87" t="s">
        <v>8891</v>
      </c>
      <c r="B3029" s="88">
        <v>1.22E18</v>
      </c>
      <c r="C3029" s="87" t="s">
        <v>8892</v>
      </c>
      <c r="D3029" s="87" t="s">
        <v>87</v>
      </c>
      <c r="E3029" s="87" t="s">
        <v>228</v>
      </c>
      <c r="F3029" s="87" t="s">
        <v>373</v>
      </c>
      <c r="H3029" s="93"/>
      <c r="I3029" s="87" t="s">
        <v>340</v>
      </c>
      <c r="J3029" s="87" t="s">
        <v>8893</v>
      </c>
      <c r="K3029" s="90">
        <v>1000.0</v>
      </c>
      <c r="L3029" s="92"/>
      <c r="M3029" s="93"/>
      <c r="N3029" s="87" t="s">
        <v>408</v>
      </c>
      <c r="O3029" s="87" t="s">
        <v>377</v>
      </c>
      <c r="P3029" s="87" t="s">
        <v>372</v>
      </c>
    </row>
    <row r="3030" ht="15.75" customHeight="1">
      <c r="A3030" s="87" t="s">
        <v>8894</v>
      </c>
      <c r="B3030" s="88">
        <v>1.22E18</v>
      </c>
      <c r="C3030" s="87" t="s">
        <v>8895</v>
      </c>
      <c r="D3030" s="87" t="s">
        <v>87</v>
      </c>
      <c r="E3030" s="87" t="s">
        <v>228</v>
      </c>
      <c r="F3030" s="87" t="s">
        <v>373</v>
      </c>
      <c r="H3030" s="93"/>
      <c r="I3030" s="87" t="s">
        <v>340</v>
      </c>
      <c r="J3030" s="87" t="s">
        <v>8893</v>
      </c>
      <c r="K3030" s="90">
        <v>1000.0</v>
      </c>
      <c r="L3030" s="92"/>
      <c r="M3030" s="93"/>
      <c r="N3030" s="87" t="s">
        <v>408</v>
      </c>
      <c r="O3030" s="87" t="s">
        <v>377</v>
      </c>
      <c r="P3030" s="87" t="s">
        <v>372</v>
      </c>
    </row>
    <row r="3031" ht="15.75" customHeight="1">
      <c r="A3031" s="87" t="s">
        <v>8896</v>
      </c>
      <c r="B3031" s="88">
        <v>1.22E18</v>
      </c>
      <c r="C3031" s="87" t="s">
        <v>8897</v>
      </c>
      <c r="D3031" s="87" t="s">
        <v>87</v>
      </c>
      <c r="E3031" s="87" t="s">
        <v>228</v>
      </c>
      <c r="F3031" s="87" t="s">
        <v>373</v>
      </c>
      <c r="H3031" s="93"/>
      <c r="I3031" s="87" t="s">
        <v>340</v>
      </c>
      <c r="J3031" s="87" t="s">
        <v>8893</v>
      </c>
      <c r="K3031" s="90">
        <v>1000.0</v>
      </c>
      <c r="L3031" s="92"/>
      <c r="M3031" s="93"/>
      <c r="N3031" s="87" t="s">
        <v>408</v>
      </c>
      <c r="O3031" s="87" t="s">
        <v>377</v>
      </c>
      <c r="P3031" s="87" t="s">
        <v>372</v>
      </c>
    </row>
    <row r="3032" ht="15.75" customHeight="1">
      <c r="A3032" s="87" t="s">
        <v>8898</v>
      </c>
      <c r="B3032" s="88">
        <v>1.22E18</v>
      </c>
      <c r="C3032" s="87" t="s">
        <v>8899</v>
      </c>
      <c r="D3032" s="87" t="s">
        <v>87</v>
      </c>
      <c r="E3032" s="87" t="s">
        <v>228</v>
      </c>
      <c r="F3032" s="87" t="s">
        <v>373</v>
      </c>
      <c r="H3032" s="93"/>
      <c r="I3032" s="87" t="s">
        <v>340</v>
      </c>
      <c r="J3032" s="87" t="s">
        <v>6792</v>
      </c>
      <c r="K3032" s="90">
        <v>2000.0</v>
      </c>
      <c r="L3032" s="92"/>
      <c r="M3032" s="93"/>
      <c r="N3032" s="87" t="s">
        <v>408</v>
      </c>
      <c r="O3032" s="87" t="s">
        <v>377</v>
      </c>
      <c r="P3032" s="87" t="s">
        <v>372</v>
      </c>
    </row>
    <row r="3033" ht="15.75" customHeight="1">
      <c r="A3033" s="87" t="s">
        <v>8900</v>
      </c>
      <c r="B3033" s="88">
        <v>1.22E18</v>
      </c>
      <c r="C3033" s="87" t="s">
        <v>8901</v>
      </c>
      <c r="D3033" s="87" t="s">
        <v>87</v>
      </c>
      <c r="E3033" s="87" t="s">
        <v>228</v>
      </c>
      <c r="F3033" s="87" t="s">
        <v>373</v>
      </c>
      <c r="H3033" s="93"/>
      <c r="I3033" s="87" t="s">
        <v>340</v>
      </c>
      <c r="J3033" s="87" t="s">
        <v>6792</v>
      </c>
      <c r="K3033" s="90">
        <v>1000.0</v>
      </c>
      <c r="L3033" s="92"/>
      <c r="M3033" s="93"/>
      <c r="N3033" s="87" t="s">
        <v>408</v>
      </c>
      <c r="O3033" s="87" t="s">
        <v>377</v>
      </c>
      <c r="P3033" s="87" t="s">
        <v>372</v>
      </c>
    </row>
    <row r="3034" ht="15.75" customHeight="1">
      <c r="A3034" s="87" t="s">
        <v>8902</v>
      </c>
      <c r="B3034" s="88">
        <v>1.22E18</v>
      </c>
      <c r="C3034" s="87" t="s">
        <v>8903</v>
      </c>
      <c r="D3034" s="87" t="s">
        <v>87</v>
      </c>
      <c r="E3034" s="87" t="s">
        <v>228</v>
      </c>
      <c r="F3034" s="87" t="s">
        <v>373</v>
      </c>
      <c r="H3034" s="93"/>
      <c r="I3034" s="87" t="s">
        <v>340</v>
      </c>
      <c r="J3034" s="87" t="s">
        <v>8904</v>
      </c>
      <c r="K3034" s="90">
        <v>0.0</v>
      </c>
      <c r="L3034" s="92"/>
      <c r="M3034" s="93"/>
      <c r="N3034" s="87" t="s">
        <v>408</v>
      </c>
      <c r="O3034" s="87" t="s">
        <v>377</v>
      </c>
      <c r="P3034" s="87" t="s">
        <v>372</v>
      </c>
    </row>
    <row r="3035" ht="15.75" customHeight="1">
      <c r="A3035" s="87" t="s">
        <v>8905</v>
      </c>
      <c r="B3035" s="88">
        <v>1.22E18</v>
      </c>
      <c r="C3035" s="87" t="s">
        <v>8906</v>
      </c>
      <c r="D3035" s="87" t="s">
        <v>87</v>
      </c>
      <c r="E3035" s="87" t="s">
        <v>228</v>
      </c>
      <c r="F3035" s="87" t="s">
        <v>373</v>
      </c>
      <c r="H3035" s="93"/>
      <c r="I3035" s="87" t="s">
        <v>340</v>
      </c>
      <c r="J3035" s="87" t="s">
        <v>8904</v>
      </c>
      <c r="K3035" s="90">
        <v>0.0</v>
      </c>
      <c r="L3035" s="92"/>
      <c r="M3035" s="93"/>
      <c r="N3035" s="87" t="s">
        <v>408</v>
      </c>
      <c r="O3035" s="87" t="s">
        <v>377</v>
      </c>
      <c r="P3035" s="87" t="s">
        <v>372</v>
      </c>
    </row>
    <row r="3036" ht="15.75" customHeight="1">
      <c r="A3036" s="87" t="s">
        <v>8907</v>
      </c>
      <c r="B3036" s="88">
        <v>1.22E18</v>
      </c>
      <c r="C3036" s="87" t="s">
        <v>8908</v>
      </c>
      <c r="D3036" s="87" t="s">
        <v>87</v>
      </c>
      <c r="E3036" s="87" t="s">
        <v>88</v>
      </c>
      <c r="F3036" s="87" t="s">
        <v>373</v>
      </c>
      <c r="H3036" s="93"/>
      <c r="I3036" s="87" t="s">
        <v>340</v>
      </c>
      <c r="J3036" s="87" t="s">
        <v>8909</v>
      </c>
      <c r="K3036" s="90">
        <v>0.0</v>
      </c>
      <c r="L3036" s="92"/>
      <c r="M3036" s="93"/>
      <c r="N3036" s="87" t="s">
        <v>390</v>
      </c>
      <c r="O3036" s="87" t="s">
        <v>377</v>
      </c>
      <c r="P3036" s="87" t="s">
        <v>372</v>
      </c>
    </row>
    <row r="3037" ht="15.75" customHeight="1">
      <c r="A3037" s="87" t="s">
        <v>8910</v>
      </c>
      <c r="B3037" s="88">
        <v>1.22E18</v>
      </c>
      <c r="C3037" s="87" t="s">
        <v>8911</v>
      </c>
      <c r="D3037" s="87" t="s">
        <v>87</v>
      </c>
      <c r="E3037" s="87" t="s">
        <v>228</v>
      </c>
      <c r="F3037" s="87" t="s">
        <v>373</v>
      </c>
      <c r="H3037" s="93"/>
      <c r="I3037" s="87" t="s">
        <v>340</v>
      </c>
      <c r="J3037" s="87" t="s">
        <v>7960</v>
      </c>
      <c r="K3037" s="90">
        <v>0.0</v>
      </c>
      <c r="L3037" s="92"/>
      <c r="M3037" s="93"/>
      <c r="N3037" s="87" t="s">
        <v>7941</v>
      </c>
      <c r="O3037" s="87" t="s">
        <v>377</v>
      </c>
      <c r="P3037" s="87" t="s">
        <v>372</v>
      </c>
    </row>
    <row r="3038" ht="15.75" customHeight="1">
      <c r="A3038" s="87" t="s">
        <v>8912</v>
      </c>
      <c r="B3038" s="88">
        <v>1.22E18</v>
      </c>
      <c r="C3038" s="87" t="s">
        <v>8913</v>
      </c>
      <c r="D3038" s="87" t="s">
        <v>87</v>
      </c>
      <c r="E3038" s="87" t="s">
        <v>228</v>
      </c>
      <c r="F3038" s="87" t="s">
        <v>373</v>
      </c>
      <c r="H3038" s="93"/>
      <c r="I3038" s="87" t="s">
        <v>340</v>
      </c>
      <c r="J3038" s="87" t="s">
        <v>7960</v>
      </c>
      <c r="K3038" s="90">
        <v>1000.0</v>
      </c>
      <c r="L3038" s="92"/>
      <c r="M3038" s="93"/>
      <c r="N3038" s="87" t="s">
        <v>7941</v>
      </c>
      <c r="O3038" s="87" t="s">
        <v>377</v>
      </c>
      <c r="P3038" s="87" t="s">
        <v>372</v>
      </c>
    </row>
    <row r="3039" ht="15.75" customHeight="1">
      <c r="A3039" s="87" t="s">
        <v>8914</v>
      </c>
      <c r="B3039" s="88">
        <v>1.22E18</v>
      </c>
      <c r="C3039" s="87" t="s">
        <v>8915</v>
      </c>
      <c r="D3039" s="87" t="s">
        <v>87</v>
      </c>
      <c r="E3039" s="87" t="s">
        <v>228</v>
      </c>
      <c r="F3039" s="87" t="s">
        <v>373</v>
      </c>
      <c r="H3039" s="93"/>
      <c r="I3039" s="87" t="s">
        <v>340</v>
      </c>
      <c r="J3039" s="87" t="s">
        <v>7960</v>
      </c>
      <c r="K3039" s="90">
        <v>1000.0</v>
      </c>
      <c r="L3039" s="92"/>
      <c r="M3039" s="93"/>
      <c r="N3039" s="87" t="s">
        <v>7941</v>
      </c>
      <c r="O3039" s="87" t="s">
        <v>377</v>
      </c>
      <c r="P3039" s="87" t="s">
        <v>372</v>
      </c>
    </row>
    <row r="3040" ht="15.75" customHeight="1">
      <c r="A3040" s="87" t="s">
        <v>8916</v>
      </c>
      <c r="B3040" s="88">
        <v>1.22E18</v>
      </c>
      <c r="C3040" s="87" t="s">
        <v>8917</v>
      </c>
      <c r="D3040" s="87" t="s">
        <v>87</v>
      </c>
      <c r="E3040" s="87" t="s">
        <v>228</v>
      </c>
      <c r="F3040" s="87" t="s">
        <v>373</v>
      </c>
      <c r="H3040" s="93"/>
      <c r="I3040" s="87" t="s">
        <v>340</v>
      </c>
      <c r="J3040" s="87" t="s">
        <v>7960</v>
      </c>
      <c r="K3040" s="90">
        <v>1000.0</v>
      </c>
      <c r="L3040" s="92"/>
      <c r="M3040" s="93"/>
      <c r="N3040" s="87" t="s">
        <v>7941</v>
      </c>
      <c r="O3040" s="87" t="s">
        <v>377</v>
      </c>
      <c r="P3040" s="87" t="s">
        <v>372</v>
      </c>
    </row>
    <row r="3041" ht="15.75" customHeight="1">
      <c r="A3041" s="87" t="s">
        <v>8918</v>
      </c>
      <c r="B3041" s="88">
        <v>1.22E18</v>
      </c>
      <c r="C3041" s="87" t="s">
        <v>8919</v>
      </c>
      <c r="D3041" s="87" t="s">
        <v>87</v>
      </c>
      <c r="E3041" s="87" t="s">
        <v>228</v>
      </c>
      <c r="F3041" s="87" t="s">
        <v>373</v>
      </c>
      <c r="H3041" s="93"/>
      <c r="I3041" s="87" t="s">
        <v>340</v>
      </c>
      <c r="J3041" s="87" t="s">
        <v>3081</v>
      </c>
      <c r="K3041" s="90">
        <v>0.0</v>
      </c>
      <c r="L3041" s="92"/>
      <c r="M3041" s="93"/>
      <c r="N3041" s="87" t="s">
        <v>7941</v>
      </c>
      <c r="O3041" s="87" t="s">
        <v>377</v>
      </c>
      <c r="P3041" s="87" t="s">
        <v>372</v>
      </c>
    </row>
    <row r="3042" ht="15.75" customHeight="1">
      <c r="A3042" s="87" t="s">
        <v>8920</v>
      </c>
      <c r="B3042" s="88">
        <v>1.22E18</v>
      </c>
      <c r="C3042" s="87" t="s">
        <v>8921</v>
      </c>
      <c r="D3042" s="87" t="s">
        <v>87</v>
      </c>
      <c r="E3042" s="87" t="s">
        <v>228</v>
      </c>
      <c r="F3042" s="87" t="s">
        <v>373</v>
      </c>
      <c r="H3042" s="93"/>
      <c r="I3042" s="87" t="s">
        <v>340</v>
      </c>
      <c r="J3042" s="87" t="s">
        <v>3081</v>
      </c>
      <c r="K3042" s="90">
        <v>1000.0</v>
      </c>
      <c r="L3042" s="92"/>
      <c r="M3042" s="93"/>
      <c r="N3042" s="87" t="s">
        <v>7941</v>
      </c>
      <c r="O3042" s="87" t="s">
        <v>377</v>
      </c>
      <c r="P3042" s="87" t="s">
        <v>372</v>
      </c>
    </row>
    <row r="3043" ht="15.75" customHeight="1">
      <c r="A3043" s="87" t="s">
        <v>8922</v>
      </c>
      <c r="B3043" s="88">
        <v>1.22E18</v>
      </c>
      <c r="C3043" s="87" t="s">
        <v>8923</v>
      </c>
      <c r="D3043" s="87" t="s">
        <v>87</v>
      </c>
      <c r="E3043" s="87" t="s">
        <v>228</v>
      </c>
      <c r="F3043" s="87" t="s">
        <v>373</v>
      </c>
      <c r="H3043" s="93"/>
      <c r="I3043" s="87" t="s">
        <v>340</v>
      </c>
      <c r="J3043" s="87" t="s">
        <v>3081</v>
      </c>
      <c r="K3043" s="90">
        <v>1000.0</v>
      </c>
      <c r="L3043" s="92"/>
      <c r="M3043" s="93"/>
      <c r="N3043" s="87" t="s">
        <v>7941</v>
      </c>
      <c r="O3043" s="87" t="s">
        <v>377</v>
      </c>
      <c r="P3043" s="87" t="s">
        <v>372</v>
      </c>
    </row>
    <row r="3044" ht="15.75" customHeight="1">
      <c r="A3044" s="87" t="s">
        <v>8924</v>
      </c>
      <c r="B3044" s="88">
        <v>1.22E18</v>
      </c>
      <c r="C3044" s="87" t="s">
        <v>8925</v>
      </c>
      <c r="D3044" s="87" t="s">
        <v>87</v>
      </c>
      <c r="E3044" s="87" t="s">
        <v>228</v>
      </c>
      <c r="F3044" s="87" t="s">
        <v>373</v>
      </c>
      <c r="H3044" s="93"/>
      <c r="I3044" s="87" t="s">
        <v>340</v>
      </c>
      <c r="J3044" s="87" t="s">
        <v>3081</v>
      </c>
      <c r="K3044" s="90">
        <v>1000.0</v>
      </c>
      <c r="L3044" s="92"/>
      <c r="M3044" s="93"/>
      <c r="N3044" s="87" t="s">
        <v>7941</v>
      </c>
      <c r="O3044" s="87" t="s">
        <v>377</v>
      </c>
      <c r="P3044" s="87" t="s">
        <v>372</v>
      </c>
    </row>
    <row r="3045" ht="15.75" customHeight="1">
      <c r="A3045" s="87" t="s">
        <v>8926</v>
      </c>
      <c r="B3045" s="88">
        <v>1.22E18</v>
      </c>
      <c r="C3045" s="87" t="s">
        <v>8927</v>
      </c>
      <c r="D3045" s="87" t="s">
        <v>87</v>
      </c>
      <c r="E3045" s="87" t="s">
        <v>228</v>
      </c>
      <c r="F3045" s="87" t="s">
        <v>373</v>
      </c>
      <c r="H3045" s="93"/>
      <c r="I3045" s="87" t="s">
        <v>340</v>
      </c>
      <c r="J3045" s="87" t="s">
        <v>8928</v>
      </c>
      <c r="K3045" s="90">
        <v>1000.0</v>
      </c>
      <c r="L3045" s="92"/>
      <c r="M3045" s="93"/>
      <c r="N3045" s="87" t="s">
        <v>617</v>
      </c>
      <c r="O3045" s="87" t="s">
        <v>377</v>
      </c>
      <c r="P3045" s="87" t="s">
        <v>372</v>
      </c>
    </row>
    <row r="3046" ht="15.75" customHeight="1">
      <c r="A3046" s="87" t="s">
        <v>8929</v>
      </c>
      <c r="B3046" s="88">
        <v>1.22E18</v>
      </c>
      <c r="C3046" s="87" t="s">
        <v>8930</v>
      </c>
      <c r="D3046" s="87" t="s">
        <v>87</v>
      </c>
      <c r="E3046" s="87" t="s">
        <v>228</v>
      </c>
      <c r="F3046" s="87" t="s">
        <v>373</v>
      </c>
      <c r="H3046" s="93"/>
      <c r="I3046" s="87" t="s">
        <v>340</v>
      </c>
      <c r="J3046" s="87" t="s">
        <v>8928</v>
      </c>
      <c r="K3046" s="90">
        <v>1000.0</v>
      </c>
      <c r="L3046" s="92"/>
      <c r="M3046" s="93"/>
      <c r="N3046" s="87" t="s">
        <v>617</v>
      </c>
      <c r="O3046" s="87" t="s">
        <v>377</v>
      </c>
      <c r="P3046" s="87" t="s">
        <v>372</v>
      </c>
    </row>
    <row r="3047" ht="15.75" customHeight="1">
      <c r="A3047" s="87" t="s">
        <v>8931</v>
      </c>
      <c r="B3047" s="88">
        <v>1.22E18</v>
      </c>
      <c r="C3047" s="87" t="s">
        <v>8932</v>
      </c>
      <c r="D3047" s="87" t="s">
        <v>87</v>
      </c>
      <c r="E3047" s="87" t="s">
        <v>228</v>
      </c>
      <c r="F3047" s="87" t="s">
        <v>373</v>
      </c>
      <c r="H3047" s="93"/>
      <c r="I3047" s="87" t="s">
        <v>340</v>
      </c>
      <c r="J3047" s="87" t="s">
        <v>8928</v>
      </c>
      <c r="K3047" s="90">
        <v>1000.0</v>
      </c>
      <c r="L3047" s="92"/>
      <c r="M3047" s="93"/>
      <c r="N3047" s="87" t="s">
        <v>617</v>
      </c>
      <c r="O3047" s="87" t="s">
        <v>377</v>
      </c>
      <c r="P3047" s="87" t="s">
        <v>372</v>
      </c>
    </row>
    <row r="3048" ht="15.75" customHeight="1">
      <c r="A3048" s="87" t="s">
        <v>8933</v>
      </c>
      <c r="B3048" s="88">
        <v>1.22E18</v>
      </c>
      <c r="C3048" s="87" t="s">
        <v>8934</v>
      </c>
      <c r="D3048" s="87" t="s">
        <v>87</v>
      </c>
      <c r="E3048" s="87" t="s">
        <v>228</v>
      </c>
      <c r="F3048" s="87" t="s">
        <v>373</v>
      </c>
      <c r="H3048" s="93"/>
      <c r="I3048" s="87" t="s">
        <v>340</v>
      </c>
      <c r="J3048" s="87" t="s">
        <v>8928</v>
      </c>
      <c r="K3048" s="90">
        <v>1000.0</v>
      </c>
      <c r="L3048" s="92"/>
      <c r="M3048" s="93"/>
      <c r="N3048" s="87" t="s">
        <v>617</v>
      </c>
      <c r="O3048" s="87" t="s">
        <v>377</v>
      </c>
      <c r="P3048" s="87" t="s">
        <v>372</v>
      </c>
    </row>
    <row r="3049" ht="15.75" customHeight="1">
      <c r="A3049" s="87" t="s">
        <v>8935</v>
      </c>
      <c r="B3049" s="88">
        <v>1.22E18</v>
      </c>
      <c r="C3049" s="87" t="s">
        <v>8936</v>
      </c>
      <c r="D3049" s="87" t="s">
        <v>87</v>
      </c>
      <c r="E3049" s="87" t="s">
        <v>228</v>
      </c>
      <c r="F3049" s="87" t="s">
        <v>373</v>
      </c>
      <c r="H3049" s="93"/>
      <c r="I3049" s="87" t="s">
        <v>340</v>
      </c>
      <c r="J3049" s="87" t="s">
        <v>8937</v>
      </c>
      <c r="K3049" s="90">
        <v>1500.0</v>
      </c>
      <c r="L3049" s="92"/>
      <c r="M3049" s="93"/>
      <c r="N3049" s="93"/>
      <c r="O3049" s="87" t="s">
        <v>377</v>
      </c>
      <c r="P3049" s="87" t="s">
        <v>372</v>
      </c>
    </row>
    <row r="3050" ht="15.75" customHeight="1">
      <c r="A3050" s="87" t="s">
        <v>8938</v>
      </c>
      <c r="B3050" s="88">
        <v>1.22E18</v>
      </c>
      <c r="C3050" s="87" t="s">
        <v>8939</v>
      </c>
      <c r="D3050" s="87" t="s">
        <v>87</v>
      </c>
      <c r="E3050" s="87" t="s">
        <v>228</v>
      </c>
      <c r="F3050" s="87" t="s">
        <v>373</v>
      </c>
      <c r="H3050" s="93"/>
      <c r="I3050" s="87" t="s">
        <v>340</v>
      </c>
      <c r="J3050" s="87" t="s">
        <v>8940</v>
      </c>
      <c r="K3050" s="90">
        <v>2000.0</v>
      </c>
      <c r="L3050" s="92"/>
      <c r="M3050" s="93"/>
      <c r="N3050" s="93"/>
      <c r="O3050" s="87" t="s">
        <v>377</v>
      </c>
      <c r="P3050" s="87" t="s">
        <v>372</v>
      </c>
    </row>
    <row r="3051" ht="15.75" customHeight="1">
      <c r="A3051" s="87" t="s">
        <v>8941</v>
      </c>
      <c r="B3051" s="88">
        <v>1.22E18</v>
      </c>
      <c r="C3051" s="87" t="s">
        <v>8942</v>
      </c>
      <c r="D3051" s="87" t="s">
        <v>87</v>
      </c>
      <c r="E3051" s="87" t="s">
        <v>228</v>
      </c>
      <c r="F3051" s="87" t="s">
        <v>373</v>
      </c>
      <c r="H3051" s="93"/>
      <c r="I3051" s="87" t="s">
        <v>340</v>
      </c>
      <c r="J3051" s="87" t="s">
        <v>8943</v>
      </c>
      <c r="K3051" s="90">
        <v>2000.0</v>
      </c>
      <c r="L3051" s="92"/>
      <c r="M3051" s="93"/>
      <c r="N3051" s="93"/>
      <c r="O3051" s="87" t="s">
        <v>377</v>
      </c>
      <c r="P3051" s="87" t="s">
        <v>372</v>
      </c>
    </row>
    <row r="3052" ht="15.75" customHeight="1">
      <c r="A3052" s="87" t="s">
        <v>8944</v>
      </c>
      <c r="B3052" s="88">
        <v>1.22E18</v>
      </c>
      <c r="C3052" s="87" t="s">
        <v>8945</v>
      </c>
      <c r="D3052" s="87" t="s">
        <v>87</v>
      </c>
      <c r="E3052" s="87" t="s">
        <v>228</v>
      </c>
      <c r="F3052" s="87" t="s">
        <v>373</v>
      </c>
      <c r="H3052" s="93"/>
      <c r="I3052" s="87" t="s">
        <v>340</v>
      </c>
      <c r="J3052" s="87" t="s">
        <v>8946</v>
      </c>
      <c r="K3052" s="90">
        <v>1000.0</v>
      </c>
      <c r="L3052" s="92"/>
      <c r="M3052" s="93"/>
      <c r="N3052" s="93"/>
      <c r="O3052" s="87" t="s">
        <v>377</v>
      </c>
      <c r="P3052" s="87" t="s">
        <v>372</v>
      </c>
    </row>
    <row r="3053" ht="15.75" customHeight="1">
      <c r="A3053" s="87" t="s">
        <v>8947</v>
      </c>
      <c r="B3053" s="88">
        <v>1.22E18</v>
      </c>
      <c r="C3053" s="87" t="s">
        <v>8948</v>
      </c>
      <c r="D3053" s="87" t="s">
        <v>87</v>
      </c>
      <c r="E3053" s="87" t="s">
        <v>228</v>
      </c>
      <c r="F3053" s="87" t="s">
        <v>373</v>
      </c>
      <c r="H3053" s="93"/>
      <c r="I3053" s="87" t="s">
        <v>340</v>
      </c>
      <c r="J3053" s="87" t="s">
        <v>8949</v>
      </c>
      <c r="K3053" s="90">
        <v>2000.0</v>
      </c>
      <c r="L3053" s="92"/>
      <c r="M3053" s="93"/>
      <c r="N3053" s="93"/>
      <c r="O3053" s="87" t="s">
        <v>377</v>
      </c>
      <c r="P3053" s="87" t="s">
        <v>372</v>
      </c>
    </row>
    <row r="3054" ht="15.75" customHeight="1">
      <c r="A3054" s="87" t="s">
        <v>8950</v>
      </c>
      <c r="B3054" s="88">
        <v>1.22E18</v>
      </c>
      <c r="C3054" s="87" t="s">
        <v>8951</v>
      </c>
      <c r="D3054" s="87" t="s">
        <v>87</v>
      </c>
      <c r="E3054" s="87" t="s">
        <v>228</v>
      </c>
      <c r="F3054" s="87" t="s">
        <v>373</v>
      </c>
      <c r="H3054" s="93"/>
      <c r="I3054" s="87" t="s">
        <v>340</v>
      </c>
      <c r="J3054" s="87" t="s">
        <v>8952</v>
      </c>
      <c r="K3054" s="90">
        <v>1500.0</v>
      </c>
      <c r="L3054" s="92"/>
      <c r="M3054" s="93"/>
      <c r="N3054" s="93"/>
      <c r="O3054" s="87" t="s">
        <v>377</v>
      </c>
      <c r="P3054" s="87" t="s">
        <v>372</v>
      </c>
    </row>
    <row r="3055" ht="15.75" customHeight="1">
      <c r="A3055" s="87" t="s">
        <v>8953</v>
      </c>
      <c r="B3055" s="88">
        <v>1.22E18</v>
      </c>
      <c r="C3055" s="87" t="s">
        <v>8954</v>
      </c>
      <c r="D3055" s="87" t="s">
        <v>87</v>
      </c>
      <c r="E3055" s="87" t="s">
        <v>88</v>
      </c>
      <c r="F3055" s="87" t="s">
        <v>373</v>
      </c>
      <c r="H3055" s="93"/>
      <c r="I3055" s="87" t="s">
        <v>340</v>
      </c>
      <c r="J3055" s="87" t="s">
        <v>8955</v>
      </c>
      <c r="K3055" s="90">
        <v>0.0</v>
      </c>
      <c r="L3055" s="92"/>
      <c r="M3055" s="93"/>
      <c r="N3055" s="87" t="s">
        <v>5799</v>
      </c>
      <c r="O3055" s="87" t="s">
        <v>377</v>
      </c>
      <c r="P3055" s="87" t="s">
        <v>372</v>
      </c>
    </row>
    <row r="3056" ht="15.75" customHeight="1">
      <c r="A3056" s="87" t="s">
        <v>8956</v>
      </c>
      <c r="B3056" s="88">
        <v>1.22E18</v>
      </c>
      <c r="C3056" s="87" t="s">
        <v>8957</v>
      </c>
      <c r="D3056" s="87" t="s">
        <v>87</v>
      </c>
      <c r="E3056" s="87" t="s">
        <v>88</v>
      </c>
      <c r="F3056" s="87" t="s">
        <v>373</v>
      </c>
      <c r="H3056" s="93"/>
      <c r="I3056" s="87" t="s">
        <v>340</v>
      </c>
      <c r="J3056" s="87" t="s">
        <v>8958</v>
      </c>
      <c r="K3056" s="90">
        <v>0.0</v>
      </c>
      <c r="L3056" s="92"/>
      <c r="M3056" s="93"/>
      <c r="N3056" s="87" t="s">
        <v>5799</v>
      </c>
      <c r="O3056" s="87" t="s">
        <v>377</v>
      </c>
      <c r="P3056" s="87" t="s">
        <v>372</v>
      </c>
    </row>
    <row r="3057" ht="15.75" customHeight="1">
      <c r="A3057" s="87" t="s">
        <v>8959</v>
      </c>
      <c r="B3057" s="88">
        <v>1.22E18</v>
      </c>
      <c r="C3057" s="87" t="s">
        <v>8960</v>
      </c>
      <c r="D3057" s="87" t="s">
        <v>87</v>
      </c>
      <c r="E3057" s="87" t="s">
        <v>88</v>
      </c>
      <c r="F3057" s="87" t="s">
        <v>373</v>
      </c>
      <c r="H3057" s="93"/>
      <c r="I3057" s="87" t="s">
        <v>340</v>
      </c>
      <c r="J3057" s="87" t="s">
        <v>8961</v>
      </c>
      <c r="K3057" s="90">
        <v>0.0</v>
      </c>
      <c r="L3057" s="92"/>
      <c r="M3057" s="93"/>
      <c r="N3057" s="87" t="s">
        <v>5799</v>
      </c>
      <c r="O3057" s="87" t="s">
        <v>377</v>
      </c>
      <c r="P3057" s="87" t="s">
        <v>372</v>
      </c>
    </row>
    <row r="3058" ht="15.75" customHeight="1">
      <c r="A3058" s="87" t="s">
        <v>8962</v>
      </c>
      <c r="B3058" s="88">
        <v>1.22E18</v>
      </c>
      <c r="C3058" s="87" t="s">
        <v>8963</v>
      </c>
      <c r="D3058" s="87" t="s">
        <v>87</v>
      </c>
      <c r="E3058" s="87" t="s">
        <v>88</v>
      </c>
      <c r="F3058" s="87" t="s">
        <v>373</v>
      </c>
      <c r="H3058" s="93"/>
      <c r="I3058" s="87" t="s">
        <v>340</v>
      </c>
      <c r="J3058" s="87" t="s">
        <v>8964</v>
      </c>
      <c r="K3058" s="90">
        <v>0.0</v>
      </c>
      <c r="L3058" s="92"/>
      <c r="M3058" s="93"/>
      <c r="N3058" s="87" t="s">
        <v>5799</v>
      </c>
      <c r="O3058" s="87" t="s">
        <v>377</v>
      </c>
      <c r="P3058" s="87" t="s">
        <v>372</v>
      </c>
    </row>
    <row r="3059" ht="15.75" customHeight="1">
      <c r="A3059" s="87" t="s">
        <v>8965</v>
      </c>
      <c r="B3059" s="88">
        <v>1.22E18</v>
      </c>
      <c r="C3059" s="87" t="s">
        <v>8966</v>
      </c>
      <c r="D3059" s="87" t="s">
        <v>87</v>
      </c>
      <c r="E3059" s="87" t="s">
        <v>88</v>
      </c>
      <c r="F3059" s="87" t="s">
        <v>373</v>
      </c>
      <c r="H3059" s="93"/>
      <c r="I3059" s="87" t="s">
        <v>8773</v>
      </c>
      <c r="J3059" s="87" t="s">
        <v>8967</v>
      </c>
      <c r="K3059" s="90">
        <v>1.0</v>
      </c>
      <c r="L3059" s="92"/>
      <c r="M3059" s="93"/>
      <c r="N3059" s="87" t="s">
        <v>1015</v>
      </c>
      <c r="O3059" s="87" t="s">
        <v>377</v>
      </c>
      <c r="P3059" s="87" t="s">
        <v>372</v>
      </c>
    </row>
    <row r="3060" ht="15.75" customHeight="1">
      <c r="A3060" s="87" t="s">
        <v>8968</v>
      </c>
      <c r="B3060" s="88">
        <v>1.22E18</v>
      </c>
      <c r="C3060" s="87" t="s">
        <v>8969</v>
      </c>
      <c r="D3060" s="87" t="s">
        <v>56</v>
      </c>
      <c r="E3060" s="87" t="s">
        <v>102</v>
      </c>
      <c r="F3060" s="87" t="s">
        <v>1763</v>
      </c>
      <c r="I3060" s="87" t="s">
        <v>5012</v>
      </c>
      <c r="J3060" s="87" t="s">
        <v>2070</v>
      </c>
      <c r="K3060" s="90">
        <v>0.0</v>
      </c>
      <c r="L3060" s="92"/>
      <c r="M3060" s="93"/>
      <c r="N3060" s="93"/>
      <c r="O3060" s="87" t="s">
        <v>377</v>
      </c>
      <c r="P3060" s="87" t="s">
        <v>372</v>
      </c>
    </row>
    <row r="3061" ht="15.75" customHeight="1">
      <c r="A3061" s="87" t="s">
        <v>8970</v>
      </c>
      <c r="B3061" s="88">
        <v>1.22E18</v>
      </c>
      <c r="C3061" s="87" t="s">
        <v>8971</v>
      </c>
      <c r="D3061" s="87" t="s">
        <v>56</v>
      </c>
      <c r="E3061" s="87" t="s">
        <v>59</v>
      </c>
      <c r="F3061" s="87" t="s">
        <v>1763</v>
      </c>
      <c r="I3061" s="87" t="s">
        <v>58</v>
      </c>
      <c r="J3061" s="87" t="s">
        <v>8972</v>
      </c>
      <c r="K3061" s="90">
        <v>0.0</v>
      </c>
      <c r="L3061" s="92"/>
      <c r="M3061" s="93"/>
      <c r="N3061" s="87" t="s">
        <v>1772</v>
      </c>
      <c r="O3061" s="87" t="s">
        <v>377</v>
      </c>
      <c r="P3061" s="87" t="s">
        <v>372</v>
      </c>
    </row>
    <row r="3062" ht="15.75" customHeight="1">
      <c r="A3062" s="87" t="s">
        <v>8973</v>
      </c>
      <c r="B3062" s="88">
        <v>1.22E18</v>
      </c>
      <c r="C3062" s="87" t="s">
        <v>8974</v>
      </c>
      <c r="D3062" s="87" t="s">
        <v>262</v>
      </c>
      <c r="E3062" s="87" t="s">
        <v>267</v>
      </c>
      <c r="F3062" s="87" t="s">
        <v>1763</v>
      </c>
      <c r="I3062" s="87" t="s">
        <v>58</v>
      </c>
      <c r="J3062" s="87" t="s">
        <v>3285</v>
      </c>
      <c r="K3062" s="90">
        <v>0.0</v>
      </c>
      <c r="L3062" s="92"/>
      <c r="M3062" s="93"/>
      <c r="N3062" s="87" t="s">
        <v>1772</v>
      </c>
      <c r="O3062" s="87" t="s">
        <v>377</v>
      </c>
      <c r="P3062" s="87" t="s">
        <v>372</v>
      </c>
    </row>
    <row r="3063" ht="15.75" customHeight="1">
      <c r="A3063" s="87" t="s">
        <v>8975</v>
      </c>
      <c r="B3063" s="88">
        <v>1.22E18</v>
      </c>
      <c r="C3063" s="87" t="s">
        <v>8976</v>
      </c>
      <c r="D3063" s="87" t="s">
        <v>56</v>
      </c>
      <c r="E3063" s="87" t="s">
        <v>102</v>
      </c>
      <c r="F3063" s="87" t="s">
        <v>1763</v>
      </c>
      <c r="I3063" s="87" t="s">
        <v>58</v>
      </c>
      <c r="J3063" s="87" t="s">
        <v>8977</v>
      </c>
      <c r="K3063" s="90">
        <v>0.0</v>
      </c>
      <c r="L3063" s="92"/>
      <c r="M3063" s="93"/>
      <c r="N3063" s="87" t="s">
        <v>1772</v>
      </c>
      <c r="O3063" s="87" t="s">
        <v>377</v>
      </c>
      <c r="P3063" s="87" t="s">
        <v>372</v>
      </c>
    </row>
    <row r="3064" ht="15.75" customHeight="1">
      <c r="A3064" s="87" t="s">
        <v>8978</v>
      </c>
      <c r="B3064" s="88">
        <v>1.22E18</v>
      </c>
      <c r="C3064" s="87" t="s">
        <v>8979</v>
      </c>
      <c r="D3064" s="87" t="s">
        <v>56</v>
      </c>
      <c r="E3064" s="87" t="s">
        <v>102</v>
      </c>
      <c r="F3064" s="87" t="s">
        <v>1763</v>
      </c>
      <c r="I3064" s="87" t="s">
        <v>58</v>
      </c>
      <c r="J3064" s="87" t="s">
        <v>8980</v>
      </c>
      <c r="K3064" s="90">
        <v>0.0</v>
      </c>
      <c r="L3064" s="92"/>
      <c r="M3064" s="93"/>
      <c r="N3064" s="87" t="s">
        <v>1772</v>
      </c>
      <c r="O3064" s="87" t="s">
        <v>377</v>
      </c>
      <c r="P3064" s="87" t="s">
        <v>372</v>
      </c>
    </row>
    <row r="3065" ht="15.75" customHeight="1">
      <c r="A3065" s="87" t="s">
        <v>8981</v>
      </c>
      <c r="B3065" s="88">
        <v>1.22E18</v>
      </c>
      <c r="C3065" s="87" t="s">
        <v>8982</v>
      </c>
      <c r="D3065" s="87" t="s">
        <v>87</v>
      </c>
      <c r="E3065" s="87" t="s">
        <v>102</v>
      </c>
      <c r="F3065" s="87" t="s">
        <v>1763</v>
      </c>
      <c r="I3065" s="87" t="s">
        <v>58</v>
      </c>
      <c r="J3065" s="87" t="s">
        <v>8983</v>
      </c>
      <c r="K3065" s="90">
        <v>1500.0</v>
      </c>
      <c r="L3065" s="92"/>
      <c r="M3065" s="93"/>
      <c r="N3065" s="87" t="s">
        <v>3315</v>
      </c>
      <c r="O3065" s="87" t="s">
        <v>377</v>
      </c>
      <c r="P3065" s="87" t="s">
        <v>372</v>
      </c>
    </row>
    <row r="3066" ht="15.75" customHeight="1">
      <c r="A3066" s="87" t="s">
        <v>8984</v>
      </c>
      <c r="B3066" s="88">
        <v>1.22E18</v>
      </c>
      <c r="C3066" s="87" t="s">
        <v>8985</v>
      </c>
      <c r="D3066" s="87" t="s">
        <v>56</v>
      </c>
      <c r="E3066" s="87" t="s">
        <v>259</v>
      </c>
      <c r="F3066" s="87" t="s">
        <v>1763</v>
      </c>
      <c r="I3066" s="87" t="s">
        <v>58</v>
      </c>
      <c r="J3066" s="87" t="s">
        <v>8986</v>
      </c>
      <c r="K3066" s="90">
        <v>0.0</v>
      </c>
      <c r="L3066" s="92"/>
      <c r="M3066" s="93"/>
      <c r="N3066" s="87" t="s">
        <v>5364</v>
      </c>
      <c r="O3066" s="87" t="s">
        <v>377</v>
      </c>
      <c r="P3066" s="87" t="s">
        <v>372</v>
      </c>
    </row>
    <row r="3067" ht="15.75" customHeight="1">
      <c r="A3067" s="87" t="s">
        <v>8987</v>
      </c>
      <c r="B3067" s="88">
        <v>1.22E18</v>
      </c>
      <c r="C3067" s="87" t="s">
        <v>8988</v>
      </c>
      <c r="D3067" s="87" t="s">
        <v>56</v>
      </c>
      <c r="E3067" s="87" t="s">
        <v>102</v>
      </c>
      <c r="F3067" s="87" t="s">
        <v>1763</v>
      </c>
      <c r="I3067" s="87" t="s">
        <v>8773</v>
      </c>
      <c r="J3067" s="87" t="s">
        <v>8989</v>
      </c>
      <c r="K3067" s="90">
        <v>0.0</v>
      </c>
      <c r="L3067" s="92"/>
      <c r="M3067" s="93"/>
      <c r="N3067" s="93"/>
      <c r="O3067" s="87" t="s">
        <v>377</v>
      </c>
      <c r="P3067" s="87" t="s">
        <v>372</v>
      </c>
    </row>
    <row r="3068" ht="15.75" customHeight="1">
      <c r="A3068" s="87" t="s">
        <v>8990</v>
      </c>
      <c r="B3068" s="88">
        <v>1.22E18</v>
      </c>
      <c r="C3068" s="87" t="s">
        <v>8991</v>
      </c>
      <c r="D3068" s="87" t="s">
        <v>262</v>
      </c>
      <c r="E3068" s="87" t="s">
        <v>275</v>
      </c>
      <c r="F3068" s="87" t="s">
        <v>1749</v>
      </c>
      <c r="H3068" s="93"/>
      <c r="I3068" s="87" t="s">
        <v>58</v>
      </c>
      <c r="J3068" s="87" t="s">
        <v>8992</v>
      </c>
      <c r="K3068" s="90">
        <v>0.0</v>
      </c>
      <c r="L3068" s="92"/>
      <c r="M3068" s="93"/>
      <c r="N3068" s="87" t="s">
        <v>8325</v>
      </c>
      <c r="O3068" s="87" t="s">
        <v>377</v>
      </c>
      <c r="P3068" s="87" t="s">
        <v>372</v>
      </c>
    </row>
    <row r="3069" ht="15.75" customHeight="1">
      <c r="A3069" s="87" t="s">
        <v>8993</v>
      </c>
      <c r="B3069" s="88">
        <v>1.22E18</v>
      </c>
      <c r="C3069" s="87" t="s">
        <v>8994</v>
      </c>
      <c r="D3069" s="87" t="s">
        <v>262</v>
      </c>
      <c r="E3069" s="87" t="s">
        <v>275</v>
      </c>
      <c r="F3069" s="87" t="s">
        <v>1749</v>
      </c>
      <c r="H3069" s="93"/>
      <c r="I3069" s="87" t="s">
        <v>58</v>
      </c>
      <c r="J3069" s="87" t="s">
        <v>8995</v>
      </c>
      <c r="K3069" s="90">
        <v>0.0</v>
      </c>
      <c r="L3069" s="92"/>
      <c r="M3069" s="93"/>
      <c r="N3069" s="93"/>
      <c r="O3069" s="87" t="s">
        <v>377</v>
      </c>
      <c r="P3069" s="87" t="s">
        <v>372</v>
      </c>
    </row>
    <row r="3070" ht="15.75" customHeight="1">
      <c r="A3070" s="87" t="s">
        <v>8996</v>
      </c>
      <c r="B3070" s="88">
        <v>1.22E18</v>
      </c>
      <c r="C3070" s="87" t="s">
        <v>8997</v>
      </c>
      <c r="D3070" s="87" t="s">
        <v>262</v>
      </c>
      <c r="E3070" s="87" t="s">
        <v>275</v>
      </c>
      <c r="F3070" s="87" t="s">
        <v>1749</v>
      </c>
      <c r="H3070" s="93"/>
      <c r="I3070" s="87" t="s">
        <v>58</v>
      </c>
      <c r="J3070" s="87" t="s">
        <v>8998</v>
      </c>
      <c r="K3070" s="90">
        <v>0.0</v>
      </c>
      <c r="L3070" s="92"/>
      <c r="M3070" s="93"/>
      <c r="N3070" s="87" t="s">
        <v>8325</v>
      </c>
      <c r="O3070" s="87" t="s">
        <v>377</v>
      </c>
      <c r="P3070" s="87" t="s">
        <v>372</v>
      </c>
    </row>
    <row r="3071" ht="15.75" customHeight="1">
      <c r="A3071" s="87" t="s">
        <v>8999</v>
      </c>
      <c r="B3071" s="88">
        <v>1.22E18</v>
      </c>
      <c r="C3071" s="87" t="s">
        <v>9000</v>
      </c>
      <c r="D3071" s="87" t="s">
        <v>87</v>
      </c>
      <c r="E3071" s="87" t="s">
        <v>88</v>
      </c>
      <c r="F3071" s="87" t="s">
        <v>9000</v>
      </c>
      <c r="I3071" s="87" t="s">
        <v>58</v>
      </c>
      <c r="J3071" s="87" t="s">
        <v>4079</v>
      </c>
      <c r="K3071" s="90">
        <v>0.0</v>
      </c>
      <c r="L3071" s="92"/>
      <c r="M3071" s="93"/>
      <c r="N3071" s="87" t="s">
        <v>8325</v>
      </c>
      <c r="O3071" s="87" t="s">
        <v>377</v>
      </c>
      <c r="P3071" s="87" t="s">
        <v>372</v>
      </c>
    </row>
    <row r="3072" ht="15.75" customHeight="1">
      <c r="A3072" s="87" t="s">
        <v>9001</v>
      </c>
      <c r="B3072" s="88">
        <v>1.22E18</v>
      </c>
      <c r="C3072" s="87" t="s">
        <v>9002</v>
      </c>
      <c r="D3072" s="87" t="s">
        <v>262</v>
      </c>
      <c r="E3072" s="87" t="s">
        <v>275</v>
      </c>
      <c r="F3072" s="87" t="s">
        <v>1749</v>
      </c>
      <c r="H3072" s="93"/>
      <c r="I3072" s="87" t="s">
        <v>58</v>
      </c>
      <c r="J3072" s="87" t="s">
        <v>8998</v>
      </c>
      <c r="K3072" s="90">
        <v>0.0</v>
      </c>
      <c r="L3072" s="92"/>
      <c r="M3072" s="93"/>
      <c r="N3072" s="87" t="s">
        <v>8325</v>
      </c>
      <c r="O3072" s="87" t="s">
        <v>377</v>
      </c>
      <c r="P3072" s="87" t="s">
        <v>372</v>
      </c>
    </row>
    <row r="3073" ht="15.75" customHeight="1">
      <c r="A3073" s="87" t="s">
        <v>9003</v>
      </c>
      <c r="B3073" s="88">
        <v>1.22E18</v>
      </c>
      <c r="C3073" s="87" t="s">
        <v>9004</v>
      </c>
      <c r="D3073" s="87" t="s">
        <v>262</v>
      </c>
      <c r="E3073" s="87" t="s">
        <v>275</v>
      </c>
      <c r="F3073" s="87" t="s">
        <v>1749</v>
      </c>
      <c r="H3073" s="93"/>
      <c r="I3073" s="87" t="s">
        <v>58</v>
      </c>
      <c r="J3073" s="87" t="s">
        <v>8998</v>
      </c>
      <c r="K3073" s="90">
        <v>0.0</v>
      </c>
      <c r="L3073" s="92"/>
      <c r="M3073" s="93"/>
      <c r="N3073" s="87" t="s">
        <v>8325</v>
      </c>
      <c r="O3073" s="87" t="s">
        <v>377</v>
      </c>
      <c r="P3073" s="87" t="s">
        <v>372</v>
      </c>
    </row>
    <row r="3074" ht="15.75" customHeight="1">
      <c r="A3074" s="87" t="s">
        <v>9005</v>
      </c>
      <c r="B3074" s="88">
        <v>1.22E18</v>
      </c>
      <c r="C3074" s="87" t="s">
        <v>9006</v>
      </c>
      <c r="D3074" s="87" t="s">
        <v>262</v>
      </c>
      <c r="E3074" s="87" t="s">
        <v>275</v>
      </c>
      <c r="F3074" s="87" t="s">
        <v>1749</v>
      </c>
      <c r="H3074" s="93"/>
      <c r="I3074" s="87" t="s">
        <v>58</v>
      </c>
      <c r="J3074" s="87" t="s">
        <v>9007</v>
      </c>
      <c r="K3074" s="90">
        <v>0.0</v>
      </c>
      <c r="L3074" s="92"/>
      <c r="M3074" s="93"/>
      <c r="N3074" s="87" t="s">
        <v>8325</v>
      </c>
      <c r="O3074" s="87" t="s">
        <v>377</v>
      </c>
      <c r="P3074" s="87" t="s">
        <v>372</v>
      </c>
    </row>
    <row r="3075" ht="15.75" customHeight="1">
      <c r="A3075" s="87" t="s">
        <v>9008</v>
      </c>
      <c r="B3075" s="88">
        <v>1.22E18</v>
      </c>
      <c r="C3075" s="87" t="s">
        <v>9009</v>
      </c>
      <c r="D3075" s="87" t="s">
        <v>87</v>
      </c>
      <c r="E3075" s="87" t="s">
        <v>88</v>
      </c>
      <c r="F3075" s="87" t="s">
        <v>379</v>
      </c>
      <c r="G3075" s="93"/>
      <c r="H3075" s="93"/>
      <c r="I3075" s="87" t="s">
        <v>340</v>
      </c>
      <c r="J3075" s="87" t="s">
        <v>7897</v>
      </c>
      <c r="K3075" s="90">
        <v>1000.0</v>
      </c>
      <c r="L3075" s="92"/>
      <c r="M3075" s="93"/>
      <c r="N3075" s="87" t="s">
        <v>9010</v>
      </c>
      <c r="O3075" s="87" t="s">
        <v>377</v>
      </c>
      <c r="P3075" s="87" t="s">
        <v>372</v>
      </c>
    </row>
    <row r="3076" ht="15.75" customHeight="1">
      <c r="A3076" s="87" t="s">
        <v>9011</v>
      </c>
      <c r="B3076" s="88">
        <v>1.22E18</v>
      </c>
      <c r="C3076" s="87" t="s">
        <v>9012</v>
      </c>
      <c r="D3076" s="87" t="s">
        <v>87</v>
      </c>
      <c r="E3076" s="87" t="s">
        <v>88</v>
      </c>
      <c r="F3076" s="87" t="s">
        <v>379</v>
      </c>
      <c r="G3076" s="93"/>
      <c r="H3076" s="93"/>
      <c r="I3076" s="87" t="s">
        <v>495</v>
      </c>
      <c r="J3076" s="87" t="s">
        <v>9013</v>
      </c>
      <c r="K3076" s="90">
        <v>0.0</v>
      </c>
      <c r="L3076" s="92"/>
      <c r="M3076" s="93"/>
      <c r="N3076" s="93"/>
      <c r="O3076" s="87" t="s">
        <v>377</v>
      </c>
      <c r="P3076" s="87" t="s">
        <v>372</v>
      </c>
    </row>
    <row r="3077" ht="15.75" customHeight="1">
      <c r="A3077" s="87" t="s">
        <v>9014</v>
      </c>
      <c r="B3077" s="88">
        <v>1.22E18</v>
      </c>
      <c r="C3077" s="87" t="s">
        <v>9015</v>
      </c>
      <c r="D3077" s="87" t="s">
        <v>262</v>
      </c>
      <c r="E3077" s="87" t="s">
        <v>270</v>
      </c>
      <c r="F3077" s="87" t="s">
        <v>1749</v>
      </c>
      <c r="H3077" s="93"/>
      <c r="I3077" s="87" t="s">
        <v>58</v>
      </c>
      <c r="J3077" s="87" t="s">
        <v>9016</v>
      </c>
      <c r="K3077" s="90">
        <v>0.0</v>
      </c>
      <c r="L3077" s="92"/>
      <c r="M3077" s="93"/>
      <c r="N3077" s="93"/>
      <c r="O3077" s="87" t="s">
        <v>377</v>
      </c>
      <c r="P3077" s="87" t="s">
        <v>372</v>
      </c>
    </row>
    <row r="3078" ht="15.75" customHeight="1">
      <c r="A3078" s="87" t="s">
        <v>9017</v>
      </c>
      <c r="B3078" s="88">
        <v>1.22E18</v>
      </c>
      <c r="C3078" s="87" t="s">
        <v>9018</v>
      </c>
      <c r="D3078" s="87" t="s">
        <v>262</v>
      </c>
      <c r="E3078" s="87" t="s">
        <v>270</v>
      </c>
      <c r="F3078" s="87" t="s">
        <v>1749</v>
      </c>
      <c r="H3078" s="93"/>
      <c r="I3078" s="87" t="s">
        <v>58</v>
      </c>
      <c r="J3078" s="87" t="s">
        <v>9019</v>
      </c>
      <c r="K3078" s="90">
        <v>0.0</v>
      </c>
      <c r="L3078" s="92"/>
      <c r="M3078" s="93"/>
      <c r="N3078" s="87" t="s">
        <v>9020</v>
      </c>
      <c r="O3078" s="87" t="s">
        <v>377</v>
      </c>
      <c r="P3078" s="87" t="s">
        <v>372</v>
      </c>
    </row>
    <row r="3079" ht="15.75" customHeight="1">
      <c r="A3079" s="87" t="s">
        <v>9021</v>
      </c>
      <c r="B3079" s="88">
        <v>1.22E18</v>
      </c>
      <c r="C3079" s="87" t="s">
        <v>9022</v>
      </c>
      <c r="D3079" s="87" t="s">
        <v>262</v>
      </c>
      <c r="E3079" s="87" t="s">
        <v>263</v>
      </c>
      <c r="F3079" s="87" t="s">
        <v>415</v>
      </c>
      <c r="G3079" s="93"/>
      <c r="H3079" s="93"/>
      <c r="I3079" s="87" t="s">
        <v>58</v>
      </c>
      <c r="J3079" s="87" t="s">
        <v>9023</v>
      </c>
      <c r="K3079" s="90">
        <v>1.0</v>
      </c>
      <c r="L3079" s="92"/>
      <c r="M3079" s="93"/>
      <c r="N3079" s="87" t="s">
        <v>7316</v>
      </c>
      <c r="O3079" s="87" t="s">
        <v>377</v>
      </c>
      <c r="P3079" s="87" t="s">
        <v>372</v>
      </c>
    </row>
    <row r="3080" ht="15.75" customHeight="1">
      <c r="A3080" s="87" t="s">
        <v>9024</v>
      </c>
      <c r="B3080" s="88">
        <v>1.22E18</v>
      </c>
      <c r="C3080" s="87" t="s">
        <v>9025</v>
      </c>
      <c r="D3080" s="87" t="s">
        <v>87</v>
      </c>
      <c r="E3080" s="87" t="s">
        <v>88</v>
      </c>
      <c r="F3080" s="87" t="s">
        <v>379</v>
      </c>
      <c r="G3080" s="93"/>
      <c r="H3080" s="93"/>
      <c r="I3080" s="87" t="s">
        <v>58</v>
      </c>
      <c r="J3080" s="87" t="s">
        <v>816</v>
      </c>
      <c r="K3080" s="90">
        <v>0.0</v>
      </c>
      <c r="L3080" s="92"/>
      <c r="M3080" s="93"/>
      <c r="N3080" s="87" t="s">
        <v>111</v>
      </c>
      <c r="O3080" s="87" t="s">
        <v>377</v>
      </c>
      <c r="P3080" s="87" t="s">
        <v>372</v>
      </c>
    </row>
    <row r="3081" ht="15.75" customHeight="1">
      <c r="A3081" s="87" t="s">
        <v>9026</v>
      </c>
      <c r="B3081" s="88">
        <v>1.22E18</v>
      </c>
      <c r="C3081" s="87" t="s">
        <v>9027</v>
      </c>
      <c r="D3081" s="87" t="s">
        <v>87</v>
      </c>
      <c r="E3081" s="87" t="s">
        <v>88</v>
      </c>
      <c r="F3081" s="87" t="s">
        <v>379</v>
      </c>
      <c r="G3081" s="93"/>
      <c r="H3081" s="93"/>
      <c r="I3081" s="87" t="s">
        <v>58</v>
      </c>
      <c r="J3081" s="87" t="s">
        <v>9028</v>
      </c>
      <c r="K3081" s="90">
        <v>0.0</v>
      </c>
      <c r="L3081" s="92"/>
      <c r="M3081" s="93"/>
      <c r="N3081" s="93"/>
      <c r="O3081" s="87" t="s">
        <v>377</v>
      </c>
      <c r="P3081" s="87" t="s">
        <v>372</v>
      </c>
    </row>
    <row r="3082" ht="15.75" customHeight="1">
      <c r="A3082" s="87" t="s">
        <v>9029</v>
      </c>
      <c r="B3082" s="88">
        <v>1.22E18</v>
      </c>
      <c r="C3082" s="87" t="s">
        <v>9030</v>
      </c>
      <c r="D3082" s="87" t="s">
        <v>87</v>
      </c>
      <c r="E3082" s="87" t="s">
        <v>88</v>
      </c>
      <c r="F3082" s="87" t="s">
        <v>379</v>
      </c>
      <c r="G3082" s="93"/>
      <c r="H3082" s="93"/>
      <c r="I3082" s="87" t="s">
        <v>58</v>
      </c>
      <c r="J3082" s="87" t="s">
        <v>9028</v>
      </c>
      <c r="K3082" s="90">
        <v>0.0</v>
      </c>
      <c r="L3082" s="92"/>
      <c r="M3082" s="93"/>
      <c r="N3082" s="93"/>
      <c r="O3082" s="87" t="s">
        <v>377</v>
      </c>
      <c r="P3082" s="87" t="s">
        <v>372</v>
      </c>
    </row>
    <row r="3083" ht="15.75" customHeight="1">
      <c r="A3083" s="87" t="s">
        <v>9031</v>
      </c>
      <c r="B3083" s="88">
        <v>1.22E18</v>
      </c>
      <c r="C3083" s="87" t="s">
        <v>9032</v>
      </c>
      <c r="D3083" s="87" t="s">
        <v>87</v>
      </c>
      <c r="E3083" s="87" t="s">
        <v>88</v>
      </c>
      <c r="F3083" s="87" t="s">
        <v>373</v>
      </c>
      <c r="H3083" s="93"/>
      <c r="I3083" s="87" t="s">
        <v>327</v>
      </c>
      <c r="J3083" s="87" t="s">
        <v>9033</v>
      </c>
      <c r="K3083" s="90">
        <v>0.0</v>
      </c>
      <c r="L3083" s="92"/>
      <c r="M3083" s="93"/>
      <c r="N3083" s="87" t="s">
        <v>390</v>
      </c>
      <c r="O3083" s="87" t="s">
        <v>377</v>
      </c>
      <c r="P3083" s="87" t="s">
        <v>372</v>
      </c>
    </row>
    <row r="3084" ht="15.75" customHeight="1">
      <c r="A3084" s="87" t="s">
        <v>9034</v>
      </c>
      <c r="B3084" s="88">
        <v>1.22E18</v>
      </c>
      <c r="C3084" s="87" t="s">
        <v>9035</v>
      </c>
      <c r="D3084" s="87" t="s">
        <v>87</v>
      </c>
      <c r="E3084" s="87" t="s">
        <v>88</v>
      </c>
      <c r="F3084" s="87" t="s">
        <v>373</v>
      </c>
      <c r="H3084" s="93"/>
      <c r="I3084" s="87" t="s">
        <v>327</v>
      </c>
      <c r="J3084" s="87" t="s">
        <v>9036</v>
      </c>
      <c r="K3084" s="90">
        <v>50000.0</v>
      </c>
      <c r="L3084" s="92"/>
      <c r="M3084" s="93"/>
      <c r="N3084" s="87" t="s">
        <v>390</v>
      </c>
      <c r="O3084" s="87" t="s">
        <v>377</v>
      </c>
      <c r="P3084" s="87" t="s">
        <v>372</v>
      </c>
    </row>
    <row r="3085" ht="15.75" customHeight="1">
      <c r="A3085" s="87" t="s">
        <v>9037</v>
      </c>
      <c r="B3085" s="88">
        <v>1.22E18</v>
      </c>
      <c r="C3085" s="87" t="s">
        <v>9038</v>
      </c>
      <c r="D3085" s="87" t="s">
        <v>56</v>
      </c>
      <c r="E3085" s="87" t="s">
        <v>248</v>
      </c>
      <c r="F3085" s="87" t="s">
        <v>2769</v>
      </c>
      <c r="G3085" s="93"/>
      <c r="H3085" s="93"/>
      <c r="I3085" s="87" t="s">
        <v>58</v>
      </c>
      <c r="J3085" s="87" t="s">
        <v>1840</v>
      </c>
      <c r="K3085" s="90">
        <v>0.0</v>
      </c>
      <c r="L3085" s="92"/>
      <c r="M3085" s="93"/>
      <c r="N3085" s="87" t="s">
        <v>7614</v>
      </c>
      <c r="O3085" s="87" t="s">
        <v>377</v>
      </c>
      <c r="P3085" s="87" t="s">
        <v>372</v>
      </c>
    </row>
    <row r="3086" ht="15.75" customHeight="1">
      <c r="A3086" s="87" t="s">
        <v>9039</v>
      </c>
      <c r="B3086" s="88">
        <v>1.22E18</v>
      </c>
      <c r="C3086" s="87" t="s">
        <v>9040</v>
      </c>
      <c r="D3086" s="87" t="s">
        <v>56</v>
      </c>
      <c r="E3086" s="87" t="s">
        <v>248</v>
      </c>
      <c r="F3086" s="87" t="s">
        <v>2769</v>
      </c>
      <c r="G3086" s="93"/>
      <c r="H3086" s="93"/>
      <c r="I3086" s="87" t="s">
        <v>58</v>
      </c>
      <c r="J3086" s="87" t="s">
        <v>8114</v>
      </c>
      <c r="K3086" s="90">
        <v>0.0</v>
      </c>
      <c r="L3086" s="92"/>
      <c r="M3086" s="93"/>
      <c r="N3086" s="87" t="s">
        <v>7614</v>
      </c>
      <c r="O3086" s="87" t="s">
        <v>377</v>
      </c>
      <c r="P3086" s="87" t="s">
        <v>372</v>
      </c>
    </row>
    <row r="3087" ht="15.75" customHeight="1">
      <c r="A3087" s="87" t="s">
        <v>9041</v>
      </c>
      <c r="B3087" s="88">
        <v>1.22E18</v>
      </c>
      <c r="C3087" s="87" t="s">
        <v>9042</v>
      </c>
      <c r="D3087" s="87" t="s">
        <v>56</v>
      </c>
      <c r="E3087" s="87" t="s">
        <v>248</v>
      </c>
      <c r="F3087" s="87" t="s">
        <v>2769</v>
      </c>
      <c r="G3087" s="93"/>
      <c r="H3087" s="93"/>
      <c r="I3087" s="87" t="s">
        <v>58</v>
      </c>
      <c r="J3087" s="87" t="s">
        <v>7937</v>
      </c>
      <c r="K3087" s="90">
        <v>0.0</v>
      </c>
      <c r="L3087" s="92"/>
      <c r="M3087" s="93"/>
      <c r="N3087" s="87" t="s">
        <v>7614</v>
      </c>
      <c r="O3087" s="87" t="s">
        <v>377</v>
      </c>
      <c r="P3087" s="87" t="s">
        <v>372</v>
      </c>
    </row>
    <row r="3088" ht="15.75" customHeight="1">
      <c r="A3088" s="87" t="s">
        <v>9043</v>
      </c>
      <c r="B3088" s="88">
        <v>1.22E18</v>
      </c>
      <c r="C3088" s="87" t="s">
        <v>9044</v>
      </c>
      <c r="D3088" s="87" t="s">
        <v>87</v>
      </c>
      <c r="E3088" s="87" t="s">
        <v>88</v>
      </c>
      <c r="F3088" s="87" t="s">
        <v>373</v>
      </c>
      <c r="H3088" s="93"/>
      <c r="I3088" s="87" t="s">
        <v>495</v>
      </c>
      <c r="J3088" s="87" t="s">
        <v>2575</v>
      </c>
      <c r="K3088" s="90">
        <v>0.0</v>
      </c>
      <c r="L3088" s="92"/>
      <c r="M3088" s="93"/>
      <c r="N3088" s="87" t="s">
        <v>9045</v>
      </c>
      <c r="O3088" s="87" t="s">
        <v>377</v>
      </c>
      <c r="P3088" s="87" t="s">
        <v>372</v>
      </c>
    </row>
    <row r="3089" ht="15.75" customHeight="1">
      <c r="A3089" s="87" t="s">
        <v>9046</v>
      </c>
      <c r="B3089" s="88">
        <v>1.22E18</v>
      </c>
      <c r="C3089" s="87" t="s">
        <v>9047</v>
      </c>
      <c r="D3089" s="87" t="s">
        <v>87</v>
      </c>
      <c r="E3089" s="87" t="s">
        <v>88</v>
      </c>
      <c r="F3089" s="87" t="s">
        <v>379</v>
      </c>
      <c r="G3089" s="93"/>
      <c r="H3089" s="93"/>
      <c r="I3089" s="87" t="s">
        <v>495</v>
      </c>
      <c r="J3089" s="87" t="s">
        <v>9048</v>
      </c>
      <c r="K3089" s="90">
        <v>0.0</v>
      </c>
      <c r="L3089" s="92"/>
      <c r="M3089" s="93"/>
      <c r="N3089" s="87" t="s">
        <v>3130</v>
      </c>
      <c r="O3089" s="87" t="s">
        <v>377</v>
      </c>
      <c r="P3089" s="87" t="s">
        <v>372</v>
      </c>
    </row>
    <row r="3090" ht="15.75" customHeight="1">
      <c r="A3090" s="87" t="s">
        <v>9049</v>
      </c>
      <c r="B3090" s="88">
        <v>1.22E18</v>
      </c>
      <c r="C3090" s="87" t="s">
        <v>9050</v>
      </c>
      <c r="D3090" s="87" t="s">
        <v>87</v>
      </c>
      <c r="E3090" s="87" t="s">
        <v>241</v>
      </c>
      <c r="F3090" s="87" t="s">
        <v>9050</v>
      </c>
      <c r="I3090" s="87" t="s">
        <v>495</v>
      </c>
      <c r="J3090" s="87" t="s">
        <v>5027</v>
      </c>
      <c r="K3090" s="90">
        <v>0.0</v>
      </c>
      <c r="L3090" s="92"/>
      <c r="M3090" s="93"/>
      <c r="N3090" s="87" t="s">
        <v>3130</v>
      </c>
      <c r="O3090" s="87" t="s">
        <v>377</v>
      </c>
      <c r="P3090" s="87" t="s">
        <v>372</v>
      </c>
    </row>
    <row r="3091" ht="15.75" customHeight="1">
      <c r="A3091" s="87" t="s">
        <v>9051</v>
      </c>
      <c r="B3091" s="88">
        <v>1.22E18</v>
      </c>
      <c r="C3091" s="87" t="s">
        <v>9052</v>
      </c>
      <c r="D3091" s="87" t="s">
        <v>87</v>
      </c>
      <c r="E3091" s="87" t="s">
        <v>88</v>
      </c>
      <c r="F3091" s="87" t="s">
        <v>379</v>
      </c>
      <c r="G3091" s="93"/>
      <c r="H3091" s="93"/>
      <c r="I3091" s="87" t="s">
        <v>58</v>
      </c>
      <c r="J3091" s="87" t="s">
        <v>816</v>
      </c>
      <c r="K3091" s="90">
        <v>0.0</v>
      </c>
      <c r="L3091" s="92"/>
      <c r="M3091" s="93"/>
      <c r="N3091" s="87" t="s">
        <v>1837</v>
      </c>
      <c r="O3091" s="87" t="s">
        <v>377</v>
      </c>
      <c r="P3091" s="87" t="s">
        <v>372</v>
      </c>
    </row>
    <row r="3092" ht="15.75" customHeight="1">
      <c r="A3092" s="87" t="s">
        <v>9053</v>
      </c>
      <c r="B3092" s="88">
        <v>1.22E18</v>
      </c>
      <c r="C3092" s="87" t="s">
        <v>9054</v>
      </c>
      <c r="D3092" s="87" t="s">
        <v>87</v>
      </c>
      <c r="E3092" s="87" t="s">
        <v>88</v>
      </c>
      <c r="F3092" s="87" t="s">
        <v>379</v>
      </c>
      <c r="G3092" s="93"/>
      <c r="H3092" s="93"/>
      <c r="I3092" s="87" t="s">
        <v>58</v>
      </c>
      <c r="J3092" s="87" t="s">
        <v>9055</v>
      </c>
      <c r="K3092" s="90">
        <v>0.0</v>
      </c>
      <c r="L3092" s="92"/>
      <c r="M3092" s="93"/>
      <c r="N3092" s="87" t="s">
        <v>1837</v>
      </c>
      <c r="O3092" s="87" t="s">
        <v>377</v>
      </c>
      <c r="P3092" s="87" t="s">
        <v>372</v>
      </c>
    </row>
    <row r="3093" ht="15.75" customHeight="1">
      <c r="A3093" s="87" t="s">
        <v>9056</v>
      </c>
      <c r="B3093" s="88">
        <v>1.22E18</v>
      </c>
      <c r="C3093" s="87" t="s">
        <v>9057</v>
      </c>
      <c r="D3093" s="87" t="s">
        <v>56</v>
      </c>
      <c r="E3093" s="87" t="s">
        <v>102</v>
      </c>
      <c r="F3093" s="87" t="s">
        <v>1763</v>
      </c>
      <c r="I3093" s="87" t="s">
        <v>58</v>
      </c>
      <c r="J3093" s="87" t="s">
        <v>9058</v>
      </c>
      <c r="K3093" s="90">
        <v>0.0</v>
      </c>
      <c r="L3093" s="92"/>
      <c r="M3093" s="93"/>
      <c r="N3093" s="87" t="s">
        <v>1772</v>
      </c>
      <c r="O3093" s="87" t="s">
        <v>377</v>
      </c>
      <c r="P3093" s="87" t="s">
        <v>372</v>
      </c>
    </row>
    <row r="3094" ht="15.75" customHeight="1">
      <c r="A3094" s="87" t="s">
        <v>9059</v>
      </c>
      <c r="B3094" s="88">
        <v>1.22E18</v>
      </c>
      <c r="C3094" s="87" t="s">
        <v>9060</v>
      </c>
      <c r="D3094" s="87" t="s">
        <v>56</v>
      </c>
      <c r="E3094" s="87" t="s">
        <v>59</v>
      </c>
      <c r="F3094" s="87" t="s">
        <v>1763</v>
      </c>
      <c r="I3094" s="87" t="s">
        <v>58</v>
      </c>
      <c r="J3094" s="87" t="s">
        <v>6442</v>
      </c>
      <c r="K3094" s="90">
        <v>0.0</v>
      </c>
      <c r="L3094" s="92"/>
      <c r="M3094" s="93"/>
      <c r="N3094" s="87" t="s">
        <v>1772</v>
      </c>
      <c r="O3094" s="87" t="s">
        <v>377</v>
      </c>
      <c r="P3094" s="87" t="s">
        <v>372</v>
      </c>
    </row>
    <row r="3095" ht="15.75" customHeight="1">
      <c r="A3095" s="87" t="s">
        <v>9061</v>
      </c>
      <c r="B3095" s="88">
        <v>1.22E18</v>
      </c>
      <c r="C3095" s="87" t="s">
        <v>9062</v>
      </c>
      <c r="D3095" s="87" t="s">
        <v>87</v>
      </c>
      <c r="E3095" s="87" t="s">
        <v>88</v>
      </c>
      <c r="F3095" s="87" t="s">
        <v>379</v>
      </c>
      <c r="G3095" s="93"/>
      <c r="H3095" s="93"/>
      <c r="I3095" s="87" t="s">
        <v>340</v>
      </c>
      <c r="J3095" s="87" t="s">
        <v>9063</v>
      </c>
      <c r="K3095" s="90">
        <v>300.0</v>
      </c>
      <c r="L3095" s="92"/>
      <c r="M3095" s="93"/>
      <c r="N3095" s="87" t="s">
        <v>2483</v>
      </c>
      <c r="O3095" s="87" t="s">
        <v>377</v>
      </c>
      <c r="P3095" s="87" t="s">
        <v>372</v>
      </c>
    </row>
    <row r="3096" ht="15.75" customHeight="1">
      <c r="A3096" s="87" t="s">
        <v>9064</v>
      </c>
      <c r="B3096" s="88">
        <v>1.22E18</v>
      </c>
      <c r="C3096" s="87" t="s">
        <v>9065</v>
      </c>
      <c r="D3096" s="87" t="s">
        <v>87</v>
      </c>
      <c r="E3096" s="87" t="s">
        <v>88</v>
      </c>
      <c r="F3096" s="87" t="s">
        <v>379</v>
      </c>
      <c r="G3096" s="93"/>
      <c r="H3096" s="93"/>
      <c r="I3096" s="87" t="s">
        <v>340</v>
      </c>
      <c r="J3096" s="87" t="s">
        <v>9066</v>
      </c>
      <c r="K3096" s="90">
        <v>1000.0</v>
      </c>
      <c r="L3096" s="92"/>
      <c r="M3096" s="93"/>
      <c r="N3096" s="87" t="s">
        <v>2483</v>
      </c>
      <c r="O3096" s="87" t="s">
        <v>377</v>
      </c>
      <c r="P3096" s="87" t="s">
        <v>372</v>
      </c>
    </row>
    <row r="3097" ht="15.75" customHeight="1">
      <c r="A3097" s="87" t="s">
        <v>9067</v>
      </c>
      <c r="B3097" s="88">
        <v>1.22E18</v>
      </c>
      <c r="C3097" s="87" t="s">
        <v>9068</v>
      </c>
      <c r="D3097" s="87" t="s">
        <v>87</v>
      </c>
      <c r="E3097" s="87" t="s">
        <v>88</v>
      </c>
      <c r="F3097" s="87" t="s">
        <v>379</v>
      </c>
      <c r="G3097" s="93"/>
      <c r="H3097" s="93"/>
      <c r="I3097" s="87" t="s">
        <v>340</v>
      </c>
      <c r="J3097" s="87" t="s">
        <v>9066</v>
      </c>
      <c r="K3097" s="90">
        <v>1000.0</v>
      </c>
      <c r="L3097" s="92"/>
      <c r="M3097" s="93"/>
      <c r="N3097" s="87" t="s">
        <v>2483</v>
      </c>
      <c r="O3097" s="87" t="s">
        <v>377</v>
      </c>
      <c r="P3097" s="87" t="s">
        <v>372</v>
      </c>
    </row>
    <row r="3098" ht="15.75" customHeight="1">
      <c r="A3098" s="87" t="s">
        <v>9069</v>
      </c>
      <c r="B3098" s="88">
        <v>1.22E18</v>
      </c>
      <c r="C3098" s="87" t="s">
        <v>9070</v>
      </c>
      <c r="D3098" s="87" t="s">
        <v>262</v>
      </c>
      <c r="E3098" s="87" t="s">
        <v>270</v>
      </c>
      <c r="F3098" s="87" t="s">
        <v>1749</v>
      </c>
      <c r="H3098" s="93"/>
      <c r="I3098" s="87" t="s">
        <v>58</v>
      </c>
      <c r="J3098" s="87" t="s">
        <v>9071</v>
      </c>
      <c r="K3098" s="90">
        <v>0.0</v>
      </c>
      <c r="L3098" s="92"/>
      <c r="M3098" s="93"/>
      <c r="N3098" s="87" t="s">
        <v>2416</v>
      </c>
      <c r="O3098" s="87" t="s">
        <v>377</v>
      </c>
      <c r="P3098" s="87" t="s">
        <v>372</v>
      </c>
    </row>
    <row r="3099" ht="15.75" customHeight="1">
      <c r="A3099" s="87" t="s">
        <v>9072</v>
      </c>
      <c r="B3099" s="88">
        <v>1.22E18</v>
      </c>
      <c r="C3099" s="87" t="s">
        <v>9073</v>
      </c>
      <c r="D3099" s="87" t="s">
        <v>262</v>
      </c>
      <c r="E3099" s="87" t="s">
        <v>270</v>
      </c>
      <c r="F3099" s="87" t="s">
        <v>1749</v>
      </c>
      <c r="H3099" s="93"/>
      <c r="I3099" s="87" t="s">
        <v>58</v>
      </c>
      <c r="J3099" s="87" t="s">
        <v>9074</v>
      </c>
      <c r="K3099" s="90">
        <v>0.0</v>
      </c>
      <c r="L3099" s="92"/>
      <c r="M3099" s="93"/>
      <c r="N3099" s="87" t="s">
        <v>2416</v>
      </c>
      <c r="O3099" s="87" t="s">
        <v>377</v>
      </c>
      <c r="P3099" s="87" t="s">
        <v>372</v>
      </c>
    </row>
    <row r="3100" ht="15.75" customHeight="1">
      <c r="A3100" s="87" t="s">
        <v>9075</v>
      </c>
      <c r="B3100" s="88">
        <v>1.22E18</v>
      </c>
      <c r="C3100" s="87" t="s">
        <v>9076</v>
      </c>
      <c r="D3100" s="87" t="s">
        <v>56</v>
      </c>
      <c r="E3100" s="87" t="s">
        <v>102</v>
      </c>
      <c r="F3100" s="87" t="s">
        <v>1763</v>
      </c>
      <c r="I3100" s="87" t="s">
        <v>58</v>
      </c>
      <c r="J3100" s="87" t="s">
        <v>9077</v>
      </c>
      <c r="K3100" s="90">
        <v>0.0</v>
      </c>
      <c r="L3100" s="92"/>
      <c r="M3100" s="93"/>
      <c r="N3100" s="87" t="s">
        <v>7152</v>
      </c>
      <c r="O3100" s="87" t="s">
        <v>377</v>
      </c>
      <c r="P3100" s="87" t="s">
        <v>372</v>
      </c>
    </row>
    <row r="3101" ht="15.75" customHeight="1">
      <c r="A3101" s="87" t="s">
        <v>9078</v>
      </c>
      <c r="B3101" s="88">
        <v>1.22E18</v>
      </c>
      <c r="C3101" s="87" t="s">
        <v>9079</v>
      </c>
      <c r="D3101" s="87" t="s">
        <v>87</v>
      </c>
      <c r="E3101" s="87" t="s">
        <v>228</v>
      </c>
      <c r="F3101" s="87" t="s">
        <v>379</v>
      </c>
      <c r="G3101" s="93"/>
      <c r="H3101" s="93"/>
      <c r="I3101" s="87" t="s">
        <v>340</v>
      </c>
      <c r="J3101" s="87" t="s">
        <v>9080</v>
      </c>
      <c r="K3101" s="90">
        <v>1000.0</v>
      </c>
      <c r="L3101" s="92"/>
      <c r="M3101" s="93"/>
      <c r="N3101" s="87" t="s">
        <v>408</v>
      </c>
      <c r="O3101" s="87" t="s">
        <v>377</v>
      </c>
      <c r="P3101" s="87" t="s">
        <v>372</v>
      </c>
    </row>
    <row r="3102" ht="15.75" customHeight="1">
      <c r="A3102" s="87" t="s">
        <v>9081</v>
      </c>
      <c r="B3102" s="88">
        <v>1.22E18</v>
      </c>
      <c r="C3102" s="87" t="s">
        <v>9082</v>
      </c>
      <c r="D3102" s="87" t="s">
        <v>87</v>
      </c>
      <c r="E3102" s="87" t="s">
        <v>88</v>
      </c>
      <c r="F3102" s="87" t="s">
        <v>379</v>
      </c>
      <c r="G3102" s="93"/>
      <c r="H3102" s="93"/>
      <c r="I3102" s="87" t="s">
        <v>495</v>
      </c>
      <c r="J3102" s="87" t="s">
        <v>9083</v>
      </c>
      <c r="K3102" s="90">
        <v>75.0</v>
      </c>
      <c r="L3102" s="92"/>
      <c r="M3102" s="93"/>
      <c r="N3102" s="87" t="s">
        <v>2500</v>
      </c>
      <c r="O3102" s="87" t="s">
        <v>377</v>
      </c>
      <c r="P3102" s="87" t="s">
        <v>372</v>
      </c>
    </row>
    <row r="3103" ht="15.75" customHeight="1">
      <c r="A3103" s="87" t="s">
        <v>9084</v>
      </c>
      <c r="B3103" s="88">
        <v>1.22E18</v>
      </c>
      <c r="C3103" s="87" t="s">
        <v>9085</v>
      </c>
      <c r="D3103" s="87" t="s">
        <v>87</v>
      </c>
      <c r="E3103" s="87" t="s">
        <v>88</v>
      </c>
      <c r="F3103" s="87" t="s">
        <v>379</v>
      </c>
      <c r="G3103" s="93"/>
      <c r="H3103" s="93"/>
      <c r="I3103" s="87" t="s">
        <v>495</v>
      </c>
      <c r="J3103" s="87" t="s">
        <v>3370</v>
      </c>
      <c r="K3103" s="90">
        <v>100.0</v>
      </c>
      <c r="L3103" s="92"/>
      <c r="M3103" s="93"/>
      <c r="N3103" s="87" t="s">
        <v>2500</v>
      </c>
      <c r="O3103" s="87" t="s">
        <v>377</v>
      </c>
      <c r="P3103" s="87" t="s">
        <v>372</v>
      </c>
    </row>
    <row r="3104" ht="15.75" customHeight="1">
      <c r="A3104" s="87" t="s">
        <v>9086</v>
      </c>
      <c r="B3104" s="88">
        <v>1.22E18</v>
      </c>
      <c r="C3104" s="87" t="s">
        <v>9087</v>
      </c>
      <c r="D3104" s="87" t="s">
        <v>87</v>
      </c>
      <c r="E3104" s="87" t="s">
        <v>241</v>
      </c>
      <c r="F3104" s="87" t="s">
        <v>373</v>
      </c>
      <c r="H3104" s="93"/>
      <c r="I3104" s="87" t="s">
        <v>495</v>
      </c>
      <c r="J3104" s="87" t="s">
        <v>1978</v>
      </c>
      <c r="K3104" s="90">
        <v>0.0</v>
      </c>
      <c r="L3104" s="92"/>
      <c r="M3104" s="93"/>
      <c r="N3104" s="93"/>
      <c r="O3104" s="87" t="s">
        <v>377</v>
      </c>
      <c r="P3104" s="87" t="s">
        <v>372</v>
      </c>
    </row>
    <row r="3105" ht="15.75" customHeight="1">
      <c r="A3105" s="87" t="s">
        <v>9088</v>
      </c>
      <c r="B3105" s="88">
        <v>1.22E18</v>
      </c>
      <c r="C3105" s="87" t="s">
        <v>9089</v>
      </c>
      <c r="D3105" s="87" t="s">
        <v>87</v>
      </c>
      <c r="E3105" s="87" t="s">
        <v>241</v>
      </c>
      <c r="F3105" s="87" t="s">
        <v>373</v>
      </c>
      <c r="H3105" s="93"/>
      <c r="I3105" s="87" t="s">
        <v>495</v>
      </c>
      <c r="J3105" s="87" t="s">
        <v>9090</v>
      </c>
      <c r="K3105" s="90">
        <v>0.0</v>
      </c>
      <c r="L3105" s="92"/>
      <c r="M3105" s="93"/>
      <c r="N3105" s="93"/>
      <c r="O3105" s="87" t="s">
        <v>377</v>
      </c>
      <c r="P3105" s="87" t="s">
        <v>372</v>
      </c>
    </row>
    <row r="3106" ht="15.75" customHeight="1">
      <c r="A3106" s="87" t="s">
        <v>9091</v>
      </c>
      <c r="B3106" s="88">
        <v>1.22E18</v>
      </c>
      <c r="C3106" s="87" t="s">
        <v>9092</v>
      </c>
      <c r="D3106" s="87" t="s">
        <v>87</v>
      </c>
      <c r="E3106" s="87" t="s">
        <v>88</v>
      </c>
      <c r="F3106" s="87" t="s">
        <v>373</v>
      </c>
      <c r="H3106" s="93"/>
      <c r="I3106" s="87" t="s">
        <v>327</v>
      </c>
      <c r="J3106" s="87" t="s">
        <v>9093</v>
      </c>
      <c r="K3106" s="90">
        <v>0.0</v>
      </c>
      <c r="L3106" s="92"/>
      <c r="M3106" s="93"/>
      <c r="N3106" s="87" t="s">
        <v>390</v>
      </c>
      <c r="O3106" s="87" t="s">
        <v>377</v>
      </c>
      <c r="P3106" s="87" t="s">
        <v>372</v>
      </c>
    </row>
    <row r="3107" ht="15.75" customHeight="1">
      <c r="A3107" s="87" t="s">
        <v>9094</v>
      </c>
      <c r="B3107" s="88">
        <v>1.22E18</v>
      </c>
      <c r="C3107" s="87" t="s">
        <v>9095</v>
      </c>
      <c r="D3107" s="87" t="s">
        <v>56</v>
      </c>
      <c r="E3107" s="87" t="s">
        <v>102</v>
      </c>
      <c r="F3107" s="87" t="s">
        <v>1763</v>
      </c>
      <c r="I3107" s="87" t="s">
        <v>58</v>
      </c>
      <c r="J3107" s="87" t="s">
        <v>9096</v>
      </c>
      <c r="K3107" s="90">
        <v>0.0</v>
      </c>
      <c r="L3107" s="92"/>
      <c r="M3107" s="93"/>
      <c r="N3107" s="87" t="s">
        <v>8350</v>
      </c>
      <c r="O3107" s="87" t="s">
        <v>377</v>
      </c>
      <c r="P3107" s="87" t="s">
        <v>372</v>
      </c>
    </row>
    <row r="3108" ht="15.75" customHeight="1">
      <c r="A3108" s="87" t="s">
        <v>9097</v>
      </c>
      <c r="B3108" s="88">
        <v>1.22E18</v>
      </c>
      <c r="C3108" s="87" t="s">
        <v>9098</v>
      </c>
      <c r="D3108" s="87" t="s">
        <v>56</v>
      </c>
      <c r="E3108" s="87" t="s">
        <v>102</v>
      </c>
      <c r="F3108" s="87" t="s">
        <v>1763</v>
      </c>
      <c r="I3108" s="87" t="s">
        <v>58</v>
      </c>
      <c r="J3108" s="87" t="s">
        <v>9099</v>
      </c>
      <c r="K3108" s="90">
        <v>0.0</v>
      </c>
      <c r="L3108" s="92"/>
      <c r="M3108" s="93"/>
      <c r="N3108" s="93"/>
      <c r="O3108" s="87" t="s">
        <v>377</v>
      </c>
      <c r="P3108" s="87" t="s">
        <v>372</v>
      </c>
    </row>
    <row r="3109" ht="15.75" customHeight="1">
      <c r="A3109" s="87" t="s">
        <v>9100</v>
      </c>
      <c r="B3109" s="88">
        <v>1.22E18</v>
      </c>
      <c r="C3109" s="87" t="s">
        <v>9101</v>
      </c>
      <c r="D3109" s="87" t="s">
        <v>56</v>
      </c>
      <c r="E3109" s="87" t="s">
        <v>102</v>
      </c>
      <c r="F3109" s="87" t="s">
        <v>1763</v>
      </c>
      <c r="I3109" s="87" t="s">
        <v>58</v>
      </c>
      <c r="J3109" s="87" t="s">
        <v>9099</v>
      </c>
      <c r="K3109" s="90">
        <v>0.0</v>
      </c>
      <c r="L3109" s="92"/>
      <c r="M3109" s="93"/>
      <c r="N3109" s="93"/>
      <c r="O3109" s="87" t="s">
        <v>377</v>
      </c>
      <c r="P3109" s="87" t="s">
        <v>372</v>
      </c>
    </row>
    <row r="3110" ht="15.75" customHeight="1">
      <c r="A3110" s="87" t="s">
        <v>9102</v>
      </c>
      <c r="B3110" s="88">
        <v>1.22E18</v>
      </c>
      <c r="C3110" s="87" t="s">
        <v>9103</v>
      </c>
      <c r="D3110" s="87" t="s">
        <v>262</v>
      </c>
      <c r="E3110" s="87" t="s">
        <v>278</v>
      </c>
      <c r="F3110" s="87" t="s">
        <v>1763</v>
      </c>
      <c r="I3110" s="87" t="s">
        <v>58</v>
      </c>
      <c r="J3110" s="87" t="s">
        <v>2044</v>
      </c>
      <c r="L3110" s="92"/>
      <c r="M3110" s="93"/>
      <c r="N3110" s="93"/>
      <c r="O3110" s="87" t="s">
        <v>377</v>
      </c>
      <c r="P3110" s="87" t="s">
        <v>2565</v>
      </c>
    </row>
    <row r="3111" ht="15.75" customHeight="1">
      <c r="A3111" s="87" t="s">
        <v>9104</v>
      </c>
      <c r="B3111" s="88">
        <v>1.22E18</v>
      </c>
      <c r="C3111" s="87" t="s">
        <v>9105</v>
      </c>
      <c r="D3111" s="87" t="s">
        <v>87</v>
      </c>
      <c r="E3111" s="87" t="s">
        <v>88</v>
      </c>
      <c r="F3111" s="87" t="s">
        <v>373</v>
      </c>
      <c r="H3111" s="93"/>
      <c r="I3111" s="87" t="s">
        <v>495</v>
      </c>
      <c r="J3111" s="87" t="s">
        <v>880</v>
      </c>
      <c r="K3111" s="90">
        <v>25.0</v>
      </c>
      <c r="L3111" s="92"/>
      <c r="M3111" s="93"/>
      <c r="N3111" s="87" t="s">
        <v>8266</v>
      </c>
      <c r="O3111" s="87" t="s">
        <v>377</v>
      </c>
      <c r="P3111" s="87" t="s">
        <v>372</v>
      </c>
    </row>
    <row r="3112" ht="15.75" customHeight="1">
      <c r="A3112" s="87" t="s">
        <v>9106</v>
      </c>
      <c r="B3112" s="88">
        <v>1.22E18</v>
      </c>
      <c r="C3112" s="87" t="s">
        <v>9107</v>
      </c>
      <c r="D3112" s="87" t="s">
        <v>87</v>
      </c>
      <c r="E3112" s="87" t="s">
        <v>88</v>
      </c>
      <c r="F3112" s="87" t="s">
        <v>373</v>
      </c>
      <c r="H3112" s="93"/>
      <c r="I3112" s="87" t="s">
        <v>495</v>
      </c>
      <c r="J3112" s="87" t="s">
        <v>9108</v>
      </c>
      <c r="K3112" s="90">
        <v>25.0</v>
      </c>
      <c r="L3112" s="92"/>
      <c r="M3112" s="93"/>
      <c r="N3112" s="87" t="s">
        <v>8266</v>
      </c>
      <c r="O3112" s="87" t="s">
        <v>377</v>
      </c>
      <c r="P3112" s="87" t="s">
        <v>372</v>
      </c>
    </row>
    <row r="3113" ht="15.75" customHeight="1">
      <c r="A3113" s="87" t="s">
        <v>9109</v>
      </c>
      <c r="B3113" s="88">
        <v>1.22E18</v>
      </c>
      <c r="C3113" s="87" t="s">
        <v>9110</v>
      </c>
      <c r="D3113" s="87" t="s">
        <v>87</v>
      </c>
      <c r="E3113" s="87" t="s">
        <v>102</v>
      </c>
      <c r="F3113" s="87" t="s">
        <v>1763</v>
      </c>
      <c r="I3113" s="87" t="s">
        <v>58</v>
      </c>
      <c r="J3113" s="87" t="s">
        <v>9111</v>
      </c>
      <c r="K3113" s="90">
        <v>1300.0</v>
      </c>
      <c r="L3113" s="92"/>
      <c r="M3113" s="93"/>
      <c r="N3113" s="87" t="s">
        <v>5018</v>
      </c>
      <c r="O3113" s="87" t="s">
        <v>377</v>
      </c>
      <c r="P3113" s="87" t="s">
        <v>372</v>
      </c>
    </row>
    <row r="3114" ht="15.75" customHeight="1">
      <c r="A3114" s="87" t="s">
        <v>9112</v>
      </c>
      <c r="B3114" s="88">
        <v>1.22E18</v>
      </c>
      <c r="C3114" s="87" t="s">
        <v>9113</v>
      </c>
      <c r="D3114" s="87" t="s">
        <v>262</v>
      </c>
      <c r="E3114" s="87" t="s">
        <v>278</v>
      </c>
      <c r="F3114" s="87" t="s">
        <v>9113</v>
      </c>
      <c r="I3114" s="87" t="s">
        <v>103</v>
      </c>
      <c r="J3114" s="87" t="s">
        <v>9114</v>
      </c>
      <c r="L3114" s="92"/>
      <c r="M3114" s="93"/>
      <c r="N3114" s="87" t="s">
        <v>9115</v>
      </c>
      <c r="O3114" s="87" t="s">
        <v>377</v>
      </c>
      <c r="P3114" s="87" t="s">
        <v>2565</v>
      </c>
    </row>
    <row r="3115" ht="15.75" customHeight="1">
      <c r="A3115" s="87" t="s">
        <v>9116</v>
      </c>
      <c r="B3115" s="88">
        <v>1.22E18</v>
      </c>
      <c r="C3115" s="87" t="s">
        <v>9117</v>
      </c>
      <c r="D3115" s="87" t="s">
        <v>87</v>
      </c>
      <c r="E3115" s="87" t="s">
        <v>228</v>
      </c>
      <c r="F3115" s="87" t="s">
        <v>373</v>
      </c>
      <c r="H3115" s="93"/>
      <c r="I3115" s="87" t="s">
        <v>340</v>
      </c>
      <c r="J3115" s="87" t="s">
        <v>9118</v>
      </c>
      <c r="K3115" s="90">
        <v>3000.0</v>
      </c>
      <c r="L3115" s="92"/>
      <c r="M3115" s="93"/>
      <c r="N3115" s="87" t="s">
        <v>617</v>
      </c>
      <c r="O3115" s="87" t="s">
        <v>377</v>
      </c>
      <c r="P3115" s="87" t="s">
        <v>372</v>
      </c>
    </row>
    <row r="3116" ht="15.75" customHeight="1">
      <c r="A3116" s="87" t="s">
        <v>9119</v>
      </c>
      <c r="B3116" s="88">
        <v>1.22E18</v>
      </c>
      <c r="C3116" s="87" t="s">
        <v>9120</v>
      </c>
      <c r="D3116" s="87" t="s">
        <v>87</v>
      </c>
      <c r="E3116" s="87" t="s">
        <v>228</v>
      </c>
      <c r="F3116" s="87" t="s">
        <v>373</v>
      </c>
      <c r="H3116" s="93"/>
      <c r="I3116" s="87" t="s">
        <v>340</v>
      </c>
      <c r="J3116" s="87" t="s">
        <v>9118</v>
      </c>
      <c r="K3116" s="90">
        <v>4000.0</v>
      </c>
      <c r="L3116" s="92"/>
      <c r="M3116" s="93"/>
      <c r="N3116" s="87" t="s">
        <v>617</v>
      </c>
      <c r="O3116" s="87" t="s">
        <v>377</v>
      </c>
      <c r="P3116" s="87" t="s">
        <v>372</v>
      </c>
    </row>
    <row r="3117" ht="15.75" customHeight="1">
      <c r="A3117" s="87" t="s">
        <v>9121</v>
      </c>
      <c r="B3117" s="88">
        <v>1.22E18</v>
      </c>
      <c r="C3117" s="87" t="s">
        <v>9122</v>
      </c>
      <c r="D3117" s="87" t="s">
        <v>87</v>
      </c>
      <c r="E3117" s="87" t="s">
        <v>228</v>
      </c>
      <c r="F3117" s="87" t="s">
        <v>373</v>
      </c>
      <c r="H3117" s="93"/>
      <c r="I3117" s="87" t="s">
        <v>340</v>
      </c>
      <c r="J3117" s="87" t="s">
        <v>9123</v>
      </c>
      <c r="K3117" s="90">
        <v>1000.0</v>
      </c>
      <c r="L3117" s="92"/>
      <c r="M3117" s="93"/>
      <c r="N3117" s="87" t="s">
        <v>703</v>
      </c>
      <c r="O3117" s="87" t="s">
        <v>377</v>
      </c>
      <c r="P3117" s="87" t="s">
        <v>372</v>
      </c>
    </row>
    <row r="3118" ht="15.75" customHeight="1">
      <c r="A3118" s="87" t="s">
        <v>9124</v>
      </c>
      <c r="B3118" s="88">
        <v>1.22E18</v>
      </c>
      <c r="C3118" s="87" t="s">
        <v>9125</v>
      </c>
      <c r="D3118" s="87" t="s">
        <v>87</v>
      </c>
      <c r="E3118" s="87" t="s">
        <v>228</v>
      </c>
      <c r="F3118" s="87" t="s">
        <v>373</v>
      </c>
      <c r="H3118" s="93"/>
      <c r="I3118" s="87" t="s">
        <v>340</v>
      </c>
      <c r="J3118" s="87" t="s">
        <v>9123</v>
      </c>
      <c r="K3118" s="90">
        <v>1000.0</v>
      </c>
      <c r="L3118" s="92"/>
      <c r="M3118" s="93"/>
      <c r="N3118" s="87" t="s">
        <v>703</v>
      </c>
      <c r="O3118" s="87" t="s">
        <v>377</v>
      </c>
      <c r="P3118" s="87" t="s">
        <v>372</v>
      </c>
    </row>
    <row r="3119" ht="15.75" customHeight="1">
      <c r="A3119" s="87" t="s">
        <v>9126</v>
      </c>
      <c r="B3119" s="88">
        <v>1.22E18</v>
      </c>
      <c r="C3119" s="87" t="s">
        <v>9127</v>
      </c>
      <c r="D3119" s="87" t="s">
        <v>87</v>
      </c>
      <c r="E3119" s="87" t="s">
        <v>88</v>
      </c>
      <c r="F3119" s="87" t="s">
        <v>373</v>
      </c>
      <c r="H3119" s="93"/>
      <c r="I3119" s="87" t="s">
        <v>340</v>
      </c>
      <c r="J3119" s="87" t="s">
        <v>4001</v>
      </c>
      <c r="K3119" s="90">
        <v>0.0</v>
      </c>
      <c r="L3119" s="92"/>
      <c r="M3119" s="93"/>
      <c r="N3119" s="87" t="s">
        <v>2483</v>
      </c>
      <c r="O3119" s="87" t="s">
        <v>377</v>
      </c>
      <c r="P3119" s="87" t="s">
        <v>372</v>
      </c>
    </row>
    <row r="3120" ht="15.75" customHeight="1">
      <c r="A3120" s="87" t="s">
        <v>9128</v>
      </c>
      <c r="B3120" s="88">
        <v>1.22E18</v>
      </c>
      <c r="C3120" s="87" t="s">
        <v>9129</v>
      </c>
      <c r="D3120" s="87" t="s">
        <v>87</v>
      </c>
      <c r="E3120" s="87" t="s">
        <v>88</v>
      </c>
      <c r="F3120" s="87" t="s">
        <v>373</v>
      </c>
      <c r="H3120" s="93"/>
      <c r="I3120" s="87" t="s">
        <v>340</v>
      </c>
      <c r="J3120" s="87" t="s">
        <v>4001</v>
      </c>
      <c r="K3120" s="90">
        <v>250.0</v>
      </c>
      <c r="L3120" s="92"/>
      <c r="M3120" s="93"/>
      <c r="N3120" s="87" t="s">
        <v>2483</v>
      </c>
      <c r="O3120" s="87" t="s">
        <v>377</v>
      </c>
      <c r="P3120" s="87" t="s">
        <v>372</v>
      </c>
    </row>
    <row r="3121" ht="15.75" customHeight="1">
      <c r="A3121" s="87" t="s">
        <v>9130</v>
      </c>
      <c r="B3121" s="88">
        <v>1.22E18</v>
      </c>
      <c r="C3121" s="87" t="s">
        <v>9131</v>
      </c>
      <c r="D3121" s="87" t="s">
        <v>87</v>
      </c>
      <c r="E3121" s="87" t="s">
        <v>88</v>
      </c>
      <c r="F3121" s="87" t="s">
        <v>373</v>
      </c>
      <c r="H3121" s="93"/>
      <c r="I3121" s="87" t="s">
        <v>340</v>
      </c>
      <c r="J3121" s="87" t="s">
        <v>9132</v>
      </c>
      <c r="K3121" s="90">
        <v>100.0</v>
      </c>
      <c r="L3121" s="92"/>
      <c r="M3121" s="93"/>
      <c r="N3121" s="87" t="s">
        <v>2483</v>
      </c>
      <c r="O3121" s="87" t="s">
        <v>377</v>
      </c>
      <c r="P3121" s="87" t="s">
        <v>372</v>
      </c>
    </row>
    <row r="3122" ht="15.75" customHeight="1">
      <c r="A3122" s="87" t="s">
        <v>9133</v>
      </c>
      <c r="B3122" s="88">
        <v>1.22E18</v>
      </c>
      <c r="C3122" s="87" t="s">
        <v>9134</v>
      </c>
      <c r="D3122" s="87" t="s">
        <v>87</v>
      </c>
      <c r="E3122" s="87" t="s">
        <v>241</v>
      </c>
      <c r="F3122" s="87" t="s">
        <v>373</v>
      </c>
      <c r="H3122" s="93"/>
      <c r="I3122" s="87" t="s">
        <v>3984</v>
      </c>
      <c r="J3122" s="87" t="s">
        <v>9135</v>
      </c>
      <c r="K3122" s="90">
        <v>1.0</v>
      </c>
      <c r="L3122" s="92"/>
      <c r="M3122" s="93"/>
      <c r="N3122" s="87" t="s">
        <v>9136</v>
      </c>
      <c r="O3122" s="87" t="s">
        <v>377</v>
      </c>
      <c r="P3122" s="87" t="s">
        <v>372</v>
      </c>
    </row>
    <row r="3123" ht="15.75" customHeight="1">
      <c r="A3123" s="87" t="s">
        <v>9137</v>
      </c>
      <c r="B3123" s="88">
        <v>1.22E18</v>
      </c>
      <c r="C3123" s="87" t="s">
        <v>9138</v>
      </c>
      <c r="D3123" s="87" t="s">
        <v>87</v>
      </c>
      <c r="E3123" s="87" t="s">
        <v>241</v>
      </c>
      <c r="F3123" s="87" t="s">
        <v>373</v>
      </c>
      <c r="H3123" s="93"/>
      <c r="I3123" s="87" t="s">
        <v>3984</v>
      </c>
      <c r="J3123" s="87" t="s">
        <v>6346</v>
      </c>
      <c r="K3123" s="90">
        <v>1.0</v>
      </c>
      <c r="L3123" s="92"/>
      <c r="M3123" s="93"/>
      <c r="N3123" s="87" t="s">
        <v>9136</v>
      </c>
      <c r="O3123" s="87" t="s">
        <v>377</v>
      </c>
      <c r="P3123" s="87" t="s">
        <v>372</v>
      </c>
    </row>
    <row r="3124" ht="15.75" customHeight="1">
      <c r="A3124" s="87" t="s">
        <v>9139</v>
      </c>
      <c r="B3124" s="88">
        <v>1.22E18</v>
      </c>
      <c r="C3124" s="87" t="s">
        <v>9140</v>
      </c>
      <c r="D3124" s="87" t="s">
        <v>87</v>
      </c>
      <c r="E3124" s="87" t="s">
        <v>241</v>
      </c>
      <c r="F3124" s="87" t="s">
        <v>373</v>
      </c>
      <c r="H3124" s="93"/>
      <c r="I3124" s="87" t="s">
        <v>3984</v>
      </c>
      <c r="J3124" s="87" t="s">
        <v>9135</v>
      </c>
      <c r="K3124" s="90">
        <v>1.0</v>
      </c>
      <c r="L3124" s="92"/>
      <c r="M3124" s="93"/>
      <c r="N3124" s="87" t="s">
        <v>9136</v>
      </c>
      <c r="O3124" s="87" t="s">
        <v>377</v>
      </c>
      <c r="P3124" s="87" t="s">
        <v>372</v>
      </c>
    </row>
    <row r="3125" ht="15.75" customHeight="1">
      <c r="A3125" s="87" t="s">
        <v>9141</v>
      </c>
      <c r="B3125" s="88">
        <v>1.22E18</v>
      </c>
      <c r="C3125" s="87" t="s">
        <v>9142</v>
      </c>
      <c r="D3125" s="87" t="s">
        <v>87</v>
      </c>
      <c r="E3125" s="87" t="s">
        <v>241</v>
      </c>
      <c r="F3125" s="87" t="s">
        <v>373</v>
      </c>
      <c r="H3125" s="93"/>
      <c r="I3125" s="87" t="s">
        <v>3984</v>
      </c>
      <c r="J3125" s="87" t="s">
        <v>5791</v>
      </c>
      <c r="K3125" s="90">
        <v>1.0</v>
      </c>
      <c r="L3125" s="92"/>
      <c r="M3125" s="93"/>
      <c r="N3125" s="87" t="s">
        <v>9136</v>
      </c>
      <c r="O3125" s="87" t="s">
        <v>377</v>
      </c>
      <c r="P3125" s="87" t="s">
        <v>372</v>
      </c>
    </row>
    <row r="3126" ht="15.75" customHeight="1">
      <c r="A3126" s="87" t="s">
        <v>9143</v>
      </c>
      <c r="B3126" s="88">
        <v>1.22E18</v>
      </c>
      <c r="C3126" s="87" t="s">
        <v>9144</v>
      </c>
      <c r="D3126" s="87" t="s">
        <v>87</v>
      </c>
      <c r="E3126" s="87" t="s">
        <v>241</v>
      </c>
      <c r="F3126" s="87" t="s">
        <v>373</v>
      </c>
      <c r="H3126" s="93"/>
      <c r="I3126" s="87" t="s">
        <v>3984</v>
      </c>
      <c r="J3126" s="87" t="s">
        <v>9145</v>
      </c>
      <c r="K3126" s="90">
        <v>1.0</v>
      </c>
      <c r="L3126" s="92"/>
      <c r="M3126" s="93"/>
      <c r="N3126" s="87" t="s">
        <v>9136</v>
      </c>
      <c r="O3126" s="87" t="s">
        <v>377</v>
      </c>
      <c r="P3126" s="87" t="s">
        <v>372</v>
      </c>
    </row>
    <row r="3127" ht="15.75" customHeight="1">
      <c r="A3127" s="87" t="s">
        <v>9146</v>
      </c>
      <c r="B3127" s="88">
        <v>1.22E18</v>
      </c>
      <c r="C3127" s="87" t="s">
        <v>9147</v>
      </c>
      <c r="D3127" s="87" t="s">
        <v>87</v>
      </c>
      <c r="E3127" s="87" t="s">
        <v>88</v>
      </c>
      <c r="F3127" s="87" t="s">
        <v>373</v>
      </c>
      <c r="H3127" s="93"/>
      <c r="I3127" s="87" t="s">
        <v>327</v>
      </c>
      <c r="J3127" s="87" t="s">
        <v>9148</v>
      </c>
      <c r="K3127" s="90">
        <v>500000.0</v>
      </c>
      <c r="L3127" s="92"/>
      <c r="M3127" s="93"/>
      <c r="N3127" s="87" t="s">
        <v>2370</v>
      </c>
      <c r="O3127" s="87" t="s">
        <v>377</v>
      </c>
      <c r="P3127" s="87" t="s">
        <v>372</v>
      </c>
    </row>
    <row r="3128" ht="15.75" customHeight="1">
      <c r="A3128" s="87" t="s">
        <v>9149</v>
      </c>
      <c r="B3128" s="88">
        <v>1.22E18</v>
      </c>
      <c r="C3128" s="87" t="s">
        <v>9150</v>
      </c>
      <c r="D3128" s="87" t="s">
        <v>87</v>
      </c>
      <c r="E3128" s="87" t="s">
        <v>88</v>
      </c>
      <c r="F3128" s="87" t="s">
        <v>373</v>
      </c>
      <c r="H3128" s="93"/>
      <c r="I3128" s="87" t="s">
        <v>327</v>
      </c>
      <c r="J3128" s="87" t="s">
        <v>9151</v>
      </c>
      <c r="K3128" s="90">
        <v>500000.0</v>
      </c>
      <c r="L3128" s="92"/>
      <c r="M3128" s="93"/>
      <c r="N3128" s="87" t="s">
        <v>2370</v>
      </c>
      <c r="O3128" s="87" t="s">
        <v>377</v>
      </c>
      <c r="P3128" s="87" t="s">
        <v>372</v>
      </c>
    </row>
    <row r="3129" ht="15.75" customHeight="1">
      <c r="A3129" s="87" t="s">
        <v>9152</v>
      </c>
      <c r="B3129" s="88">
        <v>1.22E18</v>
      </c>
      <c r="C3129" s="87" t="s">
        <v>9153</v>
      </c>
      <c r="D3129" s="87" t="s">
        <v>87</v>
      </c>
      <c r="E3129" s="87" t="s">
        <v>88</v>
      </c>
      <c r="F3129" s="87" t="s">
        <v>373</v>
      </c>
      <c r="H3129" s="93"/>
      <c r="I3129" s="87" t="s">
        <v>495</v>
      </c>
      <c r="J3129" s="87" t="s">
        <v>3391</v>
      </c>
      <c r="K3129" s="90">
        <v>60.0</v>
      </c>
      <c r="L3129" s="92"/>
      <c r="M3129" s="93"/>
      <c r="N3129" s="87" t="s">
        <v>4405</v>
      </c>
      <c r="O3129" s="87" t="s">
        <v>377</v>
      </c>
      <c r="P3129" s="87" t="s">
        <v>372</v>
      </c>
    </row>
    <row r="3130" ht="15.75" customHeight="1">
      <c r="A3130" s="87" t="s">
        <v>9154</v>
      </c>
      <c r="B3130" s="88">
        <v>1.22E18</v>
      </c>
      <c r="C3130" s="87" t="s">
        <v>9155</v>
      </c>
      <c r="D3130" s="87" t="s">
        <v>87</v>
      </c>
      <c r="E3130" s="87" t="s">
        <v>88</v>
      </c>
      <c r="F3130" s="87" t="s">
        <v>373</v>
      </c>
      <c r="H3130" s="93"/>
      <c r="I3130" s="87" t="s">
        <v>495</v>
      </c>
      <c r="J3130" s="87" t="s">
        <v>9156</v>
      </c>
      <c r="K3130" s="90">
        <v>30.0</v>
      </c>
      <c r="L3130" s="92"/>
      <c r="M3130" s="93"/>
      <c r="N3130" s="87" t="s">
        <v>4405</v>
      </c>
      <c r="O3130" s="87" t="s">
        <v>377</v>
      </c>
      <c r="P3130" s="87" t="s">
        <v>372</v>
      </c>
    </row>
    <row r="3131" ht="15.75" customHeight="1">
      <c r="A3131" s="87" t="s">
        <v>9157</v>
      </c>
      <c r="B3131" s="88">
        <v>1.22E18</v>
      </c>
      <c r="C3131" s="87" t="s">
        <v>9158</v>
      </c>
      <c r="D3131" s="87" t="s">
        <v>87</v>
      </c>
      <c r="E3131" s="87" t="s">
        <v>88</v>
      </c>
      <c r="F3131" s="87" t="s">
        <v>373</v>
      </c>
      <c r="H3131" s="93"/>
      <c r="I3131" s="87" t="s">
        <v>495</v>
      </c>
      <c r="J3131" s="87" t="s">
        <v>9159</v>
      </c>
      <c r="K3131" s="90">
        <v>120.0</v>
      </c>
      <c r="L3131" s="92"/>
      <c r="M3131" s="93"/>
      <c r="N3131" s="87" t="s">
        <v>4405</v>
      </c>
      <c r="O3131" s="87" t="s">
        <v>377</v>
      </c>
      <c r="P3131" s="87" t="s">
        <v>372</v>
      </c>
    </row>
    <row r="3132" ht="15.75" customHeight="1">
      <c r="A3132" s="87" t="s">
        <v>9160</v>
      </c>
      <c r="B3132" s="88">
        <v>1.22E18</v>
      </c>
      <c r="C3132" s="87" t="s">
        <v>9161</v>
      </c>
      <c r="D3132" s="87" t="s">
        <v>87</v>
      </c>
      <c r="E3132" s="87" t="s">
        <v>88</v>
      </c>
      <c r="F3132" s="87" t="s">
        <v>373</v>
      </c>
      <c r="H3132" s="93"/>
      <c r="I3132" s="87" t="s">
        <v>327</v>
      </c>
      <c r="J3132" s="87" t="s">
        <v>9162</v>
      </c>
      <c r="K3132" s="90">
        <v>0.0</v>
      </c>
      <c r="L3132" s="92"/>
      <c r="M3132" s="93"/>
      <c r="N3132" s="87" t="s">
        <v>390</v>
      </c>
      <c r="O3132" s="87" t="s">
        <v>377</v>
      </c>
      <c r="P3132" s="87" t="s">
        <v>372</v>
      </c>
    </row>
    <row r="3133" ht="15.75" customHeight="1">
      <c r="A3133" s="87" t="s">
        <v>9163</v>
      </c>
      <c r="B3133" s="88">
        <v>1.22E18</v>
      </c>
      <c r="C3133" s="87" t="s">
        <v>9164</v>
      </c>
      <c r="D3133" s="87" t="s">
        <v>262</v>
      </c>
      <c r="E3133" s="87" t="s">
        <v>278</v>
      </c>
      <c r="F3133" s="87" t="s">
        <v>9164</v>
      </c>
      <c r="I3133" s="87" t="s">
        <v>103</v>
      </c>
      <c r="J3133" s="87" t="s">
        <v>9165</v>
      </c>
      <c r="L3133" s="92"/>
      <c r="M3133" s="93"/>
      <c r="N3133" s="87" t="s">
        <v>9166</v>
      </c>
      <c r="O3133" s="87" t="s">
        <v>377</v>
      </c>
      <c r="P3133" s="87" t="s">
        <v>2565</v>
      </c>
    </row>
    <row r="3134" ht="15.75" customHeight="1">
      <c r="A3134" s="87" t="s">
        <v>9167</v>
      </c>
      <c r="B3134" s="88">
        <v>1.22E18</v>
      </c>
      <c r="C3134" s="87" t="s">
        <v>9168</v>
      </c>
      <c r="D3134" s="87" t="s">
        <v>56</v>
      </c>
      <c r="E3134" s="87" t="s">
        <v>248</v>
      </c>
      <c r="F3134" s="87" t="s">
        <v>2769</v>
      </c>
      <c r="G3134" s="93"/>
      <c r="H3134" s="93"/>
      <c r="I3134" s="87" t="s">
        <v>58</v>
      </c>
      <c r="J3134" s="87" t="s">
        <v>9169</v>
      </c>
      <c r="K3134" s="90">
        <v>0.0</v>
      </c>
      <c r="L3134" s="92"/>
      <c r="M3134" s="93"/>
      <c r="N3134" s="87" t="s">
        <v>5364</v>
      </c>
      <c r="O3134" s="87" t="s">
        <v>377</v>
      </c>
      <c r="P3134" s="87" t="s">
        <v>372</v>
      </c>
    </row>
    <row r="3135" ht="15.75" customHeight="1">
      <c r="A3135" s="87" t="s">
        <v>9170</v>
      </c>
      <c r="B3135" s="88">
        <v>1.22E18</v>
      </c>
      <c r="C3135" s="87" t="s">
        <v>9171</v>
      </c>
      <c r="D3135" s="87" t="s">
        <v>56</v>
      </c>
      <c r="E3135" s="87" t="s">
        <v>248</v>
      </c>
      <c r="F3135" s="87" t="s">
        <v>2769</v>
      </c>
      <c r="G3135" s="93"/>
      <c r="H3135" s="93"/>
      <c r="I3135" s="87" t="s">
        <v>58</v>
      </c>
      <c r="J3135" s="87" t="s">
        <v>2038</v>
      </c>
      <c r="K3135" s="90">
        <v>0.0</v>
      </c>
      <c r="L3135" s="92"/>
      <c r="M3135" s="93"/>
      <c r="N3135" s="87" t="s">
        <v>5364</v>
      </c>
      <c r="O3135" s="87" t="s">
        <v>377</v>
      </c>
      <c r="P3135" s="87" t="s">
        <v>372</v>
      </c>
    </row>
    <row r="3136" ht="15.75" customHeight="1">
      <c r="A3136" s="87" t="s">
        <v>9172</v>
      </c>
      <c r="B3136" s="88">
        <v>1.22E18</v>
      </c>
      <c r="C3136" s="87" t="s">
        <v>9173</v>
      </c>
      <c r="D3136" s="87" t="s">
        <v>56</v>
      </c>
      <c r="E3136" s="87" t="s">
        <v>142</v>
      </c>
      <c r="F3136" s="87" t="s">
        <v>1763</v>
      </c>
      <c r="I3136" s="87" t="s">
        <v>58</v>
      </c>
      <c r="J3136" s="87" t="s">
        <v>9174</v>
      </c>
      <c r="K3136" s="90">
        <v>0.0</v>
      </c>
      <c r="L3136" s="92"/>
      <c r="M3136" s="93"/>
      <c r="N3136" s="87" t="s">
        <v>2835</v>
      </c>
      <c r="O3136" s="87" t="s">
        <v>377</v>
      </c>
      <c r="P3136" s="87" t="s">
        <v>372</v>
      </c>
    </row>
    <row r="3137" ht="15.75" customHeight="1">
      <c r="A3137" s="87" t="s">
        <v>9175</v>
      </c>
      <c r="B3137" s="88">
        <v>1.22E18</v>
      </c>
      <c r="C3137" s="87" t="s">
        <v>9176</v>
      </c>
      <c r="D3137" s="87" t="s">
        <v>56</v>
      </c>
      <c r="E3137" s="87" t="s">
        <v>248</v>
      </c>
      <c r="F3137" s="87" t="s">
        <v>1749</v>
      </c>
      <c r="H3137" s="93"/>
      <c r="I3137" s="87" t="s">
        <v>58</v>
      </c>
      <c r="J3137" s="87" t="s">
        <v>9177</v>
      </c>
      <c r="K3137" s="90">
        <v>0.0</v>
      </c>
      <c r="L3137" s="92"/>
      <c r="M3137" s="93"/>
      <c r="N3137" s="87" t="s">
        <v>1772</v>
      </c>
      <c r="O3137" s="87" t="s">
        <v>377</v>
      </c>
      <c r="P3137" s="87" t="s">
        <v>372</v>
      </c>
    </row>
    <row r="3138" ht="15.75" customHeight="1">
      <c r="A3138" s="87" t="s">
        <v>9178</v>
      </c>
      <c r="B3138" s="88">
        <v>1.22E18</v>
      </c>
      <c r="C3138" s="87" t="s">
        <v>9179</v>
      </c>
      <c r="D3138" s="87" t="s">
        <v>87</v>
      </c>
      <c r="E3138" s="87" t="s">
        <v>88</v>
      </c>
      <c r="F3138" s="87" t="s">
        <v>373</v>
      </c>
      <c r="H3138" s="93"/>
      <c r="I3138" s="87" t="s">
        <v>340</v>
      </c>
      <c r="J3138" s="87" t="s">
        <v>9180</v>
      </c>
      <c r="K3138" s="90">
        <v>1000.0</v>
      </c>
      <c r="L3138" s="92"/>
      <c r="M3138" s="93"/>
      <c r="N3138" s="87" t="s">
        <v>9010</v>
      </c>
      <c r="O3138" s="87" t="s">
        <v>377</v>
      </c>
      <c r="P3138" s="87" t="s">
        <v>372</v>
      </c>
    </row>
    <row r="3139" ht="15.75" customHeight="1">
      <c r="A3139" s="87" t="s">
        <v>9181</v>
      </c>
      <c r="B3139" s="88">
        <v>1.22E18</v>
      </c>
      <c r="C3139" s="87" t="s">
        <v>9182</v>
      </c>
      <c r="D3139" s="87" t="s">
        <v>87</v>
      </c>
      <c r="E3139" s="87" t="s">
        <v>88</v>
      </c>
      <c r="F3139" s="87" t="s">
        <v>9182</v>
      </c>
      <c r="I3139" s="87" t="s">
        <v>340</v>
      </c>
      <c r="J3139" s="87" t="s">
        <v>9183</v>
      </c>
      <c r="K3139" s="90">
        <v>0.0</v>
      </c>
      <c r="L3139" s="92"/>
      <c r="M3139" s="93"/>
      <c r="N3139" s="87" t="s">
        <v>390</v>
      </c>
      <c r="O3139" s="87" t="s">
        <v>377</v>
      </c>
      <c r="P3139" s="87" t="s">
        <v>372</v>
      </c>
    </row>
    <row r="3140" ht="15.75" customHeight="1">
      <c r="A3140" s="87" t="s">
        <v>9184</v>
      </c>
      <c r="B3140" s="88">
        <v>1.22E18</v>
      </c>
      <c r="C3140" s="87" t="s">
        <v>9185</v>
      </c>
      <c r="D3140" s="87" t="s">
        <v>87</v>
      </c>
      <c r="E3140" s="87" t="s">
        <v>88</v>
      </c>
      <c r="F3140" s="87" t="s">
        <v>379</v>
      </c>
      <c r="G3140" s="93"/>
      <c r="H3140" s="93"/>
      <c r="I3140" s="87" t="s">
        <v>58</v>
      </c>
      <c r="J3140" s="87" t="s">
        <v>9186</v>
      </c>
      <c r="K3140" s="90">
        <v>0.0</v>
      </c>
      <c r="L3140" s="92"/>
      <c r="M3140" s="93"/>
      <c r="N3140" s="87" t="s">
        <v>9187</v>
      </c>
      <c r="O3140" s="87" t="s">
        <v>377</v>
      </c>
      <c r="P3140" s="87" t="s">
        <v>372</v>
      </c>
    </row>
    <row r="3141" ht="15.75" customHeight="1">
      <c r="A3141" s="87" t="s">
        <v>9188</v>
      </c>
      <c r="B3141" s="88">
        <v>1.22E18</v>
      </c>
      <c r="C3141" s="87" t="s">
        <v>9189</v>
      </c>
      <c r="D3141" s="87" t="s">
        <v>262</v>
      </c>
      <c r="E3141" s="87" t="s">
        <v>270</v>
      </c>
      <c r="F3141" s="87" t="s">
        <v>1749</v>
      </c>
      <c r="H3141" s="93"/>
      <c r="I3141" s="87" t="s">
        <v>58</v>
      </c>
      <c r="J3141" s="87" t="s">
        <v>9190</v>
      </c>
      <c r="K3141" s="90">
        <v>0.0</v>
      </c>
      <c r="L3141" s="92"/>
      <c r="M3141" s="93"/>
      <c r="N3141" s="87" t="s">
        <v>4379</v>
      </c>
      <c r="O3141" s="87" t="s">
        <v>377</v>
      </c>
      <c r="P3141" s="87" t="s">
        <v>372</v>
      </c>
    </row>
    <row r="3142" ht="15.75" customHeight="1">
      <c r="A3142" s="87" t="s">
        <v>9191</v>
      </c>
      <c r="B3142" s="88">
        <v>1.22E18</v>
      </c>
      <c r="C3142" s="87" t="s">
        <v>9192</v>
      </c>
      <c r="D3142" s="87" t="s">
        <v>262</v>
      </c>
      <c r="E3142" s="87" t="s">
        <v>270</v>
      </c>
      <c r="F3142" s="87" t="s">
        <v>1749</v>
      </c>
      <c r="H3142" s="93"/>
      <c r="I3142" s="87" t="s">
        <v>58</v>
      </c>
      <c r="J3142" s="87" t="s">
        <v>9193</v>
      </c>
      <c r="K3142" s="90">
        <v>0.0</v>
      </c>
      <c r="L3142" s="92"/>
      <c r="M3142" s="93"/>
      <c r="N3142" s="87" t="s">
        <v>4379</v>
      </c>
      <c r="O3142" s="87" t="s">
        <v>377</v>
      </c>
      <c r="P3142" s="87" t="s">
        <v>372</v>
      </c>
    </row>
    <row r="3143" ht="15.75" customHeight="1">
      <c r="A3143" s="87" t="s">
        <v>9194</v>
      </c>
      <c r="B3143" s="88">
        <v>1.22E18</v>
      </c>
      <c r="C3143" s="87" t="s">
        <v>9195</v>
      </c>
      <c r="D3143" s="87" t="s">
        <v>87</v>
      </c>
      <c r="E3143" s="87" t="s">
        <v>88</v>
      </c>
      <c r="F3143" s="87" t="s">
        <v>373</v>
      </c>
      <c r="H3143" s="93"/>
      <c r="I3143" s="87" t="s">
        <v>495</v>
      </c>
      <c r="J3143" s="87" t="s">
        <v>9196</v>
      </c>
      <c r="K3143" s="90">
        <v>1.0</v>
      </c>
      <c r="L3143" s="92"/>
      <c r="M3143" s="93"/>
      <c r="N3143" s="87" t="s">
        <v>9197</v>
      </c>
      <c r="O3143" s="87" t="s">
        <v>377</v>
      </c>
      <c r="P3143" s="87" t="s">
        <v>372</v>
      </c>
    </row>
    <row r="3144" ht="15.75" customHeight="1">
      <c r="A3144" s="87" t="s">
        <v>9198</v>
      </c>
      <c r="B3144" s="88">
        <v>1.22E18</v>
      </c>
      <c r="C3144" s="87" t="s">
        <v>9199</v>
      </c>
      <c r="D3144" s="87" t="s">
        <v>87</v>
      </c>
      <c r="E3144" s="87" t="s">
        <v>88</v>
      </c>
      <c r="F3144" s="87" t="s">
        <v>373</v>
      </c>
      <c r="H3144" s="93"/>
      <c r="I3144" s="87" t="s">
        <v>495</v>
      </c>
      <c r="J3144" s="87" t="s">
        <v>9200</v>
      </c>
      <c r="K3144" s="90">
        <v>1.0</v>
      </c>
      <c r="L3144" s="92"/>
      <c r="M3144" s="93"/>
      <c r="N3144" s="87" t="s">
        <v>9197</v>
      </c>
      <c r="O3144" s="87" t="s">
        <v>377</v>
      </c>
      <c r="P3144" s="87" t="s">
        <v>372</v>
      </c>
    </row>
    <row r="3145" ht="15.75" customHeight="1">
      <c r="A3145" s="87" t="s">
        <v>9201</v>
      </c>
      <c r="B3145" s="88">
        <v>1.22E18</v>
      </c>
      <c r="C3145" s="87" t="s">
        <v>9202</v>
      </c>
      <c r="D3145" s="87" t="s">
        <v>87</v>
      </c>
      <c r="E3145" s="87" t="s">
        <v>228</v>
      </c>
      <c r="F3145" s="87" t="s">
        <v>373</v>
      </c>
      <c r="H3145" s="93"/>
      <c r="I3145" s="87" t="s">
        <v>340</v>
      </c>
      <c r="J3145" s="87" t="s">
        <v>9203</v>
      </c>
      <c r="K3145" s="90">
        <v>800.0</v>
      </c>
      <c r="L3145" s="92"/>
      <c r="M3145" s="93"/>
      <c r="N3145" s="87" t="s">
        <v>408</v>
      </c>
      <c r="O3145" s="87" t="s">
        <v>377</v>
      </c>
      <c r="P3145" s="87" t="s">
        <v>372</v>
      </c>
    </row>
    <row r="3146" ht="15.75" customHeight="1">
      <c r="A3146" s="87" t="s">
        <v>9204</v>
      </c>
      <c r="B3146" s="88">
        <v>1.22E18</v>
      </c>
      <c r="C3146" s="87" t="s">
        <v>9205</v>
      </c>
      <c r="D3146" s="87" t="s">
        <v>87</v>
      </c>
      <c r="E3146" s="87" t="s">
        <v>228</v>
      </c>
      <c r="F3146" s="87" t="s">
        <v>373</v>
      </c>
      <c r="H3146" s="93"/>
      <c r="I3146" s="87" t="s">
        <v>340</v>
      </c>
      <c r="J3146" s="87" t="s">
        <v>9203</v>
      </c>
      <c r="K3146" s="90">
        <v>800.0</v>
      </c>
      <c r="L3146" s="92"/>
      <c r="M3146" s="93"/>
      <c r="N3146" s="87" t="s">
        <v>408</v>
      </c>
      <c r="O3146" s="87" t="s">
        <v>377</v>
      </c>
      <c r="P3146" s="87" t="s">
        <v>372</v>
      </c>
    </row>
    <row r="3147" ht="15.75" customHeight="1">
      <c r="A3147" s="87" t="s">
        <v>9206</v>
      </c>
      <c r="B3147" s="88">
        <v>1.22E18</v>
      </c>
      <c r="C3147" s="87" t="s">
        <v>9207</v>
      </c>
      <c r="D3147" s="87" t="s">
        <v>87</v>
      </c>
      <c r="E3147" s="87" t="s">
        <v>228</v>
      </c>
      <c r="F3147" s="87" t="s">
        <v>373</v>
      </c>
      <c r="H3147" s="93"/>
      <c r="I3147" s="87" t="s">
        <v>340</v>
      </c>
      <c r="J3147" s="87" t="s">
        <v>9203</v>
      </c>
      <c r="K3147" s="90">
        <v>800.0</v>
      </c>
      <c r="L3147" s="92"/>
      <c r="M3147" s="93"/>
      <c r="N3147" s="87" t="s">
        <v>408</v>
      </c>
      <c r="O3147" s="87" t="s">
        <v>377</v>
      </c>
      <c r="P3147" s="87" t="s">
        <v>372</v>
      </c>
    </row>
    <row r="3148" ht="15.75" customHeight="1">
      <c r="A3148" s="87" t="s">
        <v>9208</v>
      </c>
      <c r="B3148" s="88">
        <v>1.22E18</v>
      </c>
      <c r="C3148" s="87" t="s">
        <v>9209</v>
      </c>
      <c r="D3148" s="87" t="s">
        <v>87</v>
      </c>
      <c r="E3148" s="87" t="s">
        <v>228</v>
      </c>
      <c r="F3148" s="87" t="s">
        <v>373</v>
      </c>
      <c r="H3148" s="93"/>
      <c r="I3148" s="87" t="s">
        <v>340</v>
      </c>
      <c r="J3148" s="87" t="s">
        <v>9203</v>
      </c>
      <c r="K3148" s="90">
        <v>800.0</v>
      </c>
      <c r="L3148" s="92"/>
      <c r="M3148" s="93"/>
      <c r="N3148" s="87" t="s">
        <v>408</v>
      </c>
      <c r="O3148" s="87" t="s">
        <v>377</v>
      </c>
      <c r="P3148" s="87" t="s">
        <v>372</v>
      </c>
    </row>
    <row r="3149" ht="15.75" customHeight="1">
      <c r="A3149" s="87" t="s">
        <v>9210</v>
      </c>
      <c r="B3149" s="88">
        <v>1.22E18</v>
      </c>
      <c r="C3149" s="87" t="s">
        <v>9211</v>
      </c>
      <c r="D3149" s="87" t="s">
        <v>87</v>
      </c>
      <c r="E3149" s="87" t="s">
        <v>228</v>
      </c>
      <c r="F3149" s="87" t="s">
        <v>373</v>
      </c>
      <c r="H3149" s="93"/>
      <c r="I3149" s="87" t="s">
        <v>340</v>
      </c>
      <c r="J3149" s="87" t="s">
        <v>9212</v>
      </c>
      <c r="K3149" s="90">
        <v>800.0</v>
      </c>
      <c r="L3149" s="92"/>
      <c r="M3149" s="93"/>
      <c r="N3149" s="87" t="s">
        <v>408</v>
      </c>
      <c r="O3149" s="87" t="s">
        <v>377</v>
      </c>
      <c r="P3149" s="87" t="s">
        <v>372</v>
      </c>
    </row>
    <row r="3150" ht="15.75" customHeight="1">
      <c r="A3150" s="87" t="s">
        <v>9213</v>
      </c>
      <c r="B3150" s="88">
        <v>1.22E18</v>
      </c>
      <c r="C3150" s="87" t="s">
        <v>9214</v>
      </c>
      <c r="D3150" s="87" t="s">
        <v>87</v>
      </c>
      <c r="E3150" s="87" t="s">
        <v>228</v>
      </c>
      <c r="F3150" s="87" t="s">
        <v>373</v>
      </c>
      <c r="H3150" s="93"/>
      <c r="I3150" s="87" t="s">
        <v>340</v>
      </c>
      <c r="J3150" s="87" t="s">
        <v>9215</v>
      </c>
      <c r="K3150" s="90">
        <v>1000.0</v>
      </c>
      <c r="L3150" s="92"/>
      <c r="M3150" s="93"/>
      <c r="N3150" s="87" t="s">
        <v>2405</v>
      </c>
      <c r="O3150" s="87" t="s">
        <v>377</v>
      </c>
      <c r="P3150" s="87" t="s">
        <v>372</v>
      </c>
    </row>
    <row r="3151" ht="15.75" customHeight="1">
      <c r="A3151" s="87" t="s">
        <v>9216</v>
      </c>
      <c r="B3151" s="88">
        <v>1.22E18</v>
      </c>
      <c r="C3151" s="87" t="s">
        <v>9217</v>
      </c>
      <c r="D3151" s="87" t="s">
        <v>87</v>
      </c>
      <c r="E3151" s="87" t="s">
        <v>228</v>
      </c>
      <c r="F3151" s="87" t="s">
        <v>373</v>
      </c>
      <c r="H3151" s="93"/>
      <c r="I3151" s="87" t="s">
        <v>340</v>
      </c>
      <c r="J3151" s="87" t="s">
        <v>9218</v>
      </c>
      <c r="K3151" s="90">
        <v>4000.0</v>
      </c>
      <c r="L3151" s="92"/>
      <c r="M3151" s="93"/>
      <c r="N3151" s="87" t="s">
        <v>2483</v>
      </c>
      <c r="O3151" s="87" t="s">
        <v>377</v>
      </c>
      <c r="P3151" s="87" t="s">
        <v>372</v>
      </c>
    </row>
    <row r="3152" ht="15.75" customHeight="1">
      <c r="A3152" s="87" t="s">
        <v>9219</v>
      </c>
      <c r="B3152" s="88">
        <v>1.22E18</v>
      </c>
      <c r="C3152" s="87" t="s">
        <v>9220</v>
      </c>
      <c r="D3152" s="87" t="s">
        <v>87</v>
      </c>
      <c r="E3152" s="87" t="s">
        <v>88</v>
      </c>
      <c r="F3152" s="87" t="s">
        <v>373</v>
      </c>
      <c r="H3152" s="93"/>
      <c r="I3152" s="87" t="s">
        <v>340</v>
      </c>
      <c r="J3152" s="87" t="s">
        <v>9221</v>
      </c>
      <c r="K3152" s="90">
        <v>5000.0</v>
      </c>
      <c r="L3152" s="92"/>
      <c r="M3152" s="93"/>
      <c r="N3152" s="87" t="s">
        <v>1844</v>
      </c>
      <c r="O3152" s="87" t="s">
        <v>377</v>
      </c>
      <c r="P3152" s="87" t="s">
        <v>372</v>
      </c>
    </row>
    <row r="3153" ht="15.75" customHeight="1">
      <c r="A3153" s="87" t="s">
        <v>9222</v>
      </c>
      <c r="B3153" s="88">
        <v>1.22E18</v>
      </c>
      <c r="C3153" s="87" t="s">
        <v>9223</v>
      </c>
      <c r="D3153" s="87" t="s">
        <v>262</v>
      </c>
      <c r="E3153" s="87" t="s">
        <v>270</v>
      </c>
      <c r="F3153" s="87" t="s">
        <v>1749</v>
      </c>
      <c r="H3153" s="93"/>
      <c r="I3153" s="87" t="s">
        <v>58</v>
      </c>
      <c r="J3153" s="87" t="s">
        <v>9224</v>
      </c>
      <c r="K3153" s="90">
        <v>0.0</v>
      </c>
      <c r="L3153" s="92"/>
      <c r="M3153" s="93"/>
      <c r="N3153" s="87" t="s">
        <v>9225</v>
      </c>
      <c r="O3153" s="87" t="s">
        <v>377</v>
      </c>
      <c r="P3153" s="87" t="s">
        <v>372</v>
      </c>
    </row>
    <row r="3154" ht="15.75" customHeight="1">
      <c r="A3154" s="87" t="s">
        <v>9226</v>
      </c>
      <c r="B3154" s="88">
        <v>1.22E18</v>
      </c>
      <c r="C3154" s="87" t="s">
        <v>9227</v>
      </c>
      <c r="D3154" s="87" t="s">
        <v>56</v>
      </c>
      <c r="E3154" s="87" t="s">
        <v>102</v>
      </c>
      <c r="F3154" s="87" t="s">
        <v>1763</v>
      </c>
      <c r="I3154" s="87" t="s">
        <v>58</v>
      </c>
      <c r="J3154" s="87" t="s">
        <v>9228</v>
      </c>
      <c r="K3154" s="90">
        <v>0.0</v>
      </c>
      <c r="L3154" s="92"/>
      <c r="M3154" s="93"/>
      <c r="N3154" s="87" t="s">
        <v>4427</v>
      </c>
      <c r="O3154" s="87" t="s">
        <v>377</v>
      </c>
      <c r="P3154" s="87" t="s">
        <v>372</v>
      </c>
    </row>
    <row r="3155" ht="15.75" customHeight="1">
      <c r="A3155" s="87" t="s">
        <v>9229</v>
      </c>
      <c r="B3155" s="88">
        <v>1.22E18</v>
      </c>
      <c r="C3155" s="87" t="s">
        <v>9230</v>
      </c>
      <c r="D3155" s="87" t="s">
        <v>87</v>
      </c>
      <c r="E3155" s="87" t="s">
        <v>102</v>
      </c>
      <c r="F3155" s="87" t="s">
        <v>1763</v>
      </c>
      <c r="I3155" s="87" t="s">
        <v>58</v>
      </c>
      <c r="J3155" s="87" t="s">
        <v>9231</v>
      </c>
      <c r="K3155" s="90">
        <v>400.0</v>
      </c>
      <c r="L3155" s="92"/>
      <c r="M3155" s="93"/>
      <c r="N3155" s="87" t="s">
        <v>4427</v>
      </c>
      <c r="O3155" s="87" t="s">
        <v>377</v>
      </c>
      <c r="P3155" s="87" t="s">
        <v>372</v>
      </c>
    </row>
    <row r="3156" ht="15.75" customHeight="1">
      <c r="A3156" s="87" t="s">
        <v>9232</v>
      </c>
      <c r="B3156" s="88">
        <v>1.22E18</v>
      </c>
      <c r="C3156" s="87" t="s">
        <v>9233</v>
      </c>
      <c r="D3156" s="87" t="s">
        <v>262</v>
      </c>
      <c r="E3156" s="87" t="s">
        <v>263</v>
      </c>
      <c r="F3156" s="87" t="s">
        <v>415</v>
      </c>
      <c r="G3156" s="93"/>
      <c r="H3156" s="93"/>
      <c r="I3156" s="87" t="s">
        <v>58</v>
      </c>
      <c r="J3156" s="87" t="s">
        <v>9234</v>
      </c>
      <c r="K3156" s="90">
        <v>2.0</v>
      </c>
      <c r="L3156" s="92"/>
      <c r="M3156" s="93"/>
      <c r="N3156" s="87" t="s">
        <v>9235</v>
      </c>
      <c r="O3156" s="87" t="s">
        <v>377</v>
      </c>
      <c r="P3156" s="87" t="s">
        <v>372</v>
      </c>
    </row>
    <row r="3157" ht="15.75" customHeight="1">
      <c r="A3157" s="87" t="s">
        <v>9236</v>
      </c>
      <c r="B3157" s="88">
        <v>1.22E18</v>
      </c>
      <c r="C3157" s="87" t="s">
        <v>9237</v>
      </c>
      <c r="D3157" s="87" t="s">
        <v>262</v>
      </c>
      <c r="E3157" s="87" t="s">
        <v>263</v>
      </c>
      <c r="F3157" s="87" t="s">
        <v>415</v>
      </c>
      <c r="G3157" s="93"/>
      <c r="H3157" s="93"/>
      <c r="I3157" s="87" t="s">
        <v>58</v>
      </c>
      <c r="J3157" s="87" t="s">
        <v>9238</v>
      </c>
      <c r="K3157" s="90">
        <v>1.0</v>
      </c>
      <c r="L3157" s="92"/>
      <c r="M3157" s="93"/>
      <c r="N3157" s="87" t="s">
        <v>9235</v>
      </c>
      <c r="O3157" s="87" t="s">
        <v>377</v>
      </c>
      <c r="P3157" s="87" t="s">
        <v>372</v>
      </c>
    </row>
    <row r="3158" ht="15.75" customHeight="1">
      <c r="A3158" s="87" t="s">
        <v>9239</v>
      </c>
      <c r="B3158" s="88">
        <v>1.22E18</v>
      </c>
      <c r="C3158" s="87" t="s">
        <v>9240</v>
      </c>
      <c r="D3158" s="87" t="s">
        <v>56</v>
      </c>
      <c r="E3158" s="87" t="s">
        <v>248</v>
      </c>
      <c r="F3158" s="87" t="s">
        <v>2769</v>
      </c>
      <c r="G3158" s="93"/>
      <c r="H3158" s="93"/>
      <c r="I3158" s="87" t="s">
        <v>58</v>
      </c>
      <c r="J3158" s="87" t="s">
        <v>9241</v>
      </c>
      <c r="K3158" s="90">
        <v>0.0</v>
      </c>
      <c r="L3158" s="92"/>
      <c r="M3158" s="93"/>
      <c r="N3158" s="87" t="s">
        <v>8605</v>
      </c>
      <c r="O3158" s="87" t="s">
        <v>377</v>
      </c>
      <c r="P3158" s="87" t="s">
        <v>372</v>
      </c>
    </row>
    <row r="3159" ht="15.75" customHeight="1">
      <c r="A3159" s="87" t="s">
        <v>9242</v>
      </c>
      <c r="B3159" s="88">
        <v>1.22E18</v>
      </c>
      <c r="C3159" s="87" t="s">
        <v>9243</v>
      </c>
      <c r="D3159" s="87" t="s">
        <v>56</v>
      </c>
      <c r="E3159" s="87" t="s">
        <v>248</v>
      </c>
      <c r="F3159" s="87" t="s">
        <v>2769</v>
      </c>
      <c r="G3159" s="93"/>
      <c r="H3159" s="93"/>
      <c r="I3159" s="87" t="s">
        <v>58</v>
      </c>
      <c r="J3159" s="87" t="s">
        <v>3787</v>
      </c>
      <c r="K3159" s="90">
        <v>0.0</v>
      </c>
      <c r="L3159" s="92"/>
      <c r="M3159" s="93"/>
      <c r="N3159" s="87" t="s">
        <v>5364</v>
      </c>
      <c r="O3159" s="87" t="s">
        <v>377</v>
      </c>
      <c r="P3159" s="87" t="s">
        <v>372</v>
      </c>
    </row>
    <row r="3160" ht="15.75" customHeight="1">
      <c r="A3160" s="87" t="s">
        <v>9244</v>
      </c>
      <c r="B3160" s="88">
        <v>1.22E18</v>
      </c>
      <c r="C3160" s="87" t="s">
        <v>9245</v>
      </c>
      <c r="D3160" s="87" t="s">
        <v>56</v>
      </c>
      <c r="E3160" s="87" t="s">
        <v>248</v>
      </c>
      <c r="F3160" s="87" t="s">
        <v>2769</v>
      </c>
      <c r="G3160" s="93"/>
      <c r="H3160" s="93"/>
      <c r="I3160" s="87" t="s">
        <v>58</v>
      </c>
      <c r="J3160" s="87" t="s">
        <v>1840</v>
      </c>
      <c r="K3160" s="90">
        <v>0.0</v>
      </c>
      <c r="L3160" s="92"/>
      <c r="M3160" s="93"/>
      <c r="N3160" s="87" t="s">
        <v>7614</v>
      </c>
      <c r="O3160" s="87" t="s">
        <v>377</v>
      </c>
      <c r="P3160" s="87" t="s">
        <v>372</v>
      </c>
    </row>
    <row r="3161" ht="15.75" customHeight="1">
      <c r="A3161" s="87" t="s">
        <v>9246</v>
      </c>
      <c r="B3161" s="88">
        <v>1.22E18</v>
      </c>
      <c r="C3161" s="87" t="s">
        <v>9247</v>
      </c>
      <c r="D3161" s="87" t="s">
        <v>56</v>
      </c>
      <c r="E3161" s="87" t="s">
        <v>248</v>
      </c>
      <c r="F3161" s="87" t="s">
        <v>2769</v>
      </c>
      <c r="G3161" s="93"/>
      <c r="H3161" s="93"/>
      <c r="I3161" s="87" t="s">
        <v>58</v>
      </c>
      <c r="J3161" s="87" t="s">
        <v>8114</v>
      </c>
      <c r="K3161" s="90">
        <v>0.0</v>
      </c>
      <c r="L3161" s="92"/>
      <c r="M3161" s="93"/>
      <c r="N3161" s="87" t="s">
        <v>7614</v>
      </c>
      <c r="O3161" s="87" t="s">
        <v>377</v>
      </c>
      <c r="P3161" s="87" t="s">
        <v>372</v>
      </c>
    </row>
    <row r="3162" ht="15.75" customHeight="1">
      <c r="A3162" s="87" t="s">
        <v>9248</v>
      </c>
      <c r="B3162" s="88">
        <v>1.22E18</v>
      </c>
      <c r="C3162" s="87" t="s">
        <v>9249</v>
      </c>
      <c r="D3162" s="87" t="s">
        <v>56</v>
      </c>
      <c r="E3162" s="87" t="s">
        <v>248</v>
      </c>
      <c r="F3162" s="87" t="s">
        <v>2769</v>
      </c>
      <c r="G3162" s="93"/>
      <c r="H3162" s="93"/>
      <c r="I3162" s="87" t="s">
        <v>58</v>
      </c>
      <c r="J3162" s="87" t="s">
        <v>7937</v>
      </c>
      <c r="K3162" s="90">
        <v>0.0</v>
      </c>
      <c r="L3162" s="92"/>
      <c r="M3162" s="93"/>
      <c r="N3162" s="87" t="s">
        <v>7614</v>
      </c>
      <c r="O3162" s="87" t="s">
        <v>377</v>
      </c>
      <c r="P3162" s="87" t="s">
        <v>372</v>
      </c>
    </row>
    <row r="3163" ht="15.75" customHeight="1">
      <c r="A3163" s="87" t="s">
        <v>9250</v>
      </c>
      <c r="B3163" s="88">
        <v>1.22E18</v>
      </c>
      <c r="C3163" s="87" t="s">
        <v>9251</v>
      </c>
      <c r="D3163" s="87" t="s">
        <v>56</v>
      </c>
      <c r="E3163" s="87" t="s">
        <v>248</v>
      </c>
      <c r="F3163" s="87" t="s">
        <v>2769</v>
      </c>
      <c r="G3163" s="93"/>
      <c r="H3163" s="93"/>
      <c r="I3163" s="87" t="s">
        <v>58</v>
      </c>
      <c r="J3163" s="87" t="s">
        <v>1076</v>
      </c>
      <c r="K3163" s="90">
        <v>1400.0</v>
      </c>
      <c r="L3163" s="92"/>
      <c r="M3163" s="93"/>
      <c r="N3163" s="87" t="s">
        <v>7614</v>
      </c>
      <c r="O3163" s="87" t="s">
        <v>377</v>
      </c>
      <c r="P3163" s="87" t="s">
        <v>372</v>
      </c>
    </row>
    <row r="3164" ht="15.75" customHeight="1">
      <c r="A3164" s="87" t="s">
        <v>9252</v>
      </c>
      <c r="B3164" s="88">
        <v>1.22E18</v>
      </c>
      <c r="C3164" s="87" t="s">
        <v>9253</v>
      </c>
      <c r="D3164" s="87" t="s">
        <v>262</v>
      </c>
      <c r="E3164" s="87" t="s">
        <v>270</v>
      </c>
      <c r="F3164" s="87" t="s">
        <v>1749</v>
      </c>
      <c r="H3164" s="93"/>
      <c r="I3164" s="87" t="s">
        <v>58</v>
      </c>
      <c r="J3164" s="87" t="s">
        <v>9254</v>
      </c>
      <c r="K3164" s="90">
        <v>0.0</v>
      </c>
      <c r="L3164" s="92"/>
      <c r="M3164" s="93"/>
      <c r="N3164" s="87" t="s">
        <v>6214</v>
      </c>
      <c r="O3164" s="87" t="s">
        <v>377</v>
      </c>
      <c r="P3164" s="87" t="s">
        <v>372</v>
      </c>
    </row>
    <row r="3165" ht="15.75" customHeight="1">
      <c r="A3165" s="87" t="s">
        <v>9255</v>
      </c>
      <c r="B3165" s="88">
        <v>1.22E18</v>
      </c>
      <c r="C3165" s="87" t="s">
        <v>9256</v>
      </c>
      <c r="D3165" s="87" t="s">
        <v>262</v>
      </c>
      <c r="E3165" s="87" t="s">
        <v>270</v>
      </c>
      <c r="F3165" s="87" t="s">
        <v>1749</v>
      </c>
      <c r="H3165" s="93"/>
      <c r="I3165" s="87" t="s">
        <v>58</v>
      </c>
      <c r="J3165" s="87" t="s">
        <v>2535</v>
      </c>
      <c r="K3165" s="90">
        <v>0.0</v>
      </c>
      <c r="L3165" s="92"/>
      <c r="M3165" s="93"/>
      <c r="N3165" s="87" t="s">
        <v>6214</v>
      </c>
      <c r="O3165" s="87" t="s">
        <v>377</v>
      </c>
      <c r="P3165" s="87" t="s">
        <v>372</v>
      </c>
    </row>
    <row r="3166" ht="15.75" customHeight="1">
      <c r="A3166" s="87" t="s">
        <v>9257</v>
      </c>
      <c r="B3166" s="88">
        <v>1.22E18</v>
      </c>
      <c r="C3166" s="87" t="s">
        <v>9258</v>
      </c>
      <c r="D3166" s="87" t="s">
        <v>262</v>
      </c>
      <c r="E3166" s="87" t="s">
        <v>270</v>
      </c>
      <c r="F3166" s="87" t="s">
        <v>1749</v>
      </c>
      <c r="H3166" s="93"/>
      <c r="I3166" s="87" t="s">
        <v>58</v>
      </c>
      <c r="J3166" s="87" t="s">
        <v>4878</v>
      </c>
      <c r="K3166" s="90">
        <v>0.0</v>
      </c>
      <c r="L3166" s="92"/>
      <c r="M3166" s="93"/>
      <c r="N3166" s="87" t="s">
        <v>6214</v>
      </c>
      <c r="O3166" s="87" t="s">
        <v>377</v>
      </c>
      <c r="P3166" s="87" t="s">
        <v>372</v>
      </c>
    </row>
    <row r="3167" ht="15.75" customHeight="1">
      <c r="A3167" s="87" t="s">
        <v>9259</v>
      </c>
      <c r="B3167" s="88">
        <v>1.22E18</v>
      </c>
      <c r="C3167" s="87" t="s">
        <v>9260</v>
      </c>
      <c r="D3167" s="87" t="s">
        <v>262</v>
      </c>
      <c r="E3167" s="87" t="s">
        <v>270</v>
      </c>
      <c r="F3167" s="87" t="s">
        <v>1749</v>
      </c>
      <c r="H3167" s="93"/>
      <c r="I3167" s="87" t="s">
        <v>58</v>
      </c>
      <c r="J3167" s="87" t="s">
        <v>2070</v>
      </c>
      <c r="K3167" s="90">
        <v>0.0</v>
      </c>
      <c r="L3167" s="92"/>
      <c r="M3167" s="93"/>
      <c r="N3167" s="87" t="s">
        <v>6214</v>
      </c>
      <c r="O3167" s="87" t="s">
        <v>377</v>
      </c>
      <c r="P3167" s="87" t="s">
        <v>372</v>
      </c>
    </row>
    <row r="3168" ht="15.75" customHeight="1">
      <c r="A3168" s="87" t="s">
        <v>9261</v>
      </c>
      <c r="B3168" s="88">
        <v>1.22E18</v>
      </c>
      <c r="C3168" s="87" t="s">
        <v>9262</v>
      </c>
      <c r="D3168" s="87" t="s">
        <v>262</v>
      </c>
      <c r="E3168" s="87" t="s">
        <v>270</v>
      </c>
      <c r="F3168" s="87" t="s">
        <v>1749</v>
      </c>
      <c r="H3168" s="93"/>
      <c r="I3168" s="87" t="s">
        <v>58</v>
      </c>
      <c r="J3168" s="87" t="s">
        <v>5914</v>
      </c>
      <c r="K3168" s="90">
        <v>0.0</v>
      </c>
      <c r="L3168" s="92"/>
      <c r="M3168" s="93"/>
      <c r="N3168" s="87" t="s">
        <v>6214</v>
      </c>
      <c r="O3168" s="87" t="s">
        <v>377</v>
      </c>
      <c r="P3168" s="87" t="s">
        <v>372</v>
      </c>
    </row>
    <row r="3169" ht="15.75" customHeight="1">
      <c r="A3169" s="87" t="s">
        <v>9263</v>
      </c>
      <c r="B3169" s="88">
        <v>1.22E18</v>
      </c>
      <c r="C3169" s="87" t="s">
        <v>9264</v>
      </c>
      <c r="D3169" s="87" t="s">
        <v>87</v>
      </c>
      <c r="E3169" s="87" t="s">
        <v>228</v>
      </c>
      <c r="F3169" s="87" t="s">
        <v>373</v>
      </c>
      <c r="H3169" s="93"/>
      <c r="I3169" s="87" t="s">
        <v>340</v>
      </c>
      <c r="J3169" s="87" t="s">
        <v>9265</v>
      </c>
      <c r="K3169" s="90">
        <v>1000.0</v>
      </c>
      <c r="L3169" s="92"/>
      <c r="M3169" s="93"/>
      <c r="N3169" s="87" t="s">
        <v>8088</v>
      </c>
      <c r="O3169" s="87" t="s">
        <v>377</v>
      </c>
      <c r="P3169" s="87" t="s">
        <v>372</v>
      </c>
    </row>
    <row r="3170" ht="15.75" customHeight="1">
      <c r="A3170" s="87" t="s">
        <v>9266</v>
      </c>
      <c r="B3170" s="88">
        <v>1.22E18</v>
      </c>
      <c r="C3170" s="87" t="s">
        <v>9267</v>
      </c>
      <c r="D3170" s="87" t="s">
        <v>87</v>
      </c>
      <c r="E3170" s="87" t="s">
        <v>88</v>
      </c>
      <c r="F3170" s="87" t="s">
        <v>9267</v>
      </c>
      <c r="I3170" s="87" t="s">
        <v>340</v>
      </c>
      <c r="J3170" s="87" t="s">
        <v>9268</v>
      </c>
      <c r="K3170" s="90">
        <v>0.0</v>
      </c>
      <c r="L3170" s="92"/>
      <c r="M3170" s="93"/>
      <c r="N3170" s="87" t="s">
        <v>8088</v>
      </c>
      <c r="O3170" s="87" t="s">
        <v>377</v>
      </c>
      <c r="P3170" s="87" t="s">
        <v>372</v>
      </c>
    </row>
    <row r="3171" ht="15.75" customHeight="1">
      <c r="A3171" s="87" t="s">
        <v>9269</v>
      </c>
      <c r="B3171" s="88">
        <v>1.22E18</v>
      </c>
      <c r="C3171" s="87" t="s">
        <v>9270</v>
      </c>
      <c r="D3171" s="87" t="s">
        <v>87</v>
      </c>
      <c r="E3171" s="87" t="s">
        <v>88</v>
      </c>
      <c r="F3171" s="87" t="s">
        <v>373</v>
      </c>
      <c r="H3171" s="93"/>
      <c r="I3171" s="87" t="s">
        <v>340</v>
      </c>
      <c r="J3171" s="87" t="s">
        <v>9271</v>
      </c>
      <c r="K3171" s="90">
        <v>0.0</v>
      </c>
      <c r="L3171" s="92"/>
      <c r="M3171" s="93"/>
      <c r="N3171" s="87" t="s">
        <v>390</v>
      </c>
      <c r="O3171" s="87" t="s">
        <v>377</v>
      </c>
      <c r="P3171" s="87" t="s">
        <v>372</v>
      </c>
    </row>
    <row r="3172" ht="15.75" customHeight="1">
      <c r="A3172" s="87" t="s">
        <v>9272</v>
      </c>
      <c r="B3172" s="88">
        <v>1.22E18</v>
      </c>
      <c r="C3172" s="87" t="s">
        <v>9273</v>
      </c>
      <c r="D3172" s="87" t="s">
        <v>262</v>
      </c>
      <c r="E3172" s="87" t="s">
        <v>267</v>
      </c>
      <c r="F3172" s="87" t="s">
        <v>1749</v>
      </c>
      <c r="H3172" s="93"/>
      <c r="I3172" s="87" t="s">
        <v>58</v>
      </c>
      <c r="J3172" s="87" t="s">
        <v>9274</v>
      </c>
      <c r="K3172" s="90">
        <v>0.0</v>
      </c>
      <c r="L3172" s="92"/>
      <c r="M3172" s="93"/>
      <c r="N3172" s="87" t="s">
        <v>2364</v>
      </c>
      <c r="O3172" s="87" t="s">
        <v>377</v>
      </c>
      <c r="P3172" s="87" t="s">
        <v>372</v>
      </c>
    </row>
    <row r="3173" ht="15.75" customHeight="1">
      <c r="A3173" s="87" t="s">
        <v>9275</v>
      </c>
      <c r="B3173" s="88">
        <v>1.22E18</v>
      </c>
      <c r="C3173" s="87" t="s">
        <v>9276</v>
      </c>
      <c r="D3173" s="87" t="s">
        <v>262</v>
      </c>
      <c r="E3173" s="87" t="s">
        <v>267</v>
      </c>
      <c r="F3173" s="87" t="s">
        <v>1749</v>
      </c>
      <c r="H3173" s="93"/>
      <c r="I3173" s="87" t="s">
        <v>58</v>
      </c>
      <c r="J3173" s="87" t="s">
        <v>9277</v>
      </c>
      <c r="K3173" s="90">
        <v>0.0</v>
      </c>
      <c r="L3173" s="92"/>
      <c r="M3173" s="93"/>
      <c r="N3173" s="87" t="s">
        <v>1789</v>
      </c>
      <c r="O3173" s="87" t="s">
        <v>377</v>
      </c>
      <c r="P3173" s="87" t="s">
        <v>372</v>
      </c>
    </row>
    <row r="3174" ht="15.75" customHeight="1">
      <c r="A3174" s="87" t="s">
        <v>9278</v>
      </c>
      <c r="B3174" s="88">
        <v>1.22E18</v>
      </c>
      <c r="C3174" s="87" t="s">
        <v>9279</v>
      </c>
      <c r="D3174" s="87" t="s">
        <v>262</v>
      </c>
      <c r="E3174" s="87" t="s">
        <v>267</v>
      </c>
      <c r="F3174" s="87" t="s">
        <v>1749</v>
      </c>
      <c r="H3174" s="93"/>
      <c r="I3174" s="87" t="s">
        <v>58</v>
      </c>
      <c r="J3174" s="87" t="s">
        <v>4491</v>
      </c>
      <c r="K3174" s="90">
        <v>0.0</v>
      </c>
      <c r="L3174" s="92"/>
      <c r="M3174" s="93"/>
      <c r="N3174" s="87" t="s">
        <v>1789</v>
      </c>
      <c r="O3174" s="87" t="s">
        <v>377</v>
      </c>
      <c r="P3174" s="87" t="s">
        <v>372</v>
      </c>
    </row>
    <row r="3175" ht="15.75" customHeight="1">
      <c r="A3175" s="87" t="s">
        <v>9280</v>
      </c>
      <c r="B3175" s="88">
        <v>1.22E18</v>
      </c>
      <c r="C3175" s="87" t="s">
        <v>9281</v>
      </c>
      <c r="D3175" s="87" t="s">
        <v>262</v>
      </c>
      <c r="E3175" s="87" t="s">
        <v>270</v>
      </c>
      <c r="F3175" s="87" t="s">
        <v>1749</v>
      </c>
      <c r="H3175" s="93"/>
      <c r="I3175" s="87" t="s">
        <v>58</v>
      </c>
      <c r="J3175" s="87" t="s">
        <v>9282</v>
      </c>
      <c r="K3175" s="90">
        <v>0.0</v>
      </c>
      <c r="L3175" s="92"/>
      <c r="M3175" s="93"/>
      <c r="N3175" s="87" t="s">
        <v>1772</v>
      </c>
      <c r="O3175" s="87" t="s">
        <v>377</v>
      </c>
      <c r="P3175" s="87" t="s">
        <v>372</v>
      </c>
    </row>
    <row r="3176" ht="15.75" customHeight="1">
      <c r="A3176" s="87" t="s">
        <v>9283</v>
      </c>
      <c r="B3176" s="88">
        <v>1.22E18</v>
      </c>
      <c r="C3176" s="87" t="s">
        <v>9284</v>
      </c>
      <c r="D3176" s="87" t="s">
        <v>57</v>
      </c>
      <c r="E3176" s="87" t="s">
        <v>287</v>
      </c>
      <c r="F3176" s="87" t="s">
        <v>1749</v>
      </c>
      <c r="H3176" s="93"/>
      <c r="I3176" s="87" t="s">
        <v>58</v>
      </c>
      <c r="J3176" s="87" t="s">
        <v>9285</v>
      </c>
      <c r="K3176" s="90">
        <v>0.0</v>
      </c>
      <c r="L3176" s="92"/>
      <c r="M3176" s="93"/>
      <c r="N3176" s="87" t="s">
        <v>1772</v>
      </c>
      <c r="O3176" s="87" t="s">
        <v>377</v>
      </c>
      <c r="P3176" s="87" t="s">
        <v>372</v>
      </c>
    </row>
    <row r="3177" ht="15.75" customHeight="1">
      <c r="A3177" s="87" t="s">
        <v>9286</v>
      </c>
      <c r="B3177" s="88">
        <v>1.22E18</v>
      </c>
      <c r="C3177" s="87" t="s">
        <v>9287</v>
      </c>
      <c r="D3177" s="87" t="s">
        <v>87</v>
      </c>
      <c r="E3177" s="87" t="s">
        <v>88</v>
      </c>
      <c r="F3177" s="87" t="s">
        <v>373</v>
      </c>
      <c r="H3177" s="93"/>
      <c r="I3177" s="87" t="s">
        <v>340</v>
      </c>
      <c r="J3177" s="87" t="s">
        <v>9288</v>
      </c>
      <c r="K3177" s="90">
        <v>5000.0</v>
      </c>
      <c r="L3177" s="92"/>
      <c r="M3177" s="93"/>
      <c r="N3177" s="87" t="s">
        <v>390</v>
      </c>
      <c r="O3177" s="87" t="s">
        <v>377</v>
      </c>
      <c r="P3177" s="87" t="s">
        <v>372</v>
      </c>
    </row>
    <row r="3178" ht="15.75" customHeight="1">
      <c r="A3178" s="87" t="s">
        <v>9289</v>
      </c>
      <c r="B3178" s="88">
        <v>1.22E18</v>
      </c>
      <c r="C3178" s="87" t="s">
        <v>9290</v>
      </c>
      <c r="D3178" s="87" t="s">
        <v>87</v>
      </c>
      <c r="E3178" s="87" t="s">
        <v>228</v>
      </c>
      <c r="F3178" s="87" t="s">
        <v>373</v>
      </c>
      <c r="H3178" s="93"/>
      <c r="I3178" s="87" t="s">
        <v>315</v>
      </c>
      <c r="J3178" s="87" t="s">
        <v>9291</v>
      </c>
      <c r="K3178" s="90">
        <v>0.0</v>
      </c>
      <c r="L3178" s="92"/>
      <c r="M3178" s="93"/>
      <c r="N3178" s="87" t="s">
        <v>390</v>
      </c>
      <c r="O3178" s="87" t="s">
        <v>377</v>
      </c>
      <c r="P3178" s="87" t="s">
        <v>372</v>
      </c>
    </row>
    <row r="3179" ht="15.75" customHeight="1">
      <c r="A3179" s="87" t="s">
        <v>9292</v>
      </c>
      <c r="B3179" s="88">
        <v>1.22E18</v>
      </c>
      <c r="C3179" s="87" t="s">
        <v>9293</v>
      </c>
      <c r="D3179" s="87" t="s">
        <v>87</v>
      </c>
      <c r="E3179" s="87" t="s">
        <v>88</v>
      </c>
      <c r="F3179" s="87" t="s">
        <v>373</v>
      </c>
      <c r="H3179" s="93"/>
      <c r="I3179" s="87" t="s">
        <v>340</v>
      </c>
      <c r="J3179" s="87" t="s">
        <v>7960</v>
      </c>
      <c r="K3179" s="90">
        <v>0.0</v>
      </c>
      <c r="L3179" s="92"/>
      <c r="M3179" s="93"/>
      <c r="N3179" s="87" t="s">
        <v>2483</v>
      </c>
      <c r="O3179" s="87" t="s">
        <v>377</v>
      </c>
      <c r="P3179" s="87" t="s">
        <v>372</v>
      </c>
    </row>
    <row r="3180" ht="15.75" customHeight="1">
      <c r="A3180" s="87" t="s">
        <v>9294</v>
      </c>
      <c r="B3180" s="88">
        <v>1.22E18</v>
      </c>
      <c r="C3180" s="87" t="s">
        <v>9295</v>
      </c>
      <c r="D3180" s="87" t="s">
        <v>87</v>
      </c>
      <c r="E3180" s="87" t="s">
        <v>228</v>
      </c>
      <c r="F3180" s="87" t="s">
        <v>373</v>
      </c>
      <c r="H3180" s="93"/>
      <c r="I3180" s="87" t="s">
        <v>315</v>
      </c>
      <c r="J3180" s="87" t="s">
        <v>9296</v>
      </c>
      <c r="K3180" s="90">
        <v>0.0</v>
      </c>
      <c r="L3180" s="92"/>
      <c r="M3180" s="93"/>
      <c r="N3180" s="87" t="s">
        <v>6762</v>
      </c>
      <c r="O3180" s="87" t="s">
        <v>377</v>
      </c>
      <c r="P3180" s="87" t="s">
        <v>372</v>
      </c>
    </row>
    <row r="3181" ht="15.75" customHeight="1">
      <c r="A3181" s="87" t="s">
        <v>9297</v>
      </c>
      <c r="B3181" s="88">
        <v>1.22E18</v>
      </c>
      <c r="C3181" s="87" t="s">
        <v>9298</v>
      </c>
      <c r="D3181" s="87" t="s">
        <v>87</v>
      </c>
      <c r="E3181" s="87" t="s">
        <v>233</v>
      </c>
      <c r="F3181" s="87" t="s">
        <v>373</v>
      </c>
      <c r="H3181" s="93"/>
      <c r="I3181" s="87" t="s">
        <v>340</v>
      </c>
      <c r="J3181" s="87" t="s">
        <v>9299</v>
      </c>
      <c r="K3181" s="90">
        <v>0.0</v>
      </c>
      <c r="L3181" s="92"/>
      <c r="M3181" s="93"/>
      <c r="N3181" s="87" t="s">
        <v>6762</v>
      </c>
      <c r="O3181" s="87" t="s">
        <v>377</v>
      </c>
      <c r="P3181" s="87" t="s">
        <v>372</v>
      </c>
    </row>
    <row r="3182" ht="15.75" customHeight="1">
      <c r="A3182" s="87" t="s">
        <v>9300</v>
      </c>
      <c r="B3182" s="88">
        <v>1.22E18</v>
      </c>
      <c r="C3182" s="87" t="s">
        <v>9301</v>
      </c>
      <c r="D3182" s="87" t="s">
        <v>87</v>
      </c>
      <c r="E3182" s="87" t="s">
        <v>88</v>
      </c>
      <c r="F3182" s="87" t="s">
        <v>373</v>
      </c>
      <c r="H3182" s="93"/>
      <c r="I3182" s="87" t="s">
        <v>315</v>
      </c>
      <c r="J3182" s="87" t="s">
        <v>9302</v>
      </c>
      <c r="K3182" s="90">
        <v>0.0</v>
      </c>
      <c r="L3182" s="92"/>
      <c r="M3182" s="93"/>
      <c r="N3182" s="87" t="s">
        <v>6762</v>
      </c>
      <c r="O3182" s="87" t="s">
        <v>377</v>
      </c>
      <c r="P3182" s="87" t="s">
        <v>372</v>
      </c>
    </row>
    <row r="3183" ht="15.75" customHeight="1">
      <c r="A3183" s="87" t="s">
        <v>9303</v>
      </c>
      <c r="B3183" s="88">
        <v>1.22E18</v>
      </c>
      <c r="C3183" s="87" t="s">
        <v>9304</v>
      </c>
      <c r="D3183" s="87" t="s">
        <v>87</v>
      </c>
      <c r="E3183" s="87" t="s">
        <v>88</v>
      </c>
      <c r="F3183" s="87" t="s">
        <v>373</v>
      </c>
      <c r="H3183" s="93"/>
      <c r="I3183" s="87" t="s">
        <v>340</v>
      </c>
      <c r="J3183" s="87" t="s">
        <v>9305</v>
      </c>
      <c r="K3183" s="90">
        <v>0.0</v>
      </c>
      <c r="L3183" s="92"/>
      <c r="M3183" s="93"/>
      <c r="N3183" s="87" t="s">
        <v>6762</v>
      </c>
      <c r="O3183" s="87" t="s">
        <v>377</v>
      </c>
      <c r="P3183" s="87" t="s">
        <v>372</v>
      </c>
    </row>
    <row r="3184" ht="15.75" customHeight="1">
      <c r="A3184" s="87" t="s">
        <v>9306</v>
      </c>
      <c r="B3184" s="88">
        <v>1.22E18</v>
      </c>
      <c r="C3184" s="87" t="s">
        <v>9307</v>
      </c>
      <c r="D3184" s="87" t="s">
        <v>87</v>
      </c>
      <c r="E3184" s="87" t="s">
        <v>88</v>
      </c>
      <c r="F3184" s="87" t="s">
        <v>373</v>
      </c>
      <c r="H3184" s="93"/>
      <c r="I3184" s="87" t="s">
        <v>327</v>
      </c>
      <c r="J3184" s="87" t="s">
        <v>9308</v>
      </c>
      <c r="K3184" s="90">
        <v>0.0</v>
      </c>
      <c r="L3184" s="92"/>
      <c r="M3184" s="93"/>
      <c r="N3184" s="87" t="s">
        <v>390</v>
      </c>
      <c r="O3184" s="87" t="s">
        <v>377</v>
      </c>
      <c r="P3184" s="87" t="s">
        <v>372</v>
      </c>
    </row>
    <row r="3185" ht="15.75" customHeight="1">
      <c r="A3185" s="87" t="s">
        <v>9309</v>
      </c>
      <c r="B3185" s="88">
        <v>1.22E18</v>
      </c>
      <c r="C3185" s="87" t="s">
        <v>9310</v>
      </c>
      <c r="D3185" s="87" t="s">
        <v>87</v>
      </c>
      <c r="E3185" s="87" t="s">
        <v>228</v>
      </c>
      <c r="F3185" s="87" t="s">
        <v>373</v>
      </c>
      <c r="H3185" s="93"/>
      <c r="I3185" s="87" t="s">
        <v>315</v>
      </c>
      <c r="J3185" s="87" t="s">
        <v>9311</v>
      </c>
      <c r="K3185" s="90">
        <v>0.0</v>
      </c>
      <c r="L3185" s="92"/>
      <c r="M3185" s="93"/>
      <c r="N3185" s="87" t="s">
        <v>390</v>
      </c>
      <c r="O3185" s="87" t="s">
        <v>377</v>
      </c>
      <c r="P3185" s="87" t="s">
        <v>372</v>
      </c>
    </row>
    <row r="3186" ht="15.75" customHeight="1">
      <c r="A3186" s="87" t="s">
        <v>9312</v>
      </c>
      <c r="B3186" s="88">
        <v>1.22E18</v>
      </c>
      <c r="C3186" s="87" t="s">
        <v>9313</v>
      </c>
      <c r="D3186" s="87" t="s">
        <v>87</v>
      </c>
      <c r="E3186" s="87" t="s">
        <v>88</v>
      </c>
      <c r="F3186" s="87" t="s">
        <v>373</v>
      </c>
      <c r="H3186" s="93"/>
      <c r="I3186" s="87" t="s">
        <v>327</v>
      </c>
      <c r="J3186" s="87" t="s">
        <v>1994</v>
      </c>
      <c r="K3186" s="90">
        <v>1000.0</v>
      </c>
      <c r="L3186" s="92"/>
      <c r="M3186" s="93"/>
      <c r="N3186" s="87" t="s">
        <v>390</v>
      </c>
      <c r="O3186" s="87" t="s">
        <v>377</v>
      </c>
      <c r="P3186" s="87" t="s">
        <v>372</v>
      </c>
    </row>
    <row r="3187" ht="15.75" customHeight="1">
      <c r="A3187" s="87" t="s">
        <v>9314</v>
      </c>
      <c r="B3187" s="88">
        <v>1.22E18</v>
      </c>
      <c r="C3187" s="87" t="s">
        <v>9315</v>
      </c>
      <c r="D3187" s="87" t="s">
        <v>262</v>
      </c>
      <c r="E3187" s="87" t="s">
        <v>263</v>
      </c>
      <c r="F3187" s="87" t="s">
        <v>415</v>
      </c>
      <c r="G3187" s="93"/>
      <c r="H3187" s="93"/>
      <c r="I3187" s="87" t="s">
        <v>58</v>
      </c>
      <c r="J3187" s="87" t="s">
        <v>3426</v>
      </c>
      <c r="K3187" s="90">
        <v>1.0</v>
      </c>
      <c r="L3187" s="92"/>
      <c r="M3187" s="93"/>
      <c r="N3187" s="87" t="s">
        <v>9316</v>
      </c>
      <c r="O3187" s="87" t="s">
        <v>377</v>
      </c>
      <c r="P3187" s="87" t="s">
        <v>372</v>
      </c>
    </row>
    <row r="3188" ht="15.75" customHeight="1">
      <c r="A3188" s="87" t="s">
        <v>9317</v>
      </c>
      <c r="B3188" s="88">
        <v>1.22E18</v>
      </c>
      <c r="C3188" s="87" t="s">
        <v>9318</v>
      </c>
      <c r="D3188" s="87" t="s">
        <v>262</v>
      </c>
      <c r="E3188" s="87" t="s">
        <v>263</v>
      </c>
      <c r="F3188" s="87" t="s">
        <v>415</v>
      </c>
      <c r="G3188" s="93"/>
      <c r="H3188" s="93"/>
      <c r="I3188" s="87" t="s">
        <v>58</v>
      </c>
      <c r="J3188" s="87" t="s">
        <v>3432</v>
      </c>
      <c r="K3188" s="90">
        <v>1.0</v>
      </c>
      <c r="L3188" s="92"/>
      <c r="M3188" s="93"/>
      <c r="N3188" s="87" t="s">
        <v>9316</v>
      </c>
      <c r="O3188" s="87" t="s">
        <v>377</v>
      </c>
      <c r="P3188" s="87" t="s">
        <v>372</v>
      </c>
    </row>
    <row r="3189" ht="15.75" customHeight="1">
      <c r="A3189" s="87" t="s">
        <v>9319</v>
      </c>
      <c r="B3189" s="88">
        <v>1.22E18</v>
      </c>
      <c r="C3189" s="87" t="s">
        <v>9320</v>
      </c>
      <c r="D3189" s="87" t="s">
        <v>87</v>
      </c>
      <c r="E3189" s="87" t="s">
        <v>228</v>
      </c>
      <c r="F3189" s="87" t="s">
        <v>379</v>
      </c>
      <c r="G3189" s="93"/>
      <c r="H3189" s="93"/>
      <c r="I3189" s="87" t="s">
        <v>340</v>
      </c>
      <c r="J3189" s="87" t="s">
        <v>9321</v>
      </c>
      <c r="K3189" s="90">
        <v>1000.0</v>
      </c>
      <c r="L3189" s="92"/>
      <c r="M3189" s="93"/>
      <c r="N3189" s="87" t="s">
        <v>7941</v>
      </c>
      <c r="O3189" s="87" t="s">
        <v>377</v>
      </c>
      <c r="P3189" s="87" t="s">
        <v>372</v>
      </c>
    </row>
    <row r="3190" ht="15.75" customHeight="1">
      <c r="A3190" s="87" t="s">
        <v>9322</v>
      </c>
      <c r="B3190" s="88">
        <v>1.22E18</v>
      </c>
      <c r="C3190" s="87" t="s">
        <v>9323</v>
      </c>
      <c r="D3190" s="87" t="s">
        <v>87</v>
      </c>
      <c r="E3190" s="87" t="s">
        <v>228</v>
      </c>
      <c r="F3190" s="87" t="s">
        <v>379</v>
      </c>
      <c r="G3190" s="93"/>
      <c r="H3190" s="93"/>
      <c r="I3190" s="87" t="s">
        <v>340</v>
      </c>
      <c r="J3190" s="87" t="s">
        <v>9321</v>
      </c>
      <c r="K3190" s="90">
        <v>1000.0</v>
      </c>
      <c r="L3190" s="92"/>
      <c r="M3190" s="93"/>
      <c r="N3190" s="87" t="s">
        <v>7941</v>
      </c>
      <c r="O3190" s="87" t="s">
        <v>377</v>
      </c>
      <c r="P3190" s="87" t="s">
        <v>372</v>
      </c>
    </row>
    <row r="3191" ht="15.75" customHeight="1">
      <c r="A3191" s="87" t="s">
        <v>9324</v>
      </c>
      <c r="B3191" s="88">
        <v>1.22E18</v>
      </c>
      <c r="C3191" s="87" t="s">
        <v>9325</v>
      </c>
      <c r="D3191" s="87" t="s">
        <v>87</v>
      </c>
      <c r="E3191" s="87" t="s">
        <v>88</v>
      </c>
      <c r="F3191" s="87" t="s">
        <v>373</v>
      </c>
      <c r="H3191" s="93"/>
      <c r="I3191" s="87" t="s">
        <v>58</v>
      </c>
      <c r="J3191" s="87" t="s">
        <v>9326</v>
      </c>
      <c r="K3191" s="90">
        <v>0.0</v>
      </c>
      <c r="L3191" s="92"/>
      <c r="M3191" s="93"/>
      <c r="N3191" s="93"/>
      <c r="O3191" s="87" t="s">
        <v>377</v>
      </c>
      <c r="P3191" s="87" t="s">
        <v>372</v>
      </c>
    </row>
    <row r="3192" ht="15.75" customHeight="1">
      <c r="A3192" s="87" t="s">
        <v>9327</v>
      </c>
      <c r="B3192" s="88">
        <v>1.22E18</v>
      </c>
      <c r="C3192" s="87" t="s">
        <v>9328</v>
      </c>
      <c r="D3192" s="87" t="s">
        <v>87</v>
      </c>
      <c r="E3192" s="87" t="s">
        <v>88</v>
      </c>
      <c r="F3192" s="87" t="s">
        <v>373</v>
      </c>
      <c r="H3192" s="93"/>
      <c r="I3192" s="87" t="s">
        <v>58</v>
      </c>
      <c r="J3192" s="87" t="s">
        <v>9329</v>
      </c>
      <c r="K3192" s="90">
        <v>0.0</v>
      </c>
      <c r="L3192" s="92"/>
      <c r="M3192" s="93"/>
      <c r="N3192" s="87" t="s">
        <v>9330</v>
      </c>
      <c r="O3192" s="87" t="s">
        <v>377</v>
      </c>
      <c r="P3192" s="87" t="s">
        <v>372</v>
      </c>
    </row>
    <row r="3193" ht="15.75" customHeight="1">
      <c r="A3193" s="87" t="s">
        <v>9331</v>
      </c>
      <c r="B3193" s="88">
        <v>1.22E18</v>
      </c>
      <c r="C3193" s="87" t="s">
        <v>9332</v>
      </c>
      <c r="D3193" s="87" t="s">
        <v>87</v>
      </c>
      <c r="E3193" s="87" t="s">
        <v>88</v>
      </c>
      <c r="F3193" s="87" t="s">
        <v>9332</v>
      </c>
      <c r="I3193" s="87" t="s">
        <v>58</v>
      </c>
      <c r="J3193" s="87" t="s">
        <v>9333</v>
      </c>
      <c r="K3193" s="90">
        <v>0.0</v>
      </c>
      <c r="L3193" s="92"/>
      <c r="M3193" s="93"/>
      <c r="N3193" s="87" t="s">
        <v>2364</v>
      </c>
      <c r="O3193" s="87" t="s">
        <v>377</v>
      </c>
      <c r="P3193" s="87" t="s">
        <v>372</v>
      </c>
    </row>
    <row r="3194" ht="15.75" customHeight="1">
      <c r="A3194" s="87" t="s">
        <v>9334</v>
      </c>
      <c r="B3194" s="88">
        <v>1.22E18</v>
      </c>
      <c r="C3194" s="87" t="s">
        <v>9335</v>
      </c>
      <c r="D3194" s="87" t="s">
        <v>262</v>
      </c>
      <c r="E3194" s="87" t="s">
        <v>267</v>
      </c>
      <c r="F3194" s="87" t="s">
        <v>1749</v>
      </c>
      <c r="H3194" s="93"/>
      <c r="I3194" s="87" t="s">
        <v>58</v>
      </c>
      <c r="J3194" s="87" t="s">
        <v>5653</v>
      </c>
      <c r="K3194" s="90">
        <v>0.0</v>
      </c>
      <c r="L3194" s="92"/>
      <c r="M3194" s="93"/>
      <c r="N3194" s="93"/>
      <c r="O3194" s="87" t="s">
        <v>377</v>
      </c>
      <c r="P3194" s="87" t="s">
        <v>372</v>
      </c>
    </row>
    <row r="3195" ht="15.75" customHeight="1">
      <c r="A3195" s="87" t="s">
        <v>9336</v>
      </c>
      <c r="B3195" s="88">
        <v>1.22E18</v>
      </c>
      <c r="C3195" s="87" t="s">
        <v>9337</v>
      </c>
      <c r="D3195" s="87" t="s">
        <v>262</v>
      </c>
      <c r="E3195" s="87" t="s">
        <v>270</v>
      </c>
      <c r="F3195" s="87" t="s">
        <v>1749</v>
      </c>
      <c r="H3195" s="93"/>
      <c r="I3195" s="87" t="s">
        <v>58</v>
      </c>
      <c r="J3195" s="87" t="s">
        <v>9338</v>
      </c>
      <c r="K3195" s="90">
        <v>0.0</v>
      </c>
      <c r="L3195" s="92"/>
      <c r="M3195" s="93"/>
      <c r="N3195" s="87" t="s">
        <v>1729</v>
      </c>
      <c r="O3195" s="87" t="s">
        <v>377</v>
      </c>
      <c r="P3195" s="87" t="s">
        <v>372</v>
      </c>
    </row>
    <row r="3196" ht="15.75" customHeight="1">
      <c r="A3196" s="87" t="s">
        <v>9339</v>
      </c>
      <c r="B3196" s="88">
        <v>1.22E18</v>
      </c>
      <c r="C3196" s="87" t="s">
        <v>9340</v>
      </c>
      <c r="D3196" s="87" t="s">
        <v>56</v>
      </c>
      <c r="E3196" s="87" t="s">
        <v>248</v>
      </c>
      <c r="F3196" s="87" t="s">
        <v>9340</v>
      </c>
      <c r="I3196" s="87" t="s">
        <v>58</v>
      </c>
      <c r="J3196" s="87" t="s">
        <v>9341</v>
      </c>
      <c r="K3196" s="90">
        <v>0.0</v>
      </c>
      <c r="L3196" s="92"/>
      <c r="M3196" s="93"/>
      <c r="N3196" s="93"/>
      <c r="O3196" s="87" t="s">
        <v>377</v>
      </c>
      <c r="P3196" s="87" t="s">
        <v>372</v>
      </c>
    </row>
    <row r="3197" ht="15.75" customHeight="1">
      <c r="A3197" s="87" t="s">
        <v>9342</v>
      </c>
      <c r="B3197" s="88">
        <v>1.22E18</v>
      </c>
      <c r="C3197" s="87" t="s">
        <v>9343</v>
      </c>
      <c r="D3197" s="87" t="s">
        <v>87</v>
      </c>
      <c r="E3197" s="87" t="s">
        <v>88</v>
      </c>
      <c r="F3197" s="118" t="s">
        <v>9343</v>
      </c>
      <c r="G3197" s="130"/>
      <c r="H3197" s="119"/>
      <c r="I3197" s="87" t="s">
        <v>58</v>
      </c>
      <c r="J3197" s="87" t="s">
        <v>9344</v>
      </c>
      <c r="K3197" s="90">
        <v>1600.0</v>
      </c>
      <c r="L3197" s="92"/>
      <c r="M3197" s="93"/>
      <c r="N3197" s="87" t="s">
        <v>3315</v>
      </c>
      <c r="O3197" s="87" t="s">
        <v>377</v>
      </c>
      <c r="P3197" s="87" t="s">
        <v>372</v>
      </c>
    </row>
    <row r="3198" ht="15.75" customHeight="1">
      <c r="A3198" s="87" t="s">
        <v>9345</v>
      </c>
      <c r="B3198" s="88">
        <v>1.22E18</v>
      </c>
      <c r="C3198" s="87" t="s">
        <v>9346</v>
      </c>
      <c r="D3198" s="87" t="s">
        <v>87</v>
      </c>
      <c r="E3198" s="87" t="s">
        <v>88</v>
      </c>
      <c r="F3198" s="87" t="s">
        <v>379</v>
      </c>
      <c r="G3198" s="93"/>
      <c r="H3198" s="93"/>
      <c r="I3198" s="87" t="s">
        <v>58</v>
      </c>
      <c r="J3198" s="87" t="s">
        <v>2030</v>
      </c>
      <c r="K3198" s="90">
        <v>0.0</v>
      </c>
      <c r="L3198" s="92"/>
      <c r="M3198" s="93"/>
      <c r="N3198" s="87" t="s">
        <v>1837</v>
      </c>
      <c r="O3198" s="87" t="s">
        <v>377</v>
      </c>
      <c r="P3198" s="87" t="s">
        <v>372</v>
      </c>
    </row>
    <row r="3199" ht="15.75" customHeight="1">
      <c r="A3199" s="87" t="s">
        <v>9347</v>
      </c>
      <c r="B3199" s="88">
        <v>1.22E18</v>
      </c>
      <c r="C3199" s="87" t="s">
        <v>9348</v>
      </c>
      <c r="D3199" s="87" t="s">
        <v>87</v>
      </c>
      <c r="E3199" s="87" t="s">
        <v>88</v>
      </c>
      <c r="F3199" s="87" t="s">
        <v>379</v>
      </c>
      <c r="G3199" s="93"/>
      <c r="H3199" s="93"/>
      <c r="I3199" s="87" t="s">
        <v>58</v>
      </c>
      <c r="J3199" s="87" t="s">
        <v>2030</v>
      </c>
      <c r="K3199" s="90">
        <v>0.0</v>
      </c>
      <c r="L3199" s="92"/>
      <c r="M3199" s="93"/>
      <c r="N3199" s="87" t="s">
        <v>1837</v>
      </c>
      <c r="O3199" s="87" t="s">
        <v>377</v>
      </c>
      <c r="P3199" s="87" t="s">
        <v>372</v>
      </c>
    </row>
    <row r="3200" ht="15.75" customHeight="1">
      <c r="A3200" s="87" t="s">
        <v>9349</v>
      </c>
      <c r="B3200" s="88">
        <v>1.22E18</v>
      </c>
      <c r="C3200" s="87" t="s">
        <v>9350</v>
      </c>
      <c r="D3200" s="87" t="s">
        <v>87</v>
      </c>
      <c r="E3200" s="87" t="s">
        <v>102</v>
      </c>
      <c r="F3200" s="87" t="s">
        <v>1763</v>
      </c>
      <c r="I3200" s="87" t="s">
        <v>58</v>
      </c>
      <c r="J3200" s="87" t="s">
        <v>9351</v>
      </c>
      <c r="K3200" s="90">
        <v>0.0</v>
      </c>
      <c r="L3200" s="92"/>
      <c r="M3200" s="93"/>
      <c r="N3200" s="87" t="s">
        <v>4427</v>
      </c>
      <c r="O3200" s="87" t="s">
        <v>377</v>
      </c>
      <c r="P3200" s="87" t="s">
        <v>372</v>
      </c>
    </row>
    <row r="3201" ht="15.75" customHeight="1">
      <c r="A3201" s="87" t="s">
        <v>9352</v>
      </c>
      <c r="B3201" s="88">
        <v>1.22E18</v>
      </c>
      <c r="C3201" s="87" t="s">
        <v>9353</v>
      </c>
      <c r="D3201" s="87" t="s">
        <v>262</v>
      </c>
      <c r="E3201" s="87" t="s">
        <v>270</v>
      </c>
      <c r="F3201" s="87" t="s">
        <v>1749</v>
      </c>
      <c r="H3201" s="93"/>
      <c r="I3201" s="87" t="s">
        <v>58</v>
      </c>
      <c r="J3201" s="87" t="s">
        <v>6075</v>
      </c>
      <c r="K3201" s="90">
        <v>0.0</v>
      </c>
      <c r="L3201" s="92"/>
      <c r="M3201" s="93"/>
      <c r="N3201" s="87" t="s">
        <v>9354</v>
      </c>
      <c r="O3201" s="87" t="s">
        <v>377</v>
      </c>
      <c r="P3201" s="87" t="s">
        <v>372</v>
      </c>
    </row>
    <row r="3202" ht="15.75" customHeight="1">
      <c r="A3202" s="87" t="s">
        <v>9355</v>
      </c>
      <c r="B3202" s="88">
        <v>1.22E18</v>
      </c>
      <c r="C3202" s="87" t="s">
        <v>9356</v>
      </c>
      <c r="D3202" s="87" t="s">
        <v>262</v>
      </c>
      <c r="E3202" s="87" t="s">
        <v>270</v>
      </c>
      <c r="F3202" s="87" t="s">
        <v>1749</v>
      </c>
      <c r="H3202" s="93"/>
      <c r="I3202" s="87" t="s">
        <v>58</v>
      </c>
      <c r="J3202" s="87" t="s">
        <v>4494</v>
      </c>
      <c r="K3202" s="90">
        <v>0.0</v>
      </c>
      <c r="L3202" s="92"/>
      <c r="M3202" s="93"/>
      <c r="N3202" s="87" t="s">
        <v>9357</v>
      </c>
      <c r="O3202" s="87" t="s">
        <v>377</v>
      </c>
      <c r="P3202" s="87" t="s">
        <v>372</v>
      </c>
    </row>
    <row r="3203" ht="15.75" customHeight="1">
      <c r="A3203" s="87" t="s">
        <v>9358</v>
      </c>
      <c r="B3203" s="88">
        <v>1.22E18</v>
      </c>
      <c r="C3203" s="87" t="s">
        <v>9359</v>
      </c>
      <c r="D3203" s="87" t="s">
        <v>262</v>
      </c>
      <c r="E3203" s="87" t="s">
        <v>267</v>
      </c>
      <c r="F3203" s="87" t="s">
        <v>1749</v>
      </c>
      <c r="H3203" s="93"/>
      <c r="I3203" s="87" t="s">
        <v>58</v>
      </c>
      <c r="J3203" s="87" t="s">
        <v>7357</v>
      </c>
      <c r="K3203" s="90">
        <v>0.0</v>
      </c>
      <c r="L3203" s="92"/>
      <c r="M3203" s="93"/>
      <c r="N3203" s="87" t="s">
        <v>9360</v>
      </c>
      <c r="O3203" s="87" t="s">
        <v>377</v>
      </c>
      <c r="P3203" s="87" t="s">
        <v>372</v>
      </c>
    </row>
    <row r="3204" ht="15.75" customHeight="1">
      <c r="A3204" s="87" t="s">
        <v>9361</v>
      </c>
      <c r="B3204" s="88">
        <v>1.22E18</v>
      </c>
      <c r="C3204" s="87" t="s">
        <v>9362</v>
      </c>
      <c r="D3204" s="87" t="s">
        <v>262</v>
      </c>
      <c r="E3204" s="87" t="s">
        <v>267</v>
      </c>
      <c r="F3204" s="87" t="s">
        <v>1749</v>
      </c>
      <c r="H3204" s="93"/>
      <c r="I3204" s="87" t="s">
        <v>58</v>
      </c>
      <c r="J3204" s="87" t="s">
        <v>7732</v>
      </c>
      <c r="K3204" s="90">
        <v>0.0</v>
      </c>
      <c r="L3204" s="92"/>
      <c r="M3204" s="93"/>
      <c r="N3204" s="87" t="s">
        <v>9363</v>
      </c>
      <c r="O3204" s="87" t="s">
        <v>377</v>
      </c>
      <c r="P3204" s="87" t="s">
        <v>372</v>
      </c>
    </row>
    <row r="3205" ht="15.75" customHeight="1">
      <c r="A3205" s="87" t="s">
        <v>9364</v>
      </c>
      <c r="B3205" s="88">
        <v>1.22E18</v>
      </c>
      <c r="C3205" s="87" t="s">
        <v>9365</v>
      </c>
      <c r="D3205" s="87" t="s">
        <v>262</v>
      </c>
      <c r="E3205" s="87" t="s">
        <v>267</v>
      </c>
      <c r="F3205" s="87" t="s">
        <v>1749</v>
      </c>
      <c r="H3205" s="93"/>
      <c r="I3205" s="87" t="s">
        <v>58</v>
      </c>
      <c r="J3205" s="87" t="s">
        <v>9366</v>
      </c>
      <c r="K3205" s="90">
        <v>0.0</v>
      </c>
      <c r="L3205" s="92"/>
      <c r="M3205" s="93"/>
      <c r="N3205" s="87" t="s">
        <v>2364</v>
      </c>
      <c r="O3205" s="87" t="s">
        <v>377</v>
      </c>
      <c r="P3205" s="87" t="s">
        <v>372</v>
      </c>
    </row>
    <row r="3206" ht="15.75" customHeight="1">
      <c r="A3206" s="87" t="s">
        <v>9367</v>
      </c>
      <c r="B3206" s="88">
        <v>1.22E18</v>
      </c>
      <c r="C3206" s="87" t="s">
        <v>9368</v>
      </c>
      <c r="D3206" s="87" t="s">
        <v>262</v>
      </c>
      <c r="E3206" s="87" t="s">
        <v>270</v>
      </c>
      <c r="F3206" s="87" t="s">
        <v>1749</v>
      </c>
      <c r="H3206" s="93"/>
      <c r="I3206" s="87" t="s">
        <v>58</v>
      </c>
      <c r="J3206" s="87" t="s">
        <v>9369</v>
      </c>
      <c r="K3206" s="90">
        <v>0.0</v>
      </c>
      <c r="L3206" s="92"/>
      <c r="M3206" s="93"/>
      <c r="N3206" s="87" t="s">
        <v>9370</v>
      </c>
      <c r="O3206" s="87" t="s">
        <v>377</v>
      </c>
      <c r="P3206" s="87" t="s">
        <v>372</v>
      </c>
    </row>
    <row r="3207" ht="15.75" customHeight="1">
      <c r="A3207" s="87" t="s">
        <v>9371</v>
      </c>
      <c r="B3207" s="88">
        <v>1.22E18</v>
      </c>
      <c r="C3207" s="87" t="s">
        <v>9372</v>
      </c>
      <c r="D3207" s="87" t="s">
        <v>56</v>
      </c>
      <c r="E3207" s="87" t="s">
        <v>102</v>
      </c>
      <c r="F3207" s="87" t="s">
        <v>1763</v>
      </c>
      <c r="I3207" s="87" t="s">
        <v>8773</v>
      </c>
      <c r="J3207" s="87" t="s">
        <v>9373</v>
      </c>
      <c r="K3207" s="90">
        <v>0.0</v>
      </c>
      <c r="L3207" s="92"/>
      <c r="M3207" s="93"/>
      <c r="N3207" s="87" t="s">
        <v>1772</v>
      </c>
      <c r="O3207" s="87" t="s">
        <v>377</v>
      </c>
      <c r="P3207" s="87" t="s">
        <v>372</v>
      </c>
    </row>
    <row r="3208" ht="15.75" customHeight="1">
      <c r="A3208" s="87" t="s">
        <v>9374</v>
      </c>
      <c r="B3208" s="88">
        <v>1.22E18</v>
      </c>
      <c r="C3208" s="87" t="s">
        <v>9375</v>
      </c>
      <c r="D3208" s="87" t="s">
        <v>56</v>
      </c>
      <c r="E3208" s="87" t="s">
        <v>102</v>
      </c>
      <c r="F3208" s="87" t="s">
        <v>1763</v>
      </c>
      <c r="I3208" s="87" t="s">
        <v>58</v>
      </c>
      <c r="J3208" s="87" t="s">
        <v>9376</v>
      </c>
      <c r="K3208" s="90">
        <v>0.0</v>
      </c>
      <c r="L3208" s="92"/>
      <c r="M3208" s="93"/>
      <c r="N3208" s="87" t="s">
        <v>1772</v>
      </c>
      <c r="O3208" s="87" t="s">
        <v>377</v>
      </c>
      <c r="P3208" s="87" t="s">
        <v>372</v>
      </c>
    </row>
    <row r="3209" ht="15.75" customHeight="1">
      <c r="A3209" s="87" t="s">
        <v>9377</v>
      </c>
      <c r="B3209" s="88">
        <v>1.22E18</v>
      </c>
      <c r="C3209" s="87" t="s">
        <v>9378</v>
      </c>
      <c r="D3209" s="87" t="s">
        <v>56</v>
      </c>
      <c r="E3209" s="87" t="s">
        <v>102</v>
      </c>
      <c r="F3209" s="87" t="s">
        <v>1763</v>
      </c>
      <c r="I3209" s="87" t="s">
        <v>58</v>
      </c>
      <c r="J3209" s="87" t="s">
        <v>5961</v>
      </c>
      <c r="K3209" s="90">
        <v>0.0</v>
      </c>
      <c r="L3209" s="92"/>
      <c r="M3209" s="93"/>
      <c r="N3209" s="87" t="s">
        <v>1772</v>
      </c>
      <c r="O3209" s="87" t="s">
        <v>377</v>
      </c>
      <c r="P3209" s="87" t="s">
        <v>372</v>
      </c>
    </row>
    <row r="3210" ht="15.75" customHeight="1">
      <c r="A3210" s="87" t="s">
        <v>9379</v>
      </c>
      <c r="B3210" s="88">
        <v>1.22E18</v>
      </c>
      <c r="C3210" s="87" t="s">
        <v>9380</v>
      </c>
      <c r="D3210" s="87" t="s">
        <v>87</v>
      </c>
      <c r="E3210" s="87" t="s">
        <v>102</v>
      </c>
      <c r="F3210" s="87" t="s">
        <v>1763</v>
      </c>
      <c r="I3210" s="87" t="s">
        <v>3984</v>
      </c>
      <c r="J3210" s="87" t="s">
        <v>9381</v>
      </c>
      <c r="K3210" s="90">
        <v>0.0</v>
      </c>
      <c r="L3210" s="92"/>
      <c r="M3210" s="93"/>
      <c r="N3210" s="87" t="s">
        <v>1772</v>
      </c>
      <c r="O3210" s="87" t="s">
        <v>377</v>
      </c>
      <c r="P3210" s="87" t="s">
        <v>372</v>
      </c>
    </row>
    <row r="3211" ht="15.75" customHeight="1">
      <c r="A3211" s="87" t="s">
        <v>9382</v>
      </c>
      <c r="B3211" s="88">
        <v>1.22E18</v>
      </c>
      <c r="C3211" s="87" t="s">
        <v>9383</v>
      </c>
      <c r="D3211" s="87" t="s">
        <v>56</v>
      </c>
      <c r="E3211" s="87" t="s">
        <v>102</v>
      </c>
      <c r="F3211" s="87" t="s">
        <v>1763</v>
      </c>
      <c r="I3211" s="87" t="s">
        <v>58</v>
      </c>
      <c r="J3211" s="87" t="s">
        <v>2855</v>
      </c>
      <c r="K3211" s="90">
        <v>0.0</v>
      </c>
      <c r="L3211" s="92"/>
      <c r="M3211" s="93"/>
      <c r="N3211" s="93"/>
      <c r="O3211" s="87" t="s">
        <v>377</v>
      </c>
      <c r="P3211" s="87" t="s">
        <v>372</v>
      </c>
    </row>
    <row r="3212" ht="15.75" customHeight="1">
      <c r="A3212" s="87" t="s">
        <v>9384</v>
      </c>
      <c r="B3212" s="88">
        <v>1.22E18</v>
      </c>
      <c r="C3212" s="87" t="s">
        <v>9385</v>
      </c>
      <c r="D3212" s="87" t="s">
        <v>87</v>
      </c>
      <c r="E3212" s="87" t="s">
        <v>88</v>
      </c>
      <c r="F3212" s="87" t="s">
        <v>373</v>
      </c>
      <c r="H3212" s="93"/>
      <c r="I3212" s="87" t="s">
        <v>340</v>
      </c>
      <c r="J3212" s="87" t="s">
        <v>9386</v>
      </c>
      <c r="K3212" s="90">
        <v>0.0</v>
      </c>
      <c r="L3212" s="92"/>
      <c r="M3212" s="93"/>
      <c r="N3212" s="87" t="s">
        <v>6762</v>
      </c>
      <c r="O3212" s="87" t="s">
        <v>377</v>
      </c>
      <c r="P3212" s="87" t="s">
        <v>372</v>
      </c>
    </row>
    <row r="3213" ht="15.75" customHeight="1">
      <c r="A3213" s="87" t="s">
        <v>9387</v>
      </c>
      <c r="B3213" s="88">
        <v>1.22E18</v>
      </c>
      <c r="C3213" s="87" t="s">
        <v>9388</v>
      </c>
      <c r="D3213" s="87" t="s">
        <v>87</v>
      </c>
      <c r="E3213" s="87" t="s">
        <v>88</v>
      </c>
      <c r="F3213" s="87" t="s">
        <v>373</v>
      </c>
      <c r="H3213" s="93"/>
      <c r="I3213" s="87" t="s">
        <v>327</v>
      </c>
      <c r="J3213" s="87" t="s">
        <v>9389</v>
      </c>
      <c r="K3213" s="90">
        <v>0.0</v>
      </c>
      <c r="L3213" s="92"/>
      <c r="M3213" s="93"/>
      <c r="N3213" s="87" t="s">
        <v>5018</v>
      </c>
      <c r="O3213" s="87" t="s">
        <v>377</v>
      </c>
      <c r="P3213" s="87" t="s">
        <v>372</v>
      </c>
    </row>
    <row r="3214" ht="15.75" customHeight="1">
      <c r="A3214" s="87" t="s">
        <v>9390</v>
      </c>
      <c r="B3214" s="88">
        <v>1.22E18</v>
      </c>
      <c r="C3214" s="87" t="s">
        <v>9391</v>
      </c>
      <c r="D3214" s="87" t="s">
        <v>87</v>
      </c>
      <c r="E3214" s="87" t="s">
        <v>228</v>
      </c>
      <c r="F3214" s="87" t="s">
        <v>379</v>
      </c>
      <c r="G3214" s="93"/>
      <c r="H3214" s="93"/>
      <c r="I3214" s="87" t="s">
        <v>340</v>
      </c>
      <c r="J3214" s="87" t="s">
        <v>9392</v>
      </c>
      <c r="K3214" s="90">
        <v>5895.0</v>
      </c>
      <c r="L3214" s="92"/>
      <c r="M3214" s="93"/>
      <c r="N3214" s="87" t="s">
        <v>6386</v>
      </c>
      <c r="O3214" s="87" t="s">
        <v>377</v>
      </c>
      <c r="P3214" s="87" t="s">
        <v>372</v>
      </c>
    </row>
    <row r="3215" ht="15.75" customHeight="1">
      <c r="A3215" s="87" t="s">
        <v>9393</v>
      </c>
      <c r="B3215" s="88">
        <v>1.22E18</v>
      </c>
      <c r="C3215" s="87" t="s">
        <v>9394</v>
      </c>
      <c r="D3215" s="87" t="s">
        <v>56</v>
      </c>
      <c r="E3215" s="87" t="s">
        <v>102</v>
      </c>
      <c r="F3215" s="87" t="s">
        <v>1763</v>
      </c>
      <c r="I3215" s="87" t="s">
        <v>58</v>
      </c>
      <c r="J3215" s="87" t="s">
        <v>3175</v>
      </c>
      <c r="K3215" s="90">
        <v>15200.0</v>
      </c>
      <c r="L3215" s="92"/>
      <c r="M3215" s="93"/>
      <c r="N3215" s="93"/>
      <c r="O3215" s="87" t="s">
        <v>377</v>
      </c>
      <c r="P3215" s="87" t="s">
        <v>372</v>
      </c>
    </row>
    <row r="3216" ht="15.75" customHeight="1">
      <c r="A3216" s="87" t="s">
        <v>9395</v>
      </c>
      <c r="B3216" s="88">
        <v>1.22E18</v>
      </c>
      <c r="C3216" s="87" t="s">
        <v>9396</v>
      </c>
      <c r="D3216" s="87" t="s">
        <v>87</v>
      </c>
      <c r="E3216" s="87" t="s">
        <v>88</v>
      </c>
      <c r="F3216" s="118" t="s">
        <v>9396</v>
      </c>
      <c r="G3216" s="130"/>
      <c r="H3216" s="119"/>
      <c r="I3216" s="87" t="s">
        <v>58</v>
      </c>
      <c r="J3216" s="87" t="s">
        <v>9397</v>
      </c>
      <c r="K3216" s="90">
        <v>0.0</v>
      </c>
      <c r="L3216" s="92"/>
      <c r="M3216" s="93"/>
      <c r="N3216" s="87" t="s">
        <v>1844</v>
      </c>
      <c r="O3216" s="87" t="s">
        <v>377</v>
      </c>
      <c r="P3216" s="87" t="s">
        <v>372</v>
      </c>
    </row>
    <row r="3217" ht="15.75" customHeight="1">
      <c r="A3217" s="87" t="s">
        <v>9398</v>
      </c>
      <c r="B3217" s="88">
        <v>1.22E18</v>
      </c>
      <c r="C3217" s="87" t="s">
        <v>9399</v>
      </c>
      <c r="D3217" s="87" t="s">
        <v>87</v>
      </c>
      <c r="E3217" s="87" t="s">
        <v>88</v>
      </c>
      <c r="F3217" s="87" t="s">
        <v>379</v>
      </c>
      <c r="G3217" s="93"/>
      <c r="H3217" s="93"/>
      <c r="I3217" s="87" t="s">
        <v>58</v>
      </c>
      <c r="J3217" s="87" t="s">
        <v>9400</v>
      </c>
      <c r="K3217" s="90">
        <v>1.0</v>
      </c>
      <c r="L3217" s="92"/>
      <c r="M3217" s="93"/>
      <c r="N3217" s="87" t="s">
        <v>1015</v>
      </c>
      <c r="O3217" s="87" t="s">
        <v>377</v>
      </c>
      <c r="P3217" s="87" t="s">
        <v>372</v>
      </c>
    </row>
    <row r="3218" ht="15.75" customHeight="1">
      <c r="A3218" s="87" t="s">
        <v>9401</v>
      </c>
      <c r="B3218" s="88">
        <v>1.22E18</v>
      </c>
      <c r="C3218" s="87" t="s">
        <v>9402</v>
      </c>
      <c r="D3218" s="87" t="s">
        <v>56</v>
      </c>
      <c r="E3218" s="87" t="s">
        <v>102</v>
      </c>
      <c r="F3218" s="87" t="s">
        <v>1763</v>
      </c>
      <c r="I3218" s="87" t="s">
        <v>58</v>
      </c>
      <c r="J3218" s="87" t="s">
        <v>9403</v>
      </c>
      <c r="K3218" s="90">
        <v>0.0</v>
      </c>
      <c r="L3218" s="92"/>
      <c r="M3218" s="93"/>
      <c r="N3218" s="87" t="s">
        <v>6654</v>
      </c>
      <c r="O3218" s="87" t="s">
        <v>377</v>
      </c>
      <c r="P3218" s="87" t="s">
        <v>372</v>
      </c>
    </row>
    <row r="3219" ht="15.75" customHeight="1">
      <c r="A3219" s="87" t="s">
        <v>9404</v>
      </c>
      <c r="B3219" s="88">
        <v>1.22E18</v>
      </c>
      <c r="C3219" s="87" t="s">
        <v>9405</v>
      </c>
      <c r="D3219" s="87" t="s">
        <v>262</v>
      </c>
      <c r="E3219" s="87" t="s">
        <v>267</v>
      </c>
      <c r="F3219" s="87" t="s">
        <v>1749</v>
      </c>
      <c r="H3219" s="93"/>
      <c r="I3219" s="87" t="s">
        <v>58</v>
      </c>
      <c r="J3219" s="87" t="s">
        <v>9406</v>
      </c>
      <c r="K3219" s="90">
        <v>0.0</v>
      </c>
      <c r="L3219" s="92"/>
      <c r="M3219" s="93"/>
      <c r="N3219" s="87" t="s">
        <v>9407</v>
      </c>
      <c r="O3219" s="87" t="s">
        <v>377</v>
      </c>
      <c r="P3219" s="87" t="s">
        <v>372</v>
      </c>
    </row>
    <row r="3220" ht="15.75" customHeight="1">
      <c r="A3220" s="87" t="s">
        <v>9408</v>
      </c>
      <c r="B3220" s="88">
        <v>1.22E18</v>
      </c>
      <c r="C3220" s="87" t="s">
        <v>9409</v>
      </c>
      <c r="D3220" s="87" t="s">
        <v>262</v>
      </c>
      <c r="E3220" s="87" t="s">
        <v>270</v>
      </c>
      <c r="F3220" s="87" t="s">
        <v>1749</v>
      </c>
      <c r="H3220" s="93"/>
      <c r="I3220" s="87" t="s">
        <v>58</v>
      </c>
      <c r="J3220" s="87" t="s">
        <v>9410</v>
      </c>
      <c r="K3220" s="90">
        <v>0.0</v>
      </c>
      <c r="L3220" s="92"/>
      <c r="M3220" s="93"/>
      <c r="N3220" s="87" t="s">
        <v>3202</v>
      </c>
      <c r="O3220" s="87" t="s">
        <v>377</v>
      </c>
      <c r="P3220" s="87" t="s">
        <v>372</v>
      </c>
    </row>
    <row r="3221" ht="15.75" customHeight="1">
      <c r="A3221" s="87" t="s">
        <v>9411</v>
      </c>
      <c r="B3221" s="88">
        <v>1.22E18</v>
      </c>
      <c r="C3221" s="87" t="s">
        <v>9412</v>
      </c>
      <c r="D3221" s="87" t="s">
        <v>87</v>
      </c>
      <c r="E3221" s="87" t="s">
        <v>102</v>
      </c>
      <c r="F3221" s="87" t="s">
        <v>1763</v>
      </c>
      <c r="I3221" s="87" t="s">
        <v>58</v>
      </c>
      <c r="J3221" s="87" t="s">
        <v>9413</v>
      </c>
      <c r="K3221" s="90">
        <v>0.0</v>
      </c>
      <c r="L3221" s="92"/>
      <c r="M3221" s="93"/>
      <c r="N3221" s="87" t="s">
        <v>4427</v>
      </c>
      <c r="O3221" s="87" t="s">
        <v>377</v>
      </c>
      <c r="P3221" s="87" t="s">
        <v>372</v>
      </c>
    </row>
    <row r="3222" ht="15.75" customHeight="1">
      <c r="A3222" s="87" t="s">
        <v>9414</v>
      </c>
      <c r="B3222" s="88">
        <v>1.22E18</v>
      </c>
      <c r="C3222" s="87" t="s">
        <v>9415</v>
      </c>
      <c r="D3222" s="87" t="s">
        <v>87</v>
      </c>
      <c r="E3222" s="87" t="s">
        <v>102</v>
      </c>
      <c r="F3222" s="87" t="s">
        <v>1763</v>
      </c>
      <c r="I3222" s="87" t="s">
        <v>58</v>
      </c>
      <c r="J3222" s="87" t="s">
        <v>9413</v>
      </c>
      <c r="K3222" s="90">
        <v>0.0</v>
      </c>
      <c r="L3222" s="92"/>
      <c r="M3222" s="93"/>
      <c r="N3222" s="87" t="s">
        <v>4427</v>
      </c>
      <c r="O3222" s="87" t="s">
        <v>377</v>
      </c>
      <c r="P3222" s="87" t="s">
        <v>372</v>
      </c>
    </row>
    <row r="3223" ht="15.75" customHeight="1">
      <c r="A3223" s="87" t="s">
        <v>9416</v>
      </c>
      <c r="B3223" s="88">
        <v>1.22E18</v>
      </c>
      <c r="C3223" s="87" t="s">
        <v>9417</v>
      </c>
      <c r="D3223" s="87" t="s">
        <v>262</v>
      </c>
      <c r="E3223" s="87" t="s">
        <v>267</v>
      </c>
      <c r="F3223" s="87" t="s">
        <v>9417</v>
      </c>
      <c r="I3223" s="87" t="s">
        <v>58</v>
      </c>
      <c r="J3223" s="87" t="s">
        <v>9418</v>
      </c>
      <c r="K3223" s="90">
        <v>0.0</v>
      </c>
      <c r="L3223" s="92"/>
      <c r="M3223" s="93"/>
      <c r="N3223" s="87" t="s">
        <v>7269</v>
      </c>
      <c r="O3223" s="87" t="s">
        <v>377</v>
      </c>
      <c r="P3223" s="87" t="s">
        <v>372</v>
      </c>
    </row>
    <row r="3224" ht="15.75" customHeight="1">
      <c r="A3224" s="87" t="s">
        <v>9419</v>
      </c>
      <c r="B3224" s="88">
        <v>1.22E18</v>
      </c>
      <c r="C3224" s="87" t="s">
        <v>9420</v>
      </c>
      <c r="D3224" s="87" t="s">
        <v>87</v>
      </c>
      <c r="E3224" s="87" t="s">
        <v>88</v>
      </c>
      <c r="F3224" s="87" t="s">
        <v>379</v>
      </c>
      <c r="G3224" s="93"/>
      <c r="H3224" s="93"/>
      <c r="I3224" s="87" t="s">
        <v>58</v>
      </c>
      <c r="J3224" s="87" t="s">
        <v>9421</v>
      </c>
      <c r="K3224" s="90">
        <v>552.0</v>
      </c>
      <c r="L3224" s="92"/>
      <c r="M3224" s="93"/>
      <c r="N3224" s="87" t="s">
        <v>7628</v>
      </c>
      <c r="O3224" s="87" t="s">
        <v>377</v>
      </c>
      <c r="P3224" s="87" t="s">
        <v>372</v>
      </c>
    </row>
    <row r="3225" ht="15.75" customHeight="1">
      <c r="A3225" s="87" t="s">
        <v>9422</v>
      </c>
      <c r="B3225" s="88">
        <v>1.22E18</v>
      </c>
      <c r="C3225" s="87" t="s">
        <v>9423</v>
      </c>
      <c r="D3225" s="87" t="s">
        <v>56</v>
      </c>
      <c r="E3225" s="87" t="s">
        <v>248</v>
      </c>
      <c r="F3225" s="87" t="s">
        <v>2769</v>
      </c>
      <c r="G3225" s="93"/>
      <c r="H3225" s="93"/>
      <c r="I3225" s="87" t="s">
        <v>58</v>
      </c>
      <c r="J3225" s="87" t="s">
        <v>9424</v>
      </c>
      <c r="K3225" s="90">
        <v>8200.0</v>
      </c>
      <c r="L3225" s="92"/>
      <c r="M3225" s="93"/>
      <c r="N3225" s="87" t="s">
        <v>7614</v>
      </c>
      <c r="O3225" s="87" t="s">
        <v>377</v>
      </c>
      <c r="P3225" s="87" t="s">
        <v>372</v>
      </c>
    </row>
    <row r="3226" ht="15.75" customHeight="1">
      <c r="A3226" s="87" t="s">
        <v>9425</v>
      </c>
      <c r="B3226" s="88">
        <v>1.22E18</v>
      </c>
      <c r="C3226" s="87" t="s">
        <v>9426</v>
      </c>
      <c r="D3226" s="87" t="s">
        <v>56</v>
      </c>
      <c r="E3226" s="87" t="s">
        <v>248</v>
      </c>
      <c r="F3226" s="87" t="s">
        <v>2769</v>
      </c>
      <c r="G3226" s="93"/>
      <c r="H3226" s="93"/>
      <c r="I3226" s="87" t="s">
        <v>58</v>
      </c>
      <c r="J3226" s="87" t="s">
        <v>9427</v>
      </c>
      <c r="K3226" s="90">
        <v>0.0</v>
      </c>
      <c r="L3226" s="92"/>
      <c r="M3226" s="93"/>
      <c r="N3226" s="87" t="s">
        <v>7614</v>
      </c>
      <c r="O3226" s="87" t="s">
        <v>377</v>
      </c>
      <c r="P3226" s="87" t="s">
        <v>372</v>
      </c>
    </row>
    <row r="3227" ht="15.75" customHeight="1">
      <c r="A3227" s="87" t="s">
        <v>9428</v>
      </c>
      <c r="B3227" s="88">
        <v>1.22E18</v>
      </c>
      <c r="C3227" s="87" t="s">
        <v>9429</v>
      </c>
      <c r="D3227" s="87" t="s">
        <v>87</v>
      </c>
      <c r="E3227" s="87" t="s">
        <v>102</v>
      </c>
      <c r="F3227" s="87" t="s">
        <v>373</v>
      </c>
      <c r="H3227" s="93"/>
      <c r="I3227" s="87" t="s">
        <v>58</v>
      </c>
      <c r="J3227" s="87" t="s">
        <v>9430</v>
      </c>
      <c r="K3227" s="90">
        <v>0.0</v>
      </c>
      <c r="L3227" s="92"/>
      <c r="M3227" s="93"/>
      <c r="N3227" s="87" t="s">
        <v>2358</v>
      </c>
      <c r="O3227" s="87" t="s">
        <v>377</v>
      </c>
      <c r="P3227" s="87" t="s">
        <v>372</v>
      </c>
    </row>
    <row r="3228" ht="15.75" customHeight="1">
      <c r="A3228" s="87" t="s">
        <v>9431</v>
      </c>
      <c r="B3228" s="88">
        <v>1.22E18</v>
      </c>
      <c r="C3228" s="87" t="s">
        <v>9432</v>
      </c>
      <c r="D3228" s="87" t="s">
        <v>87</v>
      </c>
      <c r="E3228" s="87" t="s">
        <v>228</v>
      </c>
      <c r="F3228" s="87" t="s">
        <v>373</v>
      </c>
      <c r="H3228" s="93"/>
      <c r="I3228" s="87" t="s">
        <v>340</v>
      </c>
      <c r="J3228" s="87" t="s">
        <v>9433</v>
      </c>
      <c r="K3228" s="90">
        <v>1000.0</v>
      </c>
      <c r="L3228" s="92"/>
      <c r="M3228" s="93"/>
      <c r="N3228" s="87" t="s">
        <v>2405</v>
      </c>
      <c r="O3228" s="87" t="s">
        <v>377</v>
      </c>
      <c r="P3228" s="87" t="s">
        <v>372</v>
      </c>
    </row>
    <row r="3229" ht="15.75" customHeight="1">
      <c r="A3229" s="87" t="s">
        <v>9434</v>
      </c>
      <c r="B3229" s="88">
        <v>1.22E18</v>
      </c>
      <c r="C3229" s="87" t="s">
        <v>9435</v>
      </c>
      <c r="D3229" s="87" t="s">
        <v>87</v>
      </c>
      <c r="E3229" s="87" t="s">
        <v>88</v>
      </c>
      <c r="F3229" s="87" t="s">
        <v>379</v>
      </c>
      <c r="G3229" s="93"/>
      <c r="H3229" s="93"/>
      <c r="I3229" s="87" t="s">
        <v>327</v>
      </c>
      <c r="J3229" s="87" t="s">
        <v>9436</v>
      </c>
      <c r="K3229" s="90">
        <v>100.0</v>
      </c>
      <c r="L3229" s="92"/>
      <c r="M3229" s="93"/>
      <c r="N3229" s="87" t="s">
        <v>6762</v>
      </c>
      <c r="O3229" s="87" t="s">
        <v>377</v>
      </c>
      <c r="P3229" s="87" t="s">
        <v>372</v>
      </c>
    </row>
    <row r="3230" ht="15.75" customHeight="1">
      <c r="A3230" s="87" t="s">
        <v>9437</v>
      </c>
      <c r="B3230" s="88">
        <v>1.22E18</v>
      </c>
      <c r="C3230" s="87" t="s">
        <v>9438</v>
      </c>
      <c r="D3230" s="87" t="s">
        <v>87</v>
      </c>
      <c r="E3230" s="87" t="s">
        <v>88</v>
      </c>
      <c r="F3230" s="87" t="s">
        <v>373</v>
      </c>
      <c r="H3230" s="93"/>
      <c r="I3230" s="87" t="s">
        <v>327</v>
      </c>
      <c r="J3230" s="87" t="s">
        <v>9439</v>
      </c>
      <c r="K3230" s="90">
        <v>5000.0</v>
      </c>
      <c r="L3230" s="92"/>
      <c r="M3230" s="93"/>
      <c r="N3230" s="87" t="s">
        <v>9440</v>
      </c>
      <c r="O3230" s="87" t="s">
        <v>377</v>
      </c>
      <c r="P3230" s="87" t="s">
        <v>372</v>
      </c>
    </row>
    <row r="3231" ht="15.75" customHeight="1">
      <c r="A3231" s="87" t="s">
        <v>9441</v>
      </c>
      <c r="B3231" s="88">
        <v>1.22E18</v>
      </c>
      <c r="C3231" s="87" t="s">
        <v>9442</v>
      </c>
      <c r="D3231" s="87" t="s">
        <v>87</v>
      </c>
      <c r="E3231" s="87" t="s">
        <v>228</v>
      </c>
      <c r="F3231" s="87" t="s">
        <v>9442</v>
      </c>
      <c r="I3231" s="87" t="s">
        <v>340</v>
      </c>
      <c r="J3231" s="87" t="s">
        <v>1983</v>
      </c>
      <c r="K3231" s="90">
        <v>0.0</v>
      </c>
      <c r="L3231" s="92"/>
      <c r="M3231" s="93"/>
      <c r="N3231" s="87" t="s">
        <v>5018</v>
      </c>
      <c r="O3231" s="87" t="s">
        <v>377</v>
      </c>
      <c r="P3231" s="87" t="s">
        <v>372</v>
      </c>
    </row>
    <row r="3232" ht="15.75" customHeight="1">
      <c r="A3232" s="87" t="s">
        <v>9443</v>
      </c>
      <c r="B3232" s="88">
        <v>1.22E18</v>
      </c>
      <c r="C3232" s="87" t="s">
        <v>9444</v>
      </c>
      <c r="D3232" s="87" t="s">
        <v>87</v>
      </c>
      <c r="E3232" s="87" t="s">
        <v>88</v>
      </c>
      <c r="F3232" s="87" t="s">
        <v>379</v>
      </c>
      <c r="G3232" s="93"/>
      <c r="H3232" s="93"/>
      <c r="I3232" s="87" t="s">
        <v>327</v>
      </c>
      <c r="J3232" s="87" t="s">
        <v>9445</v>
      </c>
      <c r="K3232" s="90">
        <v>100.0</v>
      </c>
      <c r="L3232" s="92"/>
      <c r="M3232" s="93"/>
      <c r="N3232" s="93"/>
      <c r="O3232" s="87" t="s">
        <v>377</v>
      </c>
      <c r="P3232" s="87" t="s">
        <v>372</v>
      </c>
    </row>
    <row r="3233" ht="15.75" customHeight="1">
      <c r="A3233" s="87" t="s">
        <v>9446</v>
      </c>
      <c r="B3233" s="88">
        <v>1.22E18</v>
      </c>
      <c r="C3233" s="87" t="s">
        <v>9447</v>
      </c>
      <c r="D3233" s="87" t="s">
        <v>262</v>
      </c>
      <c r="E3233" s="87" t="s">
        <v>270</v>
      </c>
      <c r="F3233" s="87" t="s">
        <v>1749</v>
      </c>
      <c r="H3233" s="93"/>
      <c r="I3233" s="87" t="s">
        <v>58</v>
      </c>
      <c r="J3233" s="87" t="s">
        <v>9448</v>
      </c>
      <c r="K3233" s="90">
        <v>0.0</v>
      </c>
      <c r="L3233" s="92"/>
      <c r="M3233" s="93"/>
      <c r="N3233" s="87" t="s">
        <v>9449</v>
      </c>
      <c r="O3233" s="87" t="s">
        <v>377</v>
      </c>
      <c r="P3233" s="87" t="s">
        <v>372</v>
      </c>
    </row>
    <row r="3234" ht="15.75" customHeight="1">
      <c r="A3234" s="87" t="s">
        <v>9450</v>
      </c>
      <c r="B3234" s="88">
        <v>1.22E18</v>
      </c>
      <c r="C3234" s="87" t="s">
        <v>9451</v>
      </c>
      <c r="D3234" s="87" t="s">
        <v>262</v>
      </c>
      <c r="E3234" s="87" t="s">
        <v>270</v>
      </c>
      <c r="F3234" s="87" t="s">
        <v>1749</v>
      </c>
      <c r="H3234" s="93"/>
      <c r="I3234" s="87" t="s">
        <v>58</v>
      </c>
      <c r="J3234" s="87" t="s">
        <v>3355</v>
      </c>
      <c r="K3234" s="90">
        <v>0.0</v>
      </c>
      <c r="L3234" s="92"/>
      <c r="M3234" s="93"/>
      <c r="N3234" s="87" t="s">
        <v>9449</v>
      </c>
      <c r="O3234" s="87" t="s">
        <v>377</v>
      </c>
      <c r="P3234" s="87" t="s">
        <v>372</v>
      </c>
    </row>
    <row r="3235" ht="15.75" customHeight="1">
      <c r="A3235" s="87" t="s">
        <v>9452</v>
      </c>
      <c r="B3235" s="88">
        <v>1.22E18</v>
      </c>
      <c r="C3235" s="87" t="s">
        <v>9453</v>
      </c>
      <c r="D3235" s="87" t="s">
        <v>87</v>
      </c>
      <c r="E3235" s="87" t="s">
        <v>88</v>
      </c>
      <c r="F3235" s="87" t="s">
        <v>373</v>
      </c>
      <c r="H3235" s="93"/>
      <c r="I3235" s="87" t="s">
        <v>327</v>
      </c>
      <c r="J3235" s="87" t="s">
        <v>9454</v>
      </c>
      <c r="K3235" s="90">
        <v>0.0</v>
      </c>
      <c r="L3235" s="92"/>
      <c r="M3235" s="93"/>
      <c r="N3235" s="87" t="s">
        <v>9455</v>
      </c>
      <c r="O3235" s="87" t="s">
        <v>377</v>
      </c>
      <c r="P3235" s="87" t="s">
        <v>372</v>
      </c>
    </row>
    <row r="3236" ht="15.75" customHeight="1">
      <c r="A3236" s="87" t="s">
        <v>9456</v>
      </c>
      <c r="B3236" s="88">
        <v>1.22E18</v>
      </c>
      <c r="C3236" s="87" t="s">
        <v>9457</v>
      </c>
      <c r="D3236" s="87" t="s">
        <v>87</v>
      </c>
      <c r="E3236" s="87" t="s">
        <v>88</v>
      </c>
      <c r="F3236" s="87" t="s">
        <v>373</v>
      </c>
      <c r="H3236" s="93"/>
      <c r="I3236" s="87" t="s">
        <v>327</v>
      </c>
      <c r="J3236" s="87" t="s">
        <v>9454</v>
      </c>
      <c r="K3236" s="90">
        <v>0.0</v>
      </c>
      <c r="L3236" s="92"/>
      <c r="M3236" s="93"/>
      <c r="N3236" s="87" t="s">
        <v>9455</v>
      </c>
      <c r="O3236" s="87" t="s">
        <v>377</v>
      </c>
      <c r="P3236" s="87" t="s">
        <v>372</v>
      </c>
    </row>
    <row r="3237" ht="15.75" customHeight="1">
      <c r="A3237" s="87" t="s">
        <v>9458</v>
      </c>
      <c r="B3237" s="88">
        <v>1.22E18</v>
      </c>
      <c r="C3237" s="87" t="s">
        <v>9459</v>
      </c>
      <c r="D3237" s="87" t="s">
        <v>87</v>
      </c>
      <c r="E3237" s="87" t="s">
        <v>102</v>
      </c>
      <c r="F3237" s="87" t="s">
        <v>1763</v>
      </c>
      <c r="I3237" s="87" t="s">
        <v>58</v>
      </c>
      <c r="J3237" s="87" t="s">
        <v>9460</v>
      </c>
      <c r="K3237" s="90">
        <v>0.0</v>
      </c>
      <c r="L3237" s="92"/>
      <c r="M3237" s="93"/>
      <c r="N3237" s="87" t="s">
        <v>4427</v>
      </c>
      <c r="O3237" s="87" t="s">
        <v>377</v>
      </c>
      <c r="P3237" s="87" t="s">
        <v>372</v>
      </c>
    </row>
    <row r="3238" ht="15.75" customHeight="1">
      <c r="A3238" s="87" t="s">
        <v>9461</v>
      </c>
      <c r="B3238" s="88">
        <v>1.22E18</v>
      </c>
      <c r="C3238" s="87" t="s">
        <v>9462</v>
      </c>
      <c r="D3238" s="87" t="s">
        <v>87</v>
      </c>
      <c r="E3238" s="87" t="s">
        <v>241</v>
      </c>
      <c r="F3238" s="87" t="s">
        <v>9462</v>
      </c>
      <c r="I3238" s="87" t="s">
        <v>103</v>
      </c>
      <c r="J3238" s="87" t="s">
        <v>9463</v>
      </c>
      <c r="K3238" s="90">
        <v>0.0</v>
      </c>
      <c r="L3238" s="92"/>
      <c r="M3238" s="93"/>
      <c r="N3238" s="93"/>
      <c r="O3238" s="87" t="s">
        <v>377</v>
      </c>
      <c r="P3238" s="87" t="s">
        <v>372</v>
      </c>
    </row>
    <row r="3239" ht="15.75" customHeight="1">
      <c r="A3239" s="87" t="s">
        <v>9464</v>
      </c>
      <c r="B3239" s="88">
        <v>1.22E18</v>
      </c>
      <c r="C3239" s="87" t="s">
        <v>9465</v>
      </c>
      <c r="D3239" s="87" t="s">
        <v>56</v>
      </c>
      <c r="E3239" s="87" t="s">
        <v>102</v>
      </c>
      <c r="F3239" s="87" t="s">
        <v>1763</v>
      </c>
      <c r="I3239" s="87" t="s">
        <v>58</v>
      </c>
      <c r="J3239" s="87" t="s">
        <v>9466</v>
      </c>
      <c r="K3239" s="90">
        <v>0.0</v>
      </c>
      <c r="L3239" s="92"/>
      <c r="M3239" s="93"/>
      <c r="N3239" s="93"/>
      <c r="O3239" s="87" t="s">
        <v>377</v>
      </c>
      <c r="P3239" s="87" t="s">
        <v>372</v>
      </c>
    </row>
    <row r="3240" ht="15.75" customHeight="1">
      <c r="A3240" s="87" t="s">
        <v>9467</v>
      </c>
      <c r="B3240" s="88">
        <v>1.22E18</v>
      </c>
      <c r="C3240" s="87" t="s">
        <v>9468</v>
      </c>
      <c r="D3240" s="87" t="s">
        <v>56</v>
      </c>
      <c r="E3240" s="87" t="s">
        <v>59</v>
      </c>
      <c r="F3240" s="87" t="s">
        <v>1763</v>
      </c>
      <c r="I3240" s="87" t="s">
        <v>58</v>
      </c>
      <c r="J3240" s="87" t="s">
        <v>9469</v>
      </c>
      <c r="K3240" s="90">
        <v>0.0</v>
      </c>
      <c r="L3240" s="92"/>
      <c r="M3240" s="93"/>
      <c r="N3240" s="93"/>
      <c r="O3240" s="87" t="s">
        <v>377</v>
      </c>
      <c r="P3240" s="87" t="s">
        <v>372</v>
      </c>
    </row>
    <row r="3241" ht="15.75" customHeight="1">
      <c r="A3241" s="87" t="s">
        <v>9470</v>
      </c>
      <c r="B3241" s="88">
        <v>1.22E18</v>
      </c>
      <c r="C3241" s="87" t="s">
        <v>9471</v>
      </c>
      <c r="D3241" s="87" t="s">
        <v>56</v>
      </c>
      <c r="E3241" s="87" t="s">
        <v>59</v>
      </c>
      <c r="F3241" s="87" t="s">
        <v>1763</v>
      </c>
      <c r="I3241" s="87" t="s">
        <v>58</v>
      </c>
      <c r="J3241" s="87" t="s">
        <v>9472</v>
      </c>
      <c r="K3241" s="90">
        <v>0.0</v>
      </c>
      <c r="L3241" s="92"/>
      <c r="M3241" s="93"/>
      <c r="N3241" s="93"/>
      <c r="O3241" s="87" t="s">
        <v>377</v>
      </c>
      <c r="P3241" s="87" t="s">
        <v>372</v>
      </c>
    </row>
    <row r="3242" ht="15.75" customHeight="1">
      <c r="A3242" s="87" t="s">
        <v>9473</v>
      </c>
      <c r="B3242" s="88">
        <v>1.22E18</v>
      </c>
      <c r="C3242" s="87" t="s">
        <v>9474</v>
      </c>
      <c r="D3242" s="87" t="s">
        <v>56</v>
      </c>
      <c r="E3242" s="87" t="s">
        <v>102</v>
      </c>
      <c r="F3242" s="87" t="s">
        <v>1763</v>
      </c>
      <c r="I3242" s="87" t="s">
        <v>2333</v>
      </c>
      <c r="J3242" s="87" t="s">
        <v>2030</v>
      </c>
      <c r="K3242" s="90">
        <v>0.0</v>
      </c>
      <c r="L3242" s="92"/>
      <c r="M3242" s="93"/>
      <c r="N3242" s="93"/>
      <c r="O3242" s="87" t="s">
        <v>377</v>
      </c>
      <c r="P3242" s="87" t="s">
        <v>372</v>
      </c>
    </row>
    <row r="3243" ht="15.75" customHeight="1">
      <c r="A3243" s="87" t="s">
        <v>9475</v>
      </c>
      <c r="B3243" s="88">
        <v>1.22E18</v>
      </c>
      <c r="C3243" s="87" t="s">
        <v>9476</v>
      </c>
      <c r="D3243" s="87" t="s">
        <v>56</v>
      </c>
      <c r="E3243" s="87" t="s">
        <v>102</v>
      </c>
      <c r="F3243" s="87" t="s">
        <v>1763</v>
      </c>
      <c r="I3243" s="87" t="s">
        <v>58</v>
      </c>
      <c r="J3243" s="87" t="s">
        <v>9477</v>
      </c>
      <c r="K3243" s="90">
        <v>0.0</v>
      </c>
      <c r="L3243" s="92"/>
      <c r="M3243" s="93"/>
      <c r="N3243" s="93"/>
      <c r="O3243" s="87" t="s">
        <v>377</v>
      </c>
      <c r="P3243" s="87" t="s">
        <v>372</v>
      </c>
    </row>
    <row r="3244" ht="15.75" customHeight="1">
      <c r="A3244" s="87" t="s">
        <v>9478</v>
      </c>
      <c r="B3244" s="88">
        <v>1.22E18</v>
      </c>
      <c r="C3244" s="87" t="s">
        <v>9479</v>
      </c>
      <c r="D3244" s="87" t="s">
        <v>56</v>
      </c>
      <c r="E3244" s="87" t="s">
        <v>102</v>
      </c>
      <c r="F3244" s="87" t="s">
        <v>1763</v>
      </c>
      <c r="I3244" s="87" t="s">
        <v>58</v>
      </c>
      <c r="J3244" s="87" t="s">
        <v>9480</v>
      </c>
      <c r="K3244" s="90">
        <v>0.0</v>
      </c>
      <c r="L3244" s="92"/>
      <c r="M3244" s="93"/>
      <c r="N3244" s="93"/>
      <c r="O3244" s="87" t="s">
        <v>377</v>
      </c>
      <c r="P3244" s="87" t="s">
        <v>372</v>
      </c>
    </row>
    <row r="3245" ht="15.75" customHeight="1">
      <c r="A3245" s="87" t="s">
        <v>9481</v>
      </c>
      <c r="B3245" s="88">
        <v>1.22E18</v>
      </c>
      <c r="C3245" s="87" t="s">
        <v>9482</v>
      </c>
      <c r="D3245" s="87" t="s">
        <v>262</v>
      </c>
      <c r="E3245" s="87" t="s">
        <v>263</v>
      </c>
      <c r="F3245" s="87" t="s">
        <v>415</v>
      </c>
      <c r="G3245" s="93"/>
      <c r="H3245" s="93"/>
      <c r="I3245" s="87" t="s">
        <v>58</v>
      </c>
      <c r="J3245" s="87" t="s">
        <v>9483</v>
      </c>
      <c r="K3245" s="90">
        <v>1.0</v>
      </c>
      <c r="L3245" s="92"/>
      <c r="M3245" s="93"/>
      <c r="N3245" s="93"/>
      <c r="O3245" s="87" t="s">
        <v>377</v>
      </c>
      <c r="P3245" s="87" t="s">
        <v>372</v>
      </c>
    </row>
    <row r="3246" ht="15.75" customHeight="1">
      <c r="A3246" s="87" t="s">
        <v>9484</v>
      </c>
      <c r="B3246" s="88">
        <v>1.22E18</v>
      </c>
      <c r="C3246" s="87" t="s">
        <v>9485</v>
      </c>
      <c r="D3246" s="87" t="s">
        <v>262</v>
      </c>
      <c r="E3246" s="87" t="s">
        <v>267</v>
      </c>
      <c r="F3246" s="87" t="s">
        <v>1763</v>
      </c>
      <c r="I3246" s="87" t="s">
        <v>58</v>
      </c>
      <c r="J3246" s="87" t="s">
        <v>3285</v>
      </c>
      <c r="K3246" s="90">
        <v>0.0</v>
      </c>
      <c r="L3246" s="92"/>
      <c r="M3246" s="93"/>
      <c r="N3246" s="87" t="s">
        <v>1772</v>
      </c>
      <c r="O3246" s="87" t="s">
        <v>377</v>
      </c>
      <c r="P3246" s="87" t="s">
        <v>372</v>
      </c>
    </row>
    <row r="3247" ht="15.75" customHeight="1">
      <c r="A3247" s="87" t="s">
        <v>9486</v>
      </c>
      <c r="B3247" s="88">
        <v>1.22E18</v>
      </c>
      <c r="C3247" s="87" t="s">
        <v>9487</v>
      </c>
      <c r="D3247" s="87" t="s">
        <v>56</v>
      </c>
      <c r="E3247" s="87" t="s">
        <v>59</v>
      </c>
      <c r="F3247" s="87" t="s">
        <v>1763</v>
      </c>
      <c r="I3247" s="87" t="s">
        <v>58</v>
      </c>
      <c r="J3247" s="87" t="s">
        <v>9488</v>
      </c>
      <c r="K3247" s="90">
        <v>0.0</v>
      </c>
      <c r="L3247" s="92"/>
      <c r="M3247" s="93"/>
      <c r="N3247" s="87" t="s">
        <v>9489</v>
      </c>
      <c r="O3247" s="87" t="s">
        <v>377</v>
      </c>
      <c r="P3247" s="87" t="s">
        <v>372</v>
      </c>
    </row>
    <row r="3248" ht="15.75" customHeight="1">
      <c r="A3248" s="87" t="s">
        <v>9490</v>
      </c>
      <c r="B3248" s="88">
        <v>1.22E18</v>
      </c>
      <c r="C3248" s="87" t="s">
        <v>9491</v>
      </c>
      <c r="D3248" s="87" t="s">
        <v>87</v>
      </c>
      <c r="E3248" s="87" t="s">
        <v>88</v>
      </c>
      <c r="F3248" s="118" t="s">
        <v>9491</v>
      </c>
      <c r="G3248" s="130"/>
      <c r="H3248" s="119"/>
      <c r="I3248" s="87" t="s">
        <v>58</v>
      </c>
      <c r="J3248" s="87" t="s">
        <v>9492</v>
      </c>
      <c r="K3248" s="90">
        <v>0.0</v>
      </c>
      <c r="L3248" s="92"/>
      <c r="M3248" s="93"/>
      <c r="N3248" s="87" t="s">
        <v>1772</v>
      </c>
      <c r="O3248" s="87" t="s">
        <v>377</v>
      </c>
      <c r="P3248" s="87" t="s">
        <v>372</v>
      </c>
    </row>
    <row r="3249" ht="15.75" customHeight="1">
      <c r="A3249" s="87" t="s">
        <v>9493</v>
      </c>
      <c r="B3249" s="88">
        <v>1.22E18</v>
      </c>
      <c r="C3249" s="87" t="s">
        <v>9494</v>
      </c>
      <c r="D3249" s="87" t="s">
        <v>87</v>
      </c>
      <c r="E3249" s="87" t="s">
        <v>241</v>
      </c>
      <c r="F3249" s="87" t="s">
        <v>373</v>
      </c>
      <c r="H3249" s="93"/>
      <c r="I3249" s="87" t="s">
        <v>58</v>
      </c>
      <c r="J3249" s="87" t="s">
        <v>1994</v>
      </c>
      <c r="K3249" s="90">
        <v>0.0</v>
      </c>
      <c r="L3249" s="92"/>
      <c r="M3249" s="93"/>
      <c r="N3249" s="87" t="s">
        <v>9495</v>
      </c>
      <c r="O3249" s="87" t="s">
        <v>377</v>
      </c>
      <c r="P3249" s="87" t="s">
        <v>372</v>
      </c>
    </row>
    <row r="3250" ht="15.75" customHeight="1">
      <c r="A3250" s="87" t="s">
        <v>9496</v>
      </c>
      <c r="B3250" s="88">
        <v>1.22E18</v>
      </c>
      <c r="C3250" s="87" t="s">
        <v>9497</v>
      </c>
      <c r="D3250" s="87" t="s">
        <v>87</v>
      </c>
      <c r="E3250" s="87" t="s">
        <v>88</v>
      </c>
      <c r="F3250" s="87" t="s">
        <v>373</v>
      </c>
      <c r="H3250" s="93"/>
      <c r="I3250" s="87" t="s">
        <v>327</v>
      </c>
      <c r="J3250" s="87" t="s">
        <v>9498</v>
      </c>
      <c r="K3250" s="90">
        <v>5000.0</v>
      </c>
      <c r="L3250" s="92"/>
      <c r="M3250" s="93"/>
      <c r="N3250" s="87" t="s">
        <v>390</v>
      </c>
      <c r="O3250" s="87" t="s">
        <v>377</v>
      </c>
      <c r="P3250" s="87" t="s">
        <v>372</v>
      </c>
    </row>
    <row r="3251" ht="15.75" customHeight="1">
      <c r="A3251" s="87" t="s">
        <v>9499</v>
      </c>
      <c r="B3251" s="88">
        <v>1.22E18</v>
      </c>
      <c r="C3251" s="87" t="s">
        <v>9500</v>
      </c>
      <c r="D3251" s="87" t="s">
        <v>87</v>
      </c>
      <c r="E3251" s="87" t="s">
        <v>102</v>
      </c>
      <c r="F3251" s="87" t="s">
        <v>1763</v>
      </c>
      <c r="I3251" s="87" t="s">
        <v>58</v>
      </c>
      <c r="J3251" s="87" t="s">
        <v>5997</v>
      </c>
      <c r="K3251" s="90">
        <v>0.0</v>
      </c>
      <c r="L3251" s="92"/>
      <c r="M3251" s="93"/>
      <c r="N3251" s="87" t="s">
        <v>4427</v>
      </c>
      <c r="O3251" s="87" t="s">
        <v>377</v>
      </c>
      <c r="P3251" s="87" t="s">
        <v>372</v>
      </c>
    </row>
    <row r="3252" ht="15.75" customHeight="1">
      <c r="A3252" s="87" t="s">
        <v>9501</v>
      </c>
      <c r="B3252" s="88">
        <v>1.22E18</v>
      </c>
      <c r="C3252" s="87" t="s">
        <v>9502</v>
      </c>
      <c r="D3252" s="87" t="s">
        <v>262</v>
      </c>
      <c r="E3252" s="87" t="s">
        <v>267</v>
      </c>
      <c r="F3252" s="87" t="s">
        <v>1749</v>
      </c>
      <c r="H3252" s="93"/>
      <c r="I3252" s="87" t="s">
        <v>58</v>
      </c>
      <c r="J3252" s="87" t="s">
        <v>5607</v>
      </c>
      <c r="K3252" s="90">
        <v>0.0</v>
      </c>
      <c r="L3252" s="92"/>
      <c r="M3252" s="93"/>
      <c r="N3252" s="87" t="s">
        <v>9503</v>
      </c>
      <c r="O3252" s="87" t="s">
        <v>377</v>
      </c>
      <c r="P3252" s="87" t="s">
        <v>372</v>
      </c>
    </row>
    <row r="3253" ht="15.75" customHeight="1">
      <c r="A3253" s="87" t="s">
        <v>9504</v>
      </c>
      <c r="B3253" s="88">
        <v>1.22E18</v>
      </c>
      <c r="C3253" s="87" t="s">
        <v>9505</v>
      </c>
      <c r="D3253" s="87" t="s">
        <v>262</v>
      </c>
      <c r="E3253" s="87" t="s">
        <v>267</v>
      </c>
      <c r="F3253" s="87" t="s">
        <v>1749</v>
      </c>
      <c r="H3253" s="93"/>
      <c r="I3253" s="87" t="s">
        <v>58</v>
      </c>
      <c r="J3253" s="87" t="s">
        <v>9506</v>
      </c>
      <c r="K3253" s="90">
        <v>0.0</v>
      </c>
      <c r="L3253" s="92"/>
      <c r="M3253" s="93"/>
      <c r="N3253" s="87" t="s">
        <v>1729</v>
      </c>
      <c r="O3253" s="87" t="s">
        <v>377</v>
      </c>
      <c r="P3253" s="87" t="s">
        <v>372</v>
      </c>
    </row>
    <row r="3254" ht="15.75" customHeight="1">
      <c r="A3254" s="87" t="s">
        <v>9507</v>
      </c>
      <c r="B3254" s="88">
        <v>1.22E18</v>
      </c>
      <c r="C3254" s="87" t="s">
        <v>9508</v>
      </c>
      <c r="D3254" s="87" t="s">
        <v>262</v>
      </c>
      <c r="E3254" s="87" t="s">
        <v>267</v>
      </c>
      <c r="F3254" s="87" t="s">
        <v>1749</v>
      </c>
      <c r="H3254" s="93"/>
      <c r="I3254" s="87" t="s">
        <v>58</v>
      </c>
      <c r="J3254" s="87" t="s">
        <v>9509</v>
      </c>
      <c r="K3254" s="90">
        <v>0.0</v>
      </c>
      <c r="L3254" s="92"/>
      <c r="M3254" s="93"/>
      <c r="N3254" s="87" t="s">
        <v>1729</v>
      </c>
      <c r="O3254" s="87" t="s">
        <v>377</v>
      </c>
      <c r="P3254" s="87" t="s">
        <v>372</v>
      </c>
    </row>
    <row r="3255" ht="15.75" customHeight="1">
      <c r="A3255" s="87" t="s">
        <v>9510</v>
      </c>
      <c r="B3255" s="88">
        <v>1.22E18</v>
      </c>
      <c r="C3255" s="87" t="s">
        <v>9511</v>
      </c>
      <c r="D3255" s="87" t="s">
        <v>262</v>
      </c>
      <c r="E3255" s="87" t="s">
        <v>267</v>
      </c>
      <c r="F3255" s="87" t="s">
        <v>1749</v>
      </c>
      <c r="H3255" s="93"/>
      <c r="I3255" s="87" t="s">
        <v>58</v>
      </c>
      <c r="J3255" s="87" t="s">
        <v>9512</v>
      </c>
      <c r="K3255" s="90">
        <v>0.0</v>
      </c>
      <c r="L3255" s="92"/>
      <c r="M3255" s="93"/>
      <c r="N3255" s="87" t="s">
        <v>1729</v>
      </c>
      <c r="O3255" s="87" t="s">
        <v>377</v>
      </c>
      <c r="P3255" s="87" t="s">
        <v>372</v>
      </c>
    </row>
    <row r="3256" ht="15.75" customHeight="1">
      <c r="A3256" s="87" t="s">
        <v>9513</v>
      </c>
      <c r="B3256" s="88">
        <v>1.22E18</v>
      </c>
      <c r="C3256" s="87" t="s">
        <v>9514</v>
      </c>
      <c r="D3256" s="87" t="s">
        <v>262</v>
      </c>
      <c r="E3256" s="87" t="s">
        <v>267</v>
      </c>
      <c r="F3256" s="87" t="s">
        <v>1749</v>
      </c>
      <c r="H3256" s="93"/>
      <c r="I3256" s="87" t="s">
        <v>58</v>
      </c>
      <c r="J3256" s="87" t="s">
        <v>9515</v>
      </c>
      <c r="K3256" s="90">
        <v>0.0</v>
      </c>
      <c r="L3256" s="92"/>
      <c r="M3256" s="93"/>
      <c r="N3256" s="87" t="s">
        <v>1729</v>
      </c>
      <c r="O3256" s="87" t="s">
        <v>377</v>
      </c>
      <c r="P3256" s="87" t="s">
        <v>372</v>
      </c>
    </row>
    <row r="3257" ht="15.75" customHeight="1">
      <c r="A3257" s="87" t="s">
        <v>9516</v>
      </c>
      <c r="B3257" s="88">
        <v>1.22E18</v>
      </c>
      <c r="C3257" s="87" t="s">
        <v>9517</v>
      </c>
      <c r="D3257" s="87" t="s">
        <v>262</v>
      </c>
      <c r="E3257" s="87" t="s">
        <v>267</v>
      </c>
      <c r="F3257" s="87" t="s">
        <v>1749</v>
      </c>
      <c r="H3257" s="93"/>
      <c r="I3257" s="87" t="s">
        <v>58</v>
      </c>
      <c r="J3257" s="87" t="s">
        <v>9518</v>
      </c>
      <c r="K3257" s="90">
        <v>0.0</v>
      </c>
      <c r="L3257" s="92"/>
      <c r="M3257" s="93"/>
      <c r="N3257" s="87" t="s">
        <v>1729</v>
      </c>
      <c r="O3257" s="87" t="s">
        <v>377</v>
      </c>
      <c r="P3257" s="87" t="s">
        <v>372</v>
      </c>
    </row>
    <row r="3258" ht="15.75" customHeight="1">
      <c r="A3258" s="87" t="s">
        <v>9519</v>
      </c>
      <c r="B3258" s="88">
        <v>1.22E18</v>
      </c>
      <c r="C3258" s="87" t="s">
        <v>9520</v>
      </c>
      <c r="D3258" s="87" t="s">
        <v>262</v>
      </c>
      <c r="E3258" s="87" t="s">
        <v>270</v>
      </c>
      <c r="F3258" s="87" t="s">
        <v>1749</v>
      </c>
      <c r="H3258" s="93"/>
      <c r="I3258" s="87" t="s">
        <v>58</v>
      </c>
      <c r="J3258" s="87" t="s">
        <v>2047</v>
      </c>
      <c r="K3258" s="90">
        <v>0.0</v>
      </c>
      <c r="L3258" s="92"/>
      <c r="M3258" s="93"/>
      <c r="N3258" s="87" t="s">
        <v>1729</v>
      </c>
      <c r="O3258" s="87" t="s">
        <v>377</v>
      </c>
      <c r="P3258" s="87" t="s">
        <v>372</v>
      </c>
    </row>
    <row r="3259" ht="15.75" customHeight="1">
      <c r="A3259" s="87" t="s">
        <v>9521</v>
      </c>
      <c r="B3259" s="88">
        <v>1.22E18</v>
      </c>
      <c r="C3259" s="87" t="s">
        <v>9522</v>
      </c>
      <c r="D3259" s="87" t="s">
        <v>87</v>
      </c>
      <c r="E3259" s="87" t="s">
        <v>228</v>
      </c>
      <c r="F3259" s="87" t="s">
        <v>1749</v>
      </c>
      <c r="H3259" s="93"/>
      <c r="I3259" s="87" t="s">
        <v>58</v>
      </c>
      <c r="J3259" s="87" t="s">
        <v>2050</v>
      </c>
      <c r="K3259" s="90">
        <v>0.0</v>
      </c>
      <c r="L3259" s="92"/>
      <c r="M3259" s="93"/>
      <c r="N3259" s="87" t="s">
        <v>1729</v>
      </c>
      <c r="O3259" s="87" t="s">
        <v>377</v>
      </c>
      <c r="P3259" s="87" t="s">
        <v>372</v>
      </c>
    </row>
    <row r="3260" ht="15.75" customHeight="1">
      <c r="A3260" s="87" t="s">
        <v>9523</v>
      </c>
      <c r="B3260" s="88">
        <v>1.22E18</v>
      </c>
      <c r="C3260" s="87" t="s">
        <v>9524</v>
      </c>
      <c r="D3260" s="87" t="s">
        <v>262</v>
      </c>
      <c r="E3260" s="87" t="s">
        <v>267</v>
      </c>
      <c r="F3260" s="87" t="s">
        <v>1749</v>
      </c>
      <c r="H3260" s="93"/>
      <c r="I3260" s="87" t="s">
        <v>58</v>
      </c>
      <c r="J3260" s="87" t="s">
        <v>1577</v>
      </c>
      <c r="K3260" s="90">
        <v>0.0</v>
      </c>
      <c r="L3260" s="92"/>
      <c r="M3260" s="93"/>
      <c r="N3260" s="87" t="s">
        <v>1729</v>
      </c>
      <c r="O3260" s="87" t="s">
        <v>377</v>
      </c>
      <c r="P3260" s="87" t="s">
        <v>372</v>
      </c>
    </row>
    <row r="3261" ht="15.75" customHeight="1">
      <c r="A3261" s="87" t="s">
        <v>9525</v>
      </c>
      <c r="B3261" s="88">
        <v>1.22E18</v>
      </c>
      <c r="C3261" s="87" t="s">
        <v>9526</v>
      </c>
      <c r="D3261" s="87" t="s">
        <v>262</v>
      </c>
      <c r="E3261" s="87" t="s">
        <v>267</v>
      </c>
      <c r="F3261" s="87" t="s">
        <v>1749</v>
      </c>
      <c r="H3261" s="93"/>
      <c r="I3261" s="87" t="s">
        <v>58</v>
      </c>
      <c r="J3261" s="87" t="s">
        <v>9527</v>
      </c>
      <c r="K3261" s="90">
        <v>0.0</v>
      </c>
      <c r="L3261" s="92"/>
      <c r="M3261" s="93"/>
      <c r="N3261" s="87" t="s">
        <v>1729</v>
      </c>
      <c r="O3261" s="87" t="s">
        <v>377</v>
      </c>
      <c r="P3261" s="87" t="s">
        <v>372</v>
      </c>
    </row>
    <row r="3262" ht="15.75" customHeight="1">
      <c r="A3262" s="87" t="s">
        <v>9528</v>
      </c>
      <c r="B3262" s="88">
        <v>1.22E18</v>
      </c>
      <c r="C3262" s="87" t="s">
        <v>9529</v>
      </c>
      <c r="D3262" s="87" t="s">
        <v>262</v>
      </c>
      <c r="E3262" s="87" t="s">
        <v>267</v>
      </c>
      <c r="F3262" s="87" t="s">
        <v>1749</v>
      </c>
      <c r="H3262" s="93"/>
      <c r="I3262" s="87" t="s">
        <v>58</v>
      </c>
      <c r="J3262" s="87" t="s">
        <v>5344</v>
      </c>
      <c r="K3262" s="90">
        <v>0.0</v>
      </c>
      <c r="L3262" s="92"/>
      <c r="M3262" s="93"/>
      <c r="N3262" s="87" t="s">
        <v>1729</v>
      </c>
      <c r="O3262" s="87" t="s">
        <v>377</v>
      </c>
      <c r="P3262" s="87" t="s">
        <v>372</v>
      </c>
    </row>
    <row r="3263" ht="15.75" customHeight="1">
      <c r="A3263" s="87" t="s">
        <v>9530</v>
      </c>
      <c r="B3263" s="88">
        <v>1.22E18</v>
      </c>
      <c r="C3263" s="87" t="s">
        <v>9531</v>
      </c>
      <c r="D3263" s="87" t="s">
        <v>262</v>
      </c>
      <c r="E3263" s="87" t="s">
        <v>267</v>
      </c>
      <c r="F3263" s="87" t="s">
        <v>1749</v>
      </c>
      <c r="H3263" s="93"/>
      <c r="I3263" s="87" t="s">
        <v>58</v>
      </c>
      <c r="J3263" s="87" t="s">
        <v>944</v>
      </c>
      <c r="K3263" s="90">
        <v>0.0</v>
      </c>
      <c r="L3263" s="92"/>
      <c r="M3263" s="93"/>
      <c r="N3263" s="87" t="s">
        <v>1729</v>
      </c>
      <c r="O3263" s="87" t="s">
        <v>377</v>
      </c>
      <c r="P3263" s="87" t="s">
        <v>372</v>
      </c>
    </row>
    <row r="3264" ht="15.75" customHeight="1">
      <c r="A3264" s="87" t="s">
        <v>9532</v>
      </c>
      <c r="B3264" s="88">
        <v>1.22E18</v>
      </c>
      <c r="C3264" s="87" t="s">
        <v>9533</v>
      </c>
      <c r="D3264" s="87" t="s">
        <v>262</v>
      </c>
      <c r="E3264" s="87" t="s">
        <v>267</v>
      </c>
      <c r="F3264" s="87" t="s">
        <v>1749</v>
      </c>
      <c r="H3264" s="93"/>
      <c r="I3264" s="87" t="s">
        <v>58</v>
      </c>
      <c r="J3264" s="87" t="s">
        <v>816</v>
      </c>
      <c r="K3264" s="90">
        <v>0.0</v>
      </c>
      <c r="L3264" s="92"/>
      <c r="M3264" s="93"/>
      <c r="N3264" s="87" t="s">
        <v>2766</v>
      </c>
      <c r="O3264" s="87" t="s">
        <v>377</v>
      </c>
      <c r="P3264" s="87" t="s">
        <v>372</v>
      </c>
    </row>
    <row r="3265" ht="15.75" customHeight="1">
      <c r="A3265" s="87" t="s">
        <v>9534</v>
      </c>
      <c r="B3265" s="88">
        <v>1.22E18</v>
      </c>
      <c r="C3265" s="87" t="s">
        <v>9535</v>
      </c>
      <c r="D3265" s="87" t="s">
        <v>262</v>
      </c>
      <c r="E3265" s="87" t="s">
        <v>267</v>
      </c>
      <c r="F3265" s="87" t="s">
        <v>1749</v>
      </c>
      <c r="H3265" s="93"/>
      <c r="I3265" s="87" t="s">
        <v>58</v>
      </c>
      <c r="J3265" s="87" t="s">
        <v>9536</v>
      </c>
      <c r="K3265" s="90">
        <v>0.0</v>
      </c>
      <c r="L3265" s="92"/>
      <c r="M3265" s="93"/>
      <c r="N3265" s="87" t="s">
        <v>1729</v>
      </c>
      <c r="O3265" s="87" t="s">
        <v>377</v>
      </c>
      <c r="P3265" s="87" t="s">
        <v>372</v>
      </c>
    </row>
    <row r="3266" ht="15.75" customHeight="1">
      <c r="A3266" s="87" t="s">
        <v>9537</v>
      </c>
      <c r="B3266" s="88">
        <v>1.22E18</v>
      </c>
      <c r="C3266" s="87" t="s">
        <v>9538</v>
      </c>
      <c r="D3266" s="87" t="s">
        <v>262</v>
      </c>
      <c r="E3266" s="87" t="s">
        <v>267</v>
      </c>
      <c r="F3266" s="87" t="s">
        <v>9538</v>
      </c>
      <c r="I3266" s="87" t="s">
        <v>58</v>
      </c>
      <c r="J3266" s="87" t="s">
        <v>9539</v>
      </c>
      <c r="K3266" s="90">
        <v>0.0</v>
      </c>
      <c r="L3266" s="92"/>
      <c r="M3266" s="93"/>
      <c r="N3266" s="87" t="s">
        <v>2364</v>
      </c>
      <c r="O3266" s="87" t="s">
        <v>377</v>
      </c>
      <c r="P3266" s="87" t="s">
        <v>372</v>
      </c>
    </row>
    <row r="3267" ht="15.75" customHeight="1">
      <c r="A3267" s="87" t="s">
        <v>9540</v>
      </c>
      <c r="B3267" s="88">
        <v>1.22E18</v>
      </c>
      <c r="C3267" s="87" t="s">
        <v>9541</v>
      </c>
      <c r="D3267" s="87" t="s">
        <v>262</v>
      </c>
      <c r="E3267" s="87" t="s">
        <v>275</v>
      </c>
      <c r="F3267" s="87" t="s">
        <v>1749</v>
      </c>
      <c r="H3267" s="93"/>
      <c r="I3267" s="87" t="s">
        <v>58</v>
      </c>
      <c r="J3267" s="87" t="s">
        <v>9542</v>
      </c>
      <c r="K3267" s="90">
        <v>0.0</v>
      </c>
      <c r="L3267" s="92"/>
      <c r="M3267" s="93"/>
      <c r="N3267" s="87" t="s">
        <v>9543</v>
      </c>
      <c r="O3267" s="87" t="s">
        <v>377</v>
      </c>
      <c r="P3267" s="87" t="s">
        <v>372</v>
      </c>
    </row>
    <row r="3268" ht="15.75" customHeight="1">
      <c r="A3268" s="87" t="s">
        <v>9544</v>
      </c>
      <c r="B3268" s="88">
        <v>1.22E18</v>
      </c>
      <c r="C3268" s="87" t="s">
        <v>9545</v>
      </c>
      <c r="D3268" s="87" t="s">
        <v>262</v>
      </c>
      <c r="E3268" s="87" t="s">
        <v>275</v>
      </c>
      <c r="F3268" s="87" t="s">
        <v>9545</v>
      </c>
      <c r="I3268" s="87" t="s">
        <v>58</v>
      </c>
      <c r="J3268" s="87" t="s">
        <v>9542</v>
      </c>
      <c r="K3268" s="90">
        <v>0.0</v>
      </c>
      <c r="L3268" s="92"/>
      <c r="M3268" s="93"/>
      <c r="N3268" s="87" t="s">
        <v>9543</v>
      </c>
      <c r="O3268" s="87" t="s">
        <v>377</v>
      </c>
      <c r="P3268" s="87" t="s">
        <v>372</v>
      </c>
    </row>
    <row r="3269" ht="15.75" customHeight="1">
      <c r="A3269" s="87" t="s">
        <v>9546</v>
      </c>
      <c r="B3269" s="88">
        <v>1.22E18</v>
      </c>
      <c r="C3269" s="87" t="s">
        <v>9547</v>
      </c>
      <c r="D3269" s="87" t="s">
        <v>262</v>
      </c>
      <c r="E3269" s="87" t="s">
        <v>275</v>
      </c>
      <c r="F3269" s="87" t="s">
        <v>1749</v>
      </c>
      <c r="H3269" s="93"/>
      <c r="I3269" s="87" t="s">
        <v>58</v>
      </c>
      <c r="J3269" s="87" t="s">
        <v>9548</v>
      </c>
      <c r="K3269" s="90">
        <v>0.0</v>
      </c>
      <c r="L3269" s="92"/>
      <c r="M3269" s="93"/>
      <c r="N3269" s="87" t="s">
        <v>9543</v>
      </c>
      <c r="O3269" s="87" t="s">
        <v>377</v>
      </c>
      <c r="P3269" s="87" t="s">
        <v>372</v>
      </c>
    </row>
    <row r="3270" ht="15.75" customHeight="1">
      <c r="A3270" s="87" t="s">
        <v>9549</v>
      </c>
      <c r="B3270" s="88">
        <v>1.22E18</v>
      </c>
      <c r="C3270" s="87" t="s">
        <v>9550</v>
      </c>
      <c r="D3270" s="87" t="s">
        <v>87</v>
      </c>
      <c r="E3270" s="87" t="s">
        <v>88</v>
      </c>
      <c r="F3270" s="87" t="s">
        <v>373</v>
      </c>
      <c r="H3270" s="93"/>
      <c r="I3270" s="87" t="s">
        <v>495</v>
      </c>
      <c r="J3270" s="87" t="s">
        <v>9551</v>
      </c>
      <c r="K3270" s="90">
        <v>30.0</v>
      </c>
      <c r="L3270" s="92"/>
      <c r="M3270" s="93"/>
      <c r="N3270" s="87" t="s">
        <v>4405</v>
      </c>
      <c r="O3270" s="87" t="s">
        <v>377</v>
      </c>
      <c r="P3270" s="87" t="s">
        <v>372</v>
      </c>
    </row>
    <row r="3271" ht="15.75" customHeight="1">
      <c r="A3271" s="87" t="s">
        <v>9552</v>
      </c>
      <c r="B3271" s="88">
        <v>1.22E18</v>
      </c>
      <c r="C3271" s="87" t="s">
        <v>9553</v>
      </c>
      <c r="D3271" s="87" t="s">
        <v>87</v>
      </c>
      <c r="E3271" s="87" t="s">
        <v>88</v>
      </c>
      <c r="F3271" s="87" t="s">
        <v>373</v>
      </c>
      <c r="H3271" s="93"/>
      <c r="I3271" s="87" t="s">
        <v>495</v>
      </c>
      <c r="J3271" s="87" t="s">
        <v>9554</v>
      </c>
      <c r="K3271" s="90">
        <v>0.0</v>
      </c>
      <c r="L3271" s="92"/>
      <c r="M3271" s="93"/>
      <c r="N3271" s="87" t="s">
        <v>4405</v>
      </c>
      <c r="O3271" s="87" t="s">
        <v>377</v>
      </c>
      <c r="P3271" s="87" t="s">
        <v>372</v>
      </c>
    </row>
    <row r="3272" ht="15.75" customHeight="1">
      <c r="A3272" s="87" t="s">
        <v>9555</v>
      </c>
      <c r="B3272" s="88">
        <v>1.22E18</v>
      </c>
      <c r="C3272" s="87" t="s">
        <v>9556</v>
      </c>
      <c r="D3272" s="87" t="s">
        <v>87</v>
      </c>
      <c r="E3272" s="87" t="s">
        <v>88</v>
      </c>
      <c r="F3272" s="87" t="s">
        <v>373</v>
      </c>
      <c r="H3272" s="93"/>
      <c r="I3272" s="87" t="s">
        <v>495</v>
      </c>
      <c r="J3272" s="87" t="s">
        <v>9557</v>
      </c>
      <c r="K3272" s="90">
        <v>30.0</v>
      </c>
      <c r="L3272" s="92"/>
      <c r="M3272" s="93"/>
      <c r="N3272" s="87" t="s">
        <v>4405</v>
      </c>
      <c r="O3272" s="87" t="s">
        <v>377</v>
      </c>
      <c r="P3272" s="87" t="s">
        <v>372</v>
      </c>
    </row>
    <row r="3273" ht="15.75" customHeight="1">
      <c r="A3273" s="87" t="s">
        <v>9558</v>
      </c>
      <c r="B3273" s="88">
        <v>1.22E18</v>
      </c>
      <c r="C3273" s="87" t="s">
        <v>9559</v>
      </c>
      <c r="D3273" s="87" t="s">
        <v>87</v>
      </c>
      <c r="E3273" s="87" t="s">
        <v>88</v>
      </c>
      <c r="F3273" s="87" t="s">
        <v>373</v>
      </c>
      <c r="H3273" s="93"/>
      <c r="I3273" s="87" t="s">
        <v>495</v>
      </c>
      <c r="J3273" s="87" t="s">
        <v>9560</v>
      </c>
      <c r="K3273" s="90">
        <v>30.0</v>
      </c>
      <c r="L3273" s="92"/>
      <c r="M3273" s="93"/>
      <c r="N3273" s="87" t="s">
        <v>4405</v>
      </c>
      <c r="O3273" s="87" t="s">
        <v>377</v>
      </c>
      <c r="P3273" s="87" t="s">
        <v>372</v>
      </c>
    </row>
    <row r="3274" ht="15.75" customHeight="1">
      <c r="A3274" s="87" t="s">
        <v>9561</v>
      </c>
      <c r="B3274" s="88">
        <v>1.22E18</v>
      </c>
      <c r="C3274" s="87" t="s">
        <v>9562</v>
      </c>
      <c r="D3274" s="87" t="s">
        <v>87</v>
      </c>
      <c r="E3274" s="87" t="s">
        <v>88</v>
      </c>
      <c r="F3274" s="87" t="s">
        <v>373</v>
      </c>
      <c r="H3274" s="93"/>
      <c r="I3274" s="87" t="s">
        <v>495</v>
      </c>
      <c r="J3274" s="87" t="s">
        <v>9563</v>
      </c>
      <c r="K3274" s="90">
        <v>30.0</v>
      </c>
      <c r="L3274" s="92"/>
      <c r="M3274" s="93"/>
      <c r="N3274" s="87" t="s">
        <v>4405</v>
      </c>
      <c r="O3274" s="87" t="s">
        <v>377</v>
      </c>
      <c r="P3274" s="87" t="s">
        <v>372</v>
      </c>
    </row>
    <row r="3275" ht="15.75" customHeight="1">
      <c r="A3275" s="87" t="s">
        <v>9564</v>
      </c>
      <c r="B3275" s="88">
        <v>1.22E18</v>
      </c>
      <c r="C3275" s="87" t="s">
        <v>9565</v>
      </c>
      <c r="D3275" s="87" t="s">
        <v>262</v>
      </c>
      <c r="E3275" s="87" t="s">
        <v>270</v>
      </c>
      <c r="F3275" s="87" t="s">
        <v>1749</v>
      </c>
      <c r="H3275" s="93"/>
      <c r="I3275" s="87" t="s">
        <v>58</v>
      </c>
      <c r="J3275" s="87" t="s">
        <v>9566</v>
      </c>
      <c r="K3275" s="90">
        <v>0.0</v>
      </c>
      <c r="L3275" s="92"/>
      <c r="M3275" s="93"/>
      <c r="N3275" s="87" t="s">
        <v>2835</v>
      </c>
      <c r="O3275" s="87" t="s">
        <v>377</v>
      </c>
      <c r="P3275" s="87" t="s">
        <v>372</v>
      </c>
    </row>
    <row r="3276" ht="15.75" customHeight="1">
      <c r="A3276" s="87" t="s">
        <v>9567</v>
      </c>
      <c r="B3276" s="88">
        <v>1.22E18</v>
      </c>
      <c r="C3276" s="87" t="s">
        <v>9568</v>
      </c>
      <c r="D3276" s="87" t="s">
        <v>87</v>
      </c>
      <c r="E3276" s="87" t="s">
        <v>228</v>
      </c>
      <c r="F3276" s="87" t="s">
        <v>9569</v>
      </c>
      <c r="I3276" s="87" t="s">
        <v>327</v>
      </c>
      <c r="J3276" s="87" t="s">
        <v>9570</v>
      </c>
      <c r="K3276" s="90">
        <v>4000.0</v>
      </c>
      <c r="L3276" s="92"/>
      <c r="M3276" s="93"/>
      <c r="N3276" s="87" t="s">
        <v>7688</v>
      </c>
      <c r="O3276" s="87" t="s">
        <v>377</v>
      </c>
      <c r="P3276" s="87" t="s">
        <v>372</v>
      </c>
    </row>
    <row r="3277" ht="15.75" customHeight="1">
      <c r="A3277" s="87" t="s">
        <v>9571</v>
      </c>
      <c r="B3277" s="88">
        <v>1.22E18</v>
      </c>
      <c r="C3277" s="87" t="s">
        <v>9572</v>
      </c>
      <c r="D3277" s="87" t="s">
        <v>87</v>
      </c>
      <c r="E3277" s="87" t="s">
        <v>228</v>
      </c>
      <c r="F3277" s="87" t="s">
        <v>9569</v>
      </c>
      <c r="I3277" s="87" t="s">
        <v>340</v>
      </c>
      <c r="J3277" s="87" t="s">
        <v>9573</v>
      </c>
      <c r="K3277" s="90">
        <v>4000.0</v>
      </c>
      <c r="L3277" s="92"/>
      <c r="M3277" s="93"/>
      <c r="N3277" s="87" t="s">
        <v>7688</v>
      </c>
      <c r="O3277" s="87" t="s">
        <v>377</v>
      </c>
      <c r="P3277" s="87" t="s">
        <v>372</v>
      </c>
    </row>
    <row r="3278" ht="15.75" customHeight="1">
      <c r="A3278" s="87" t="s">
        <v>9574</v>
      </c>
      <c r="B3278" s="88">
        <v>1.22E18</v>
      </c>
      <c r="C3278" s="87" t="s">
        <v>9575</v>
      </c>
      <c r="D3278" s="87" t="s">
        <v>87</v>
      </c>
      <c r="E3278" s="87" t="s">
        <v>228</v>
      </c>
      <c r="F3278" s="87" t="s">
        <v>9569</v>
      </c>
      <c r="I3278" s="87" t="s">
        <v>340</v>
      </c>
      <c r="J3278" s="87" t="s">
        <v>9576</v>
      </c>
      <c r="K3278" s="90">
        <v>200.0</v>
      </c>
      <c r="L3278" s="92"/>
      <c r="M3278" s="93"/>
      <c r="N3278" s="87" t="s">
        <v>7688</v>
      </c>
      <c r="O3278" s="87" t="s">
        <v>377</v>
      </c>
      <c r="P3278" s="87" t="s">
        <v>372</v>
      </c>
    </row>
    <row r="3279" ht="15.75" customHeight="1">
      <c r="A3279" s="87" t="s">
        <v>9577</v>
      </c>
      <c r="B3279" s="88">
        <v>1.22E18</v>
      </c>
      <c r="C3279" s="87" t="s">
        <v>9578</v>
      </c>
      <c r="D3279" s="87" t="s">
        <v>56</v>
      </c>
      <c r="E3279" s="87" t="s">
        <v>102</v>
      </c>
      <c r="F3279" s="87" t="s">
        <v>1763</v>
      </c>
      <c r="I3279" s="87" t="s">
        <v>58</v>
      </c>
      <c r="J3279" s="87" t="s">
        <v>3738</v>
      </c>
      <c r="K3279" s="90">
        <v>0.0</v>
      </c>
      <c r="L3279" s="92"/>
      <c r="M3279" s="93"/>
      <c r="N3279" s="87" t="s">
        <v>7472</v>
      </c>
      <c r="O3279" s="87" t="s">
        <v>377</v>
      </c>
      <c r="P3279" s="87" t="s">
        <v>372</v>
      </c>
    </row>
    <row r="3280" ht="15.75" customHeight="1">
      <c r="A3280" s="87" t="s">
        <v>9579</v>
      </c>
      <c r="B3280" s="88">
        <v>1.22E18</v>
      </c>
      <c r="C3280" s="87" t="s">
        <v>9580</v>
      </c>
      <c r="D3280" s="87" t="s">
        <v>56</v>
      </c>
      <c r="E3280" s="87" t="s">
        <v>102</v>
      </c>
      <c r="F3280" s="87" t="s">
        <v>1763</v>
      </c>
      <c r="I3280" s="87" t="s">
        <v>58</v>
      </c>
      <c r="J3280" s="87" t="s">
        <v>9581</v>
      </c>
      <c r="K3280" s="90">
        <v>0.0</v>
      </c>
      <c r="L3280" s="92"/>
      <c r="M3280" s="93"/>
      <c r="N3280" s="87" t="s">
        <v>474</v>
      </c>
      <c r="O3280" s="87" t="s">
        <v>377</v>
      </c>
      <c r="P3280" s="87" t="s">
        <v>372</v>
      </c>
    </row>
    <row r="3281" ht="15.75" customHeight="1">
      <c r="A3281" s="87" t="s">
        <v>9582</v>
      </c>
      <c r="B3281" s="88">
        <v>1.22E18</v>
      </c>
      <c r="C3281" s="87" t="s">
        <v>9583</v>
      </c>
      <c r="D3281" s="87" t="s">
        <v>56</v>
      </c>
      <c r="E3281" s="87" t="s">
        <v>102</v>
      </c>
      <c r="F3281" s="87" t="s">
        <v>1763</v>
      </c>
      <c r="I3281" s="87" t="s">
        <v>58</v>
      </c>
      <c r="J3281" s="87" t="s">
        <v>9584</v>
      </c>
      <c r="K3281" s="90">
        <v>0.0</v>
      </c>
      <c r="L3281" s="92"/>
      <c r="M3281" s="93"/>
      <c r="N3281" s="87" t="s">
        <v>474</v>
      </c>
      <c r="O3281" s="87" t="s">
        <v>377</v>
      </c>
      <c r="P3281" s="87" t="s">
        <v>372</v>
      </c>
    </row>
    <row r="3282" ht="15.75" customHeight="1">
      <c r="A3282" s="87" t="s">
        <v>9585</v>
      </c>
      <c r="B3282" s="88">
        <v>1.22E18</v>
      </c>
      <c r="C3282" s="87" t="s">
        <v>9586</v>
      </c>
      <c r="D3282" s="87" t="s">
        <v>56</v>
      </c>
      <c r="E3282" s="87" t="s">
        <v>102</v>
      </c>
      <c r="F3282" s="87" t="s">
        <v>1763</v>
      </c>
      <c r="I3282" s="87" t="s">
        <v>58</v>
      </c>
      <c r="J3282" s="87" t="s">
        <v>9587</v>
      </c>
      <c r="K3282" s="90">
        <v>0.0</v>
      </c>
      <c r="L3282" s="92"/>
      <c r="M3282" s="93"/>
      <c r="N3282" s="87" t="s">
        <v>474</v>
      </c>
      <c r="O3282" s="87" t="s">
        <v>377</v>
      </c>
      <c r="P3282" s="87" t="s">
        <v>372</v>
      </c>
    </row>
    <row r="3283" ht="15.75" customHeight="1">
      <c r="A3283" s="87" t="s">
        <v>9588</v>
      </c>
      <c r="B3283" s="88">
        <v>1.22E18</v>
      </c>
      <c r="C3283" s="87" t="s">
        <v>9589</v>
      </c>
      <c r="D3283" s="87" t="s">
        <v>87</v>
      </c>
      <c r="E3283" s="87" t="s">
        <v>88</v>
      </c>
      <c r="F3283" s="87" t="s">
        <v>9589</v>
      </c>
      <c r="I3283" s="87" t="s">
        <v>58</v>
      </c>
      <c r="J3283" s="87" t="s">
        <v>9590</v>
      </c>
      <c r="K3283" s="90">
        <v>1.0</v>
      </c>
      <c r="L3283" s="92"/>
      <c r="M3283" s="93"/>
      <c r="N3283" s="87" t="s">
        <v>9591</v>
      </c>
      <c r="O3283" s="87" t="s">
        <v>377</v>
      </c>
      <c r="P3283" s="87" t="s">
        <v>372</v>
      </c>
    </row>
    <row r="3284" ht="15.75" customHeight="1">
      <c r="A3284" s="87" t="s">
        <v>9592</v>
      </c>
      <c r="B3284" s="88">
        <v>1.22E18</v>
      </c>
      <c r="C3284" s="87" t="s">
        <v>9593</v>
      </c>
      <c r="D3284" s="87" t="s">
        <v>87</v>
      </c>
      <c r="E3284" s="87" t="s">
        <v>88</v>
      </c>
      <c r="F3284" s="87" t="s">
        <v>9593</v>
      </c>
      <c r="I3284" s="87" t="s">
        <v>315</v>
      </c>
      <c r="J3284" s="87" t="s">
        <v>9594</v>
      </c>
      <c r="K3284" s="90">
        <v>0.0</v>
      </c>
      <c r="L3284" s="92"/>
      <c r="M3284" s="93"/>
      <c r="N3284" s="87" t="s">
        <v>474</v>
      </c>
      <c r="O3284" s="87" t="s">
        <v>377</v>
      </c>
      <c r="P3284" s="87" t="s">
        <v>372</v>
      </c>
    </row>
    <row r="3285" ht="15.75" customHeight="1">
      <c r="A3285" s="87" t="s">
        <v>9595</v>
      </c>
      <c r="B3285" s="88">
        <v>1.22E18</v>
      </c>
      <c r="C3285" s="87" t="s">
        <v>9596</v>
      </c>
      <c r="D3285" s="87" t="s">
        <v>87</v>
      </c>
      <c r="E3285" s="87" t="s">
        <v>228</v>
      </c>
      <c r="F3285" s="87" t="s">
        <v>379</v>
      </c>
      <c r="G3285" s="93"/>
      <c r="H3285" s="93"/>
      <c r="I3285" s="87" t="s">
        <v>340</v>
      </c>
      <c r="J3285" s="87" t="s">
        <v>8226</v>
      </c>
      <c r="K3285" s="90">
        <v>2000.0</v>
      </c>
      <c r="L3285" s="92"/>
      <c r="M3285" s="93"/>
      <c r="N3285" s="87" t="s">
        <v>6386</v>
      </c>
      <c r="O3285" s="87" t="s">
        <v>377</v>
      </c>
      <c r="P3285" s="87" t="s">
        <v>372</v>
      </c>
    </row>
    <row r="3286" ht="15.75" customHeight="1">
      <c r="A3286" s="87" t="s">
        <v>9597</v>
      </c>
      <c r="B3286" s="88">
        <v>1.22E18</v>
      </c>
      <c r="C3286" s="87" t="s">
        <v>9598</v>
      </c>
      <c r="D3286" s="87" t="s">
        <v>87</v>
      </c>
      <c r="E3286" s="87" t="s">
        <v>88</v>
      </c>
      <c r="F3286" s="87" t="s">
        <v>379</v>
      </c>
      <c r="G3286" s="93"/>
      <c r="H3286" s="93"/>
      <c r="I3286" s="87" t="s">
        <v>9599</v>
      </c>
      <c r="J3286" s="87" t="s">
        <v>9600</v>
      </c>
      <c r="K3286" s="90">
        <v>0.0</v>
      </c>
      <c r="L3286" s="92"/>
      <c r="M3286" s="93"/>
      <c r="N3286" s="93"/>
      <c r="O3286" s="87" t="s">
        <v>377</v>
      </c>
      <c r="P3286" s="87" t="s">
        <v>372</v>
      </c>
    </row>
    <row r="3287" ht="15.75" customHeight="1">
      <c r="A3287" s="87" t="s">
        <v>9601</v>
      </c>
      <c r="B3287" s="88">
        <v>1.22E18</v>
      </c>
      <c r="C3287" s="87" t="s">
        <v>9602</v>
      </c>
      <c r="D3287" s="87" t="s">
        <v>87</v>
      </c>
      <c r="E3287" s="87" t="s">
        <v>88</v>
      </c>
      <c r="F3287" s="87" t="s">
        <v>379</v>
      </c>
      <c r="G3287" s="93"/>
      <c r="H3287" s="93"/>
      <c r="I3287" s="87" t="s">
        <v>9599</v>
      </c>
      <c r="J3287" s="87" t="s">
        <v>9603</v>
      </c>
      <c r="K3287" s="90">
        <v>0.0</v>
      </c>
      <c r="L3287" s="92"/>
      <c r="M3287" s="93"/>
      <c r="N3287" s="93"/>
      <c r="O3287" s="87" t="s">
        <v>377</v>
      </c>
      <c r="P3287" s="87" t="s">
        <v>372</v>
      </c>
    </row>
    <row r="3288" ht="15.75" customHeight="1">
      <c r="A3288" s="87" t="s">
        <v>9604</v>
      </c>
      <c r="B3288" s="88">
        <v>1.22E18</v>
      </c>
      <c r="C3288" s="87" t="s">
        <v>9605</v>
      </c>
      <c r="D3288" s="87" t="s">
        <v>87</v>
      </c>
      <c r="E3288" s="87" t="s">
        <v>88</v>
      </c>
      <c r="F3288" s="87" t="s">
        <v>379</v>
      </c>
      <c r="G3288" s="93"/>
      <c r="H3288" s="93"/>
      <c r="I3288" s="87" t="s">
        <v>9599</v>
      </c>
      <c r="J3288" s="87" t="s">
        <v>9606</v>
      </c>
      <c r="K3288" s="90">
        <v>0.0</v>
      </c>
      <c r="L3288" s="92"/>
      <c r="M3288" s="93"/>
      <c r="N3288" s="93"/>
      <c r="O3288" s="87" t="s">
        <v>377</v>
      </c>
      <c r="P3288" s="87" t="s">
        <v>372</v>
      </c>
    </row>
    <row r="3289" ht="15.75" customHeight="1">
      <c r="A3289" s="87" t="s">
        <v>9607</v>
      </c>
      <c r="B3289" s="88">
        <v>1.22E18</v>
      </c>
      <c r="C3289" s="87" t="s">
        <v>9608</v>
      </c>
      <c r="D3289" s="87" t="s">
        <v>87</v>
      </c>
      <c r="E3289" s="87" t="s">
        <v>88</v>
      </c>
      <c r="F3289" s="87" t="s">
        <v>373</v>
      </c>
      <c r="H3289" s="93"/>
      <c r="I3289" s="87" t="s">
        <v>340</v>
      </c>
      <c r="J3289" s="87" t="s">
        <v>9609</v>
      </c>
      <c r="K3289" s="90">
        <v>0.0</v>
      </c>
      <c r="L3289" s="92"/>
      <c r="M3289" s="93"/>
      <c r="N3289" s="87" t="s">
        <v>390</v>
      </c>
      <c r="O3289" s="87" t="s">
        <v>377</v>
      </c>
      <c r="P3289" s="87" t="s">
        <v>372</v>
      </c>
    </row>
    <row r="3290" ht="15.75" customHeight="1">
      <c r="A3290" s="87" t="s">
        <v>9610</v>
      </c>
      <c r="B3290" s="88">
        <v>1.22E18</v>
      </c>
      <c r="C3290" s="87" t="s">
        <v>9611</v>
      </c>
      <c r="D3290" s="87" t="s">
        <v>87</v>
      </c>
      <c r="E3290" s="87" t="s">
        <v>88</v>
      </c>
      <c r="F3290" s="87" t="s">
        <v>373</v>
      </c>
      <c r="H3290" s="93"/>
      <c r="I3290" s="87" t="s">
        <v>327</v>
      </c>
      <c r="J3290" s="87" t="s">
        <v>9612</v>
      </c>
      <c r="K3290" s="90">
        <v>0.0</v>
      </c>
      <c r="L3290" s="92"/>
      <c r="M3290" s="93"/>
      <c r="N3290" s="87" t="s">
        <v>390</v>
      </c>
      <c r="O3290" s="87" t="s">
        <v>377</v>
      </c>
      <c r="P3290" s="87" t="s">
        <v>372</v>
      </c>
    </row>
    <row r="3291" ht="15.75" customHeight="1">
      <c r="A3291" s="87" t="s">
        <v>9613</v>
      </c>
      <c r="B3291" s="88">
        <v>1.22E18</v>
      </c>
      <c r="C3291" s="87" t="s">
        <v>9614</v>
      </c>
      <c r="D3291" s="87" t="s">
        <v>87</v>
      </c>
      <c r="E3291" s="87" t="s">
        <v>88</v>
      </c>
      <c r="F3291" s="87" t="s">
        <v>373</v>
      </c>
      <c r="H3291" s="93"/>
      <c r="I3291" s="87" t="s">
        <v>58</v>
      </c>
      <c r="J3291" s="87" t="s">
        <v>9615</v>
      </c>
      <c r="K3291" s="90">
        <v>1.0</v>
      </c>
      <c r="L3291" s="92"/>
      <c r="M3291" s="93"/>
      <c r="N3291" s="87" t="s">
        <v>390</v>
      </c>
      <c r="O3291" s="87" t="s">
        <v>377</v>
      </c>
      <c r="P3291" s="87" t="s">
        <v>372</v>
      </c>
    </row>
    <row r="3292" ht="15.75" customHeight="1">
      <c r="A3292" s="87" t="s">
        <v>9616</v>
      </c>
      <c r="B3292" s="88">
        <v>1.22E18</v>
      </c>
      <c r="C3292" s="87" t="s">
        <v>9617</v>
      </c>
      <c r="D3292" s="87" t="s">
        <v>87</v>
      </c>
      <c r="E3292" s="87" t="s">
        <v>241</v>
      </c>
      <c r="F3292" s="87" t="s">
        <v>373</v>
      </c>
      <c r="H3292" s="93"/>
      <c r="I3292" s="87" t="s">
        <v>3984</v>
      </c>
      <c r="J3292" s="87" t="s">
        <v>9618</v>
      </c>
      <c r="K3292" s="90">
        <v>1.0</v>
      </c>
      <c r="L3292" s="92"/>
      <c r="M3292" s="93"/>
      <c r="N3292" s="87" t="s">
        <v>1844</v>
      </c>
      <c r="O3292" s="87" t="s">
        <v>377</v>
      </c>
      <c r="P3292" s="87" t="s">
        <v>372</v>
      </c>
    </row>
    <row r="3293" ht="15.75" customHeight="1">
      <c r="A3293" s="87" t="s">
        <v>9619</v>
      </c>
      <c r="B3293" s="88">
        <v>1.22E18</v>
      </c>
      <c r="C3293" s="87" t="s">
        <v>9620</v>
      </c>
      <c r="D3293" s="87" t="s">
        <v>87</v>
      </c>
      <c r="E3293" s="87" t="s">
        <v>88</v>
      </c>
      <c r="F3293" s="87" t="s">
        <v>373</v>
      </c>
      <c r="H3293" s="93"/>
      <c r="I3293" s="87" t="s">
        <v>340</v>
      </c>
      <c r="J3293" s="87" t="s">
        <v>9621</v>
      </c>
      <c r="K3293" s="90">
        <v>0.0</v>
      </c>
      <c r="L3293" s="92"/>
      <c r="M3293" s="93"/>
      <c r="N3293" s="87" t="s">
        <v>390</v>
      </c>
      <c r="O3293" s="87" t="s">
        <v>377</v>
      </c>
      <c r="P3293" s="87" t="s">
        <v>372</v>
      </c>
    </row>
    <row r="3294" ht="15.75" customHeight="1">
      <c r="A3294" s="87" t="s">
        <v>9622</v>
      </c>
      <c r="B3294" s="88">
        <v>1.22E18</v>
      </c>
      <c r="C3294" s="87" t="s">
        <v>9623</v>
      </c>
      <c r="D3294" s="87" t="s">
        <v>87</v>
      </c>
      <c r="E3294" s="87" t="s">
        <v>88</v>
      </c>
      <c r="F3294" s="87" t="s">
        <v>373</v>
      </c>
      <c r="H3294" s="93"/>
      <c r="I3294" s="87" t="s">
        <v>327</v>
      </c>
      <c r="J3294" s="87" t="s">
        <v>9624</v>
      </c>
      <c r="K3294" s="90">
        <v>70000.0</v>
      </c>
      <c r="L3294" s="92"/>
      <c r="M3294" s="93"/>
      <c r="N3294" s="87" t="s">
        <v>390</v>
      </c>
      <c r="O3294" s="87" t="s">
        <v>377</v>
      </c>
      <c r="P3294" s="87" t="s">
        <v>372</v>
      </c>
    </row>
    <row r="3295" ht="15.75" customHeight="1">
      <c r="A3295" s="87" t="s">
        <v>9625</v>
      </c>
      <c r="B3295" s="88">
        <v>1.22E18</v>
      </c>
      <c r="C3295" s="87" t="s">
        <v>9626</v>
      </c>
      <c r="D3295" s="87" t="s">
        <v>56</v>
      </c>
      <c r="E3295" s="87" t="s">
        <v>59</v>
      </c>
      <c r="F3295" s="87" t="s">
        <v>1763</v>
      </c>
      <c r="I3295" s="87" t="s">
        <v>58</v>
      </c>
      <c r="J3295" s="87" t="s">
        <v>9627</v>
      </c>
      <c r="K3295" s="90">
        <v>0.0</v>
      </c>
      <c r="L3295" s="92"/>
      <c r="M3295" s="93"/>
      <c r="N3295" s="87" t="s">
        <v>1772</v>
      </c>
      <c r="O3295" s="87" t="s">
        <v>377</v>
      </c>
      <c r="P3295" s="87" t="s">
        <v>372</v>
      </c>
    </row>
    <row r="3296" ht="15.75" customHeight="1">
      <c r="A3296" s="87" t="s">
        <v>9628</v>
      </c>
      <c r="B3296" s="88">
        <v>1.22E18</v>
      </c>
      <c r="C3296" s="87" t="s">
        <v>9629</v>
      </c>
      <c r="D3296" s="87" t="s">
        <v>262</v>
      </c>
      <c r="E3296" s="87" t="s">
        <v>270</v>
      </c>
      <c r="F3296" s="87" t="s">
        <v>1749</v>
      </c>
      <c r="H3296" s="93"/>
      <c r="I3296" s="87" t="s">
        <v>58</v>
      </c>
      <c r="J3296" s="87" t="s">
        <v>9630</v>
      </c>
      <c r="K3296" s="90">
        <v>0.0</v>
      </c>
      <c r="L3296" s="92"/>
      <c r="M3296" s="93"/>
      <c r="N3296" s="87" t="s">
        <v>2315</v>
      </c>
      <c r="O3296" s="87" t="s">
        <v>377</v>
      </c>
      <c r="P3296" s="87" t="s">
        <v>372</v>
      </c>
    </row>
    <row r="3297" ht="15.75" customHeight="1">
      <c r="A3297" s="87" t="s">
        <v>9631</v>
      </c>
      <c r="B3297" s="88">
        <v>1.22E18</v>
      </c>
      <c r="C3297" s="87" t="s">
        <v>9632</v>
      </c>
      <c r="D3297" s="87" t="s">
        <v>262</v>
      </c>
      <c r="E3297" s="87" t="s">
        <v>270</v>
      </c>
      <c r="F3297" s="87" t="s">
        <v>1749</v>
      </c>
      <c r="H3297" s="93"/>
      <c r="I3297" s="87" t="s">
        <v>58</v>
      </c>
      <c r="J3297" s="87" t="s">
        <v>9633</v>
      </c>
      <c r="K3297" s="90">
        <v>0.0</v>
      </c>
      <c r="L3297" s="92"/>
      <c r="M3297" s="93"/>
      <c r="N3297" s="87" t="s">
        <v>2315</v>
      </c>
      <c r="O3297" s="87" t="s">
        <v>377</v>
      </c>
      <c r="P3297" s="87" t="s">
        <v>372</v>
      </c>
    </row>
    <row r="3298" ht="15.75" customHeight="1">
      <c r="A3298" s="87" t="s">
        <v>9634</v>
      </c>
      <c r="B3298" s="88">
        <v>1.22E18</v>
      </c>
      <c r="C3298" s="87" t="s">
        <v>9635</v>
      </c>
      <c r="D3298" s="87" t="s">
        <v>57</v>
      </c>
      <c r="E3298" s="87" t="s">
        <v>287</v>
      </c>
      <c r="F3298" s="87" t="s">
        <v>415</v>
      </c>
      <c r="G3298" s="93"/>
      <c r="H3298" s="93"/>
      <c r="I3298" s="87" t="s">
        <v>58</v>
      </c>
      <c r="J3298" s="87" t="s">
        <v>9636</v>
      </c>
      <c r="K3298" s="90">
        <v>1.0</v>
      </c>
      <c r="L3298" s="92"/>
      <c r="M3298" s="93"/>
      <c r="N3298" s="87" t="s">
        <v>1772</v>
      </c>
      <c r="O3298" s="87" t="s">
        <v>377</v>
      </c>
      <c r="P3298" s="87" t="s">
        <v>372</v>
      </c>
    </row>
    <row r="3299" ht="15.75" customHeight="1">
      <c r="A3299" s="87" t="s">
        <v>9637</v>
      </c>
      <c r="B3299" s="88">
        <v>1.22E18</v>
      </c>
      <c r="C3299" s="87" t="s">
        <v>9638</v>
      </c>
      <c r="D3299" s="87" t="s">
        <v>87</v>
      </c>
      <c r="E3299" s="87" t="s">
        <v>88</v>
      </c>
      <c r="F3299" s="87" t="s">
        <v>379</v>
      </c>
      <c r="G3299" s="93"/>
      <c r="H3299" s="93"/>
      <c r="I3299" s="87" t="s">
        <v>58</v>
      </c>
      <c r="J3299" s="87" t="s">
        <v>9639</v>
      </c>
      <c r="K3299" s="90">
        <v>2.0</v>
      </c>
      <c r="L3299" s="92"/>
      <c r="M3299" s="93"/>
      <c r="N3299" s="87" t="s">
        <v>6273</v>
      </c>
      <c r="O3299" s="87" t="s">
        <v>377</v>
      </c>
      <c r="P3299" s="87" t="s">
        <v>372</v>
      </c>
    </row>
    <row r="3300" ht="15.75" customHeight="1">
      <c r="A3300" s="87" t="s">
        <v>9640</v>
      </c>
      <c r="B3300" s="88">
        <v>1.22E18</v>
      </c>
      <c r="C3300" s="87" t="s">
        <v>9641</v>
      </c>
      <c r="D3300" s="87" t="s">
        <v>87</v>
      </c>
      <c r="E3300" s="87" t="s">
        <v>88</v>
      </c>
      <c r="F3300" s="87" t="s">
        <v>379</v>
      </c>
      <c r="G3300" s="93"/>
      <c r="H3300" s="93"/>
      <c r="I3300" s="87" t="s">
        <v>58</v>
      </c>
      <c r="J3300" s="87" t="s">
        <v>9642</v>
      </c>
      <c r="K3300" s="90">
        <v>2.0</v>
      </c>
      <c r="L3300" s="92"/>
      <c r="M3300" s="93"/>
      <c r="N3300" s="87" t="s">
        <v>6273</v>
      </c>
      <c r="O3300" s="87" t="s">
        <v>377</v>
      </c>
      <c r="P3300" s="87" t="s">
        <v>372</v>
      </c>
    </row>
    <row r="3301" ht="15.75" customHeight="1">
      <c r="A3301" s="87" t="s">
        <v>9643</v>
      </c>
      <c r="B3301" s="88">
        <v>1.22E18</v>
      </c>
      <c r="C3301" s="87" t="s">
        <v>9644</v>
      </c>
      <c r="D3301" s="87" t="s">
        <v>87</v>
      </c>
      <c r="E3301" s="87" t="s">
        <v>228</v>
      </c>
      <c r="F3301" s="87" t="s">
        <v>379</v>
      </c>
      <c r="G3301" s="93"/>
      <c r="H3301" s="93"/>
      <c r="I3301" s="87" t="s">
        <v>58</v>
      </c>
      <c r="J3301" s="87" t="s">
        <v>2937</v>
      </c>
      <c r="K3301" s="90">
        <v>0.0</v>
      </c>
      <c r="L3301" s="92"/>
      <c r="M3301" s="93"/>
      <c r="N3301" s="87" t="s">
        <v>2483</v>
      </c>
      <c r="O3301" s="87" t="s">
        <v>377</v>
      </c>
      <c r="P3301" s="87" t="s">
        <v>372</v>
      </c>
    </row>
    <row r="3302" ht="15.75" customHeight="1">
      <c r="A3302" s="87" t="s">
        <v>9645</v>
      </c>
      <c r="B3302" s="88">
        <v>1.22E18</v>
      </c>
      <c r="C3302" s="87" t="s">
        <v>9646</v>
      </c>
      <c r="D3302" s="87" t="s">
        <v>87</v>
      </c>
      <c r="E3302" s="87" t="s">
        <v>88</v>
      </c>
      <c r="F3302" s="87" t="s">
        <v>379</v>
      </c>
      <c r="G3302" s="93"/>
      <c r="H3302" s="93"/>
      <c r="I3302" s="87" t="s">
        <v>315</v>
      </c>
      <c r="J3302" s="87" t="s">
        <v>2937</v>
      </c>
      <c r="K3302" s="90">
        <v>0.0</v>
      </c>
      <c r="L3302" s="92"/>
      <c r="M3302" s="93"/>
      <c r="N3302" s="87" t="s">
        <v>2483</v>
      </c>
      <c r="O3302" s="87" t="s">
        <v>377</v>
      </c>
      <c r="P3302" s="87" t="s">
        <v>372</v>
      </c>
    </row>
    <row r="3303" ht="15.75" customHeight="1">
      <c r="A3303" s="87" t="s">
        <v>9647</v>
      </c>
      <c r="B3303" s="88">
        <v>1.22E18</v>
      </c>
      <c r="C3303" s="87" t="s">
        <v>9648</v>
      </c>
      <c r="D3303" s="87" t="s">
        <v>87</v>
      </c>
      <c r="E3303" s="87" t="s">
        <v>88</v>
      </c>
      <c r="F3303" s="87" t="s">
        <v>379</v>
      </c>
      <c r="G3303" s="93"/>
      <c r="H3303" s="93"/>
      <c r="I3303" s="87" t="s">
        <v>58</v>
      </c>
      <c r="J3303" s="87" t="s">
        <v>2937</v>
      </c>
      <c r="K3303" s="90">
        <v>0.0</v>
      </c>
      <c r="L3303" s="92"/>
      <c r="M3303" s="93"/>
      <c r="N3303" s="87" t="s">
        <v>2483</v>
      </c>
      <c r="O3303" s="87" t="s">
        <v>377</v>
      </c>
      <c r="P3303" s="87" t="s">
        <v>372</v>
      </c>
    </row>
    <row r="3304" ht="15.75" customHeight="1">
      <c r="A3304" s="87" t="s">
        <v>9649</v>
      </c>
      <c r="B3304" s="88">
        <v>1.22E18</v>
      </c>
      <c r="C3304" s="87" t="s">
        <v>9650</v>
      </c>
      <c r="D3304" s="87" t="s">
        <v>87</v>
      </c>
      <c r="E3304" s="87" t="s">
        <v>88</v>
      </c>
      <c r="F3304" s="87" t="s">
        <v>379</v>
      </c>
      <c r="G3304" s="93"/>
      <c r="H3304" s="93"/>
      <c r="I3304" s="87" t="s">
        <v>315</v>
      </c>
      <c r="J3304" s="87" t="s">
        <v>2937</v>
      </c>
      <c r="K3304" s="90">
        <v>0.0</v>
      </c>
      <c r="L3304" s="92"/>
      <c r="M3304" s="93"/>
      <c r="N3304" s="87" t="s">
        <v>2483</v>
      </c>
      <c r="O3304" s="87" t="s">
        <v>377</v>
      </c>
      <c r="P3304" s="87" t="s">
        <v>372</v>
      </c>
    </row>
    <row r="3305" ht="15.75" customHeight="1">
      <c r="A3305" s="87" t="s">
        <v>9651</v>
      </c>
      <c r="B3305" s="88">
        <v>1.22E18</v>
      </c>
      <c r="C3305" s="87" t="s">
        <v>9652</v>
      </c>
      <c r="D3305" s="87" t="s">
        <v>87</v>
      </c>
      <c r="E3305" s="87" t="s">
        <v>228</v>
      </c>
      <c r="F3305" s="87" t="s">
        <v>379</v>
      </c>
      <c r="G3305" s="93"/>
      <c r="H3305" s="93"/>
      <c r="I3305" s="87" t="s">
        <v>58</v>
      </c>
      <c r="J3305" s="87" t="s">
        <v>2937</v>
      </c>
      <c r="K3305" s="90">
        <v>0.0</v>
      </c>
      <c r="L3305" s="92"/>
      <c r="M3305" s="93"/>
      <c r="N3305" s="87" t="s">
        <v>2483</v>
      </c>
      <c r="O3305" s="87" t="s">
        <v>377</v>
      </c>
      <c r="P3305" s="87" t="s">
        <v>372</v>
      </c>
    </row>
    <row r="3306" ht="15.75" customHeight="1">
      <c r="A3306" s="87" t="s">
        <v>9653</v>
      </c>
      <c r="B3306" s="88">
        <v>1.22E18</v>
      </c>
      <c r="C3306" s="87" t="s">
        <v>9654</v>
      </c>
      <c r="D3306" s="87" t="s">
        <v>87</v>
      </c>
      <c r="E3306" s="87" t="s">
        <v>88</v>
      </c>
      <c r="F3306" s="87" t="s">
        <v>379</v>
      </c>
      <c r="G3306" s="93"/>
      <c r="H3306" s="93"/>
      <c r="I3306" s="87" t="s">
        <v>315</v>
      </c>
      <c r="J3306" s="87" t="s">
        <v>6733</v>
      </c>
      <c r="K3306" s="90">
        <v>0.0</v>
      </c>
      <c r="L3306" s="92"/>
      <c r="M3306" s="93"/>
      <c r="N3306" s="87" t="s">
        <v>2483</v>
      </c>
      <c r="O3306" s="87" t="s">
        <v>377</v>
      </c>
      <c r="P3306" s="87" t="s">
        <v>372</v>
      </c>
    </row>
    <row r="3307" ht="15.75" customHeight="1">
      <c r="A3307" s="87" t="s">
        <v>9655</v>
      </c>
      <c r="B3307" s="88">
        <v>1.22E18</v>
      </c>
      <c r="C3307" s="87" t="s">
        <v>9656</v>
      </c>
      <c r="D3307" s="87" t="s">
        <v>87</v>
      </c>
      <c r="E3307" s="87" t="s">
        <v>88</v>
      </c>
      <c r="F3307" s="87" t="s">
        <v>379</v>
      </c>
      <c r="G3307" s="93"/>
      <c r="H3307" s="93"/>
      <c r="I3307" s="87" t="s">
        <v>58</v>
      </c>
      <c r="J3307" s="87" t="s">
        <v>816</v>
      </c>
      <c r="K3307" s="90">
        <v>0.0</v>
      </c>
      <c r="L3307" s="92"/>
      <c r="M3307" s="93"/>
      <c r="N3307" s="87" t="s">
        <v>1837</v>
      </c>
      <c r="O3307" s="87" t="s">
        <v>377</v>
      </c>
      <c r="P3307" s="87" t="s">
        <v>372</v>
      </c>
    </row>
    <row r="3308" ht="15.75" customHeight="1">
      <c r="A3308" s="87" t="s">
        <v>9657</v>
      </c>
      <c r="B3308" s="88">
        <v>1.22E18</v>
      </c>
      <c r="C3308" s="87" t="s">
        <v>9658</v>
      </c>
      <c r="D3308" s="87" t="s">
        <v>87</v>
      </c>
      <c r="E3308" s="87" t="s">
        <v>88</v>
      </c>
      <c r="F3308" s="87" t="s">
        <v>379</v>
      </c>
      <c r="G3308" s="93"/>
      <c r="H3308" s="93"/>
      <c r="I3308" s="87" t="s">
        <v>58</v>
      </c>
      <c r="J3308" s="87" t="s">
        <v>3377</v>
      </c>
      <c r="K3308" s="90">
        <v>0.0</v>
      </c>
      <c r="L3308" s="92"/>
      <c r="M3308" s="93"/>
      <c r="N3308" s="87" t="s">
        <v>1837</v>
      </c>
      <c r="O3308" s="87" t="s">
        <v>377</v>
      </c>
      <c r="P3308" s="87" t="s">
        <v>372</v>
      </c>
    </row>
    <row r="3309" ht="15.75" customHeight="1">
      <c r="A3309" s="87" t="s">
        <v>9659</v>
      </c>
      <c r="B3309" s="88">
        <v>1.22E18</v>
      </c>
      <c r="C3309" s="87" t="s">
        <v>9660</v>
      </c>
      <c r="D3309" s="87" t="s">
        <v>87</v>
      </c>
      <c r="E3309" s="87" t="s">
        <v>88</v>
      </c>
      <c r="F3309" s="87" t="s">
        <v>379</v>
      </c>
      <c r="G3309" s="93"/>
      <c r="H3309" s="93"/>
      <c r="I3309" s="87" t="s">
        <v>58</v>
      </c>
      <c r="J3309" s="87" t="s">
        <v>5027</v>
      </c>
      <c r="K3309" s="90">
        <v>0.0</v>
      </c>
      <c r="L3309" s="92"/>
      <c r="M3309" s="93"/>
      <c r="N3309" s="87" t="s">
        <v>1837</v>
      </c>
      <c r="O3309" s="87" t="s">
        <v>377</v>
      </c>
      <c r="P3309" s="87" t="s">
        <v>372</v>
      </c>
    </row>
    <row r="3310" ht="15.75" customHeight="1">
      <c r="A3310" s="87" t="s">
        <v>9661</v>
      </c>
      <c r="B3310" s="88">
        <v>1.22E18</v>
      </c>
      <c r="C3310" s="87" t="s">
        <v>9662</v>
      </c>
      <c r="D3310" s="87" t="s">
        <v>87</v>
      </c>
      <c r="E3310" s="87" t="s">
        <v>88</v>
      </c>
      <c r="F3310" s="87" t="s">
        <v>379</v>
      </c>
      <c r="G3310" s="93"/>
      <c r="H3310" s="93"/>
      <c r="I3310" s="87" t="s">
        <v>58</v>
      </c>
      <c r="J3310" s="87" t="s">
        <v>816</v>
      </c>
      <c r="K3310" s="90">
        <v>0.0</v>
      </c>
      <c r="L3310" s="92"/>
      <c r="M3310" s="93"/>
      <c r="N3310" s="87" t="s">
        <v>1837</v>
      </c>
      <c r="O3310" s="87" t="s">
        <v>377</v>
      </c>
      <c r="P3310" s="87" t="s">
        <v>372</v>
      </c>
    </row>
    <row r="3311" ht="15.75" customHeight="1">
      <c r="A3311" s="87" t="s">
        <v>9663</v>
      </c>
      <c r="B3311" s="88">
        <v>1.22E18</v>
      </c>
      <c r="C3311" s="87" t="s">
        <v>9664</v>
      </c>
      <c r="D3311" s="87" t="s">
        <v>87</v>
      </c>
      <c r="E3311" s="87" t="s">
        <v>88</v>
      </c>
      <c r="F3311" s="87" t="s">
        <v>379</v>
      </c>
      <c r="G3311" s="93"/>
      <c r="H3311" s="93"/>
      <c r="I3311" s="87" t="s">
        <v>58</v>
      </c>
      <c r="J3311" s="87" t="s">
        <v>2852</v>
      </c>
      <c r="K3311" s="90">
        <v>0.0</v>
      </c>
      <c r="L3311" s="92"/>
      <c r="M3311" s="93"/>
      <c r="N3311" s="87" t="s">
        <v>1837</v>
      </c>
      <c r="O3311" s="87" t="s">
        <v>377</v>
      </c>
      <c r="P3311" s="87" t="s">
        <v>372</v>
      </c>
    </row>
    <row r="3312" ht="15.75" customHeight="1">
      <c r="A3312" s="87" t="s">
        <v>9665</v>
      </c>
      <c r="B3312" s="88">
        <v>1.22E18</v>
      </c>
      <c r="C3312" s="87" t="s">
        <v>9666</v>
      </c>
      <c r="D3312" s="87" t="s">
        <v>87</v>
      </c>
      <c r="E3312" s="87" t="s">
        <v>88</v>
      </c>
      <c r="F3312" s="87" t="s">
        <v>379</v>
      </c>
      <c r="G3312" s="93"/>
      <c r="H3312" s="93"/>
      <c r="I3312" s="87" t="s">
        <v>58</v>
      </c>
      <c r="J3312" s="87" t="s">
        <v>4372</v>
      </c>
      <c r="K3312" s="90">
        <v>0.0</v>
      </c>
      <c r="L3312" s="92"/>
      <c r="M3312" s="93"/>
      <c r="N3312" s="87" t="s">
        <v>1837</v>
      </c>
      <c r="O3312" s="87" t="s">
        <v>377</v>
      </c>
      <c r="P3312" s="87" t="s">
        <v>372</v>
      </c>
    </row>
    <row r="3313" ht="15.75" customHeight="1">
      <c r="A3313" s="87" t="s">
        <v>9667</v>
      </c>
      <c r="B3313" s="88">
        <v>1.22E18</v>
      </c>
      <c r="C3313" s="87" t="s">
        <v>9668</v>
      </c>
      <c r="D3313" s="87" t="s">
        <v>87</v>
      </c>
      <c r="E3313" s="87" t="s">
        <v>88</v>
      </c>
      <c r="F3313" s="87" t="s">
        <v>379</v>
      </c>
      <c r="G3313" s="93"/>
      <c r="H3313" s="93"/>
      <c r="I3313" s="87" t="s">
        <v>58</v>
      </c>
      <c r="J3313" s="87" t="s">
        <v>2047</v>
      </c>
      <c r="K3313" s="90">
        <v>0.0</v>
      </c>
      <c r="L3313" s="92"/>
      <c r="M3313" s="93"/>
      <c r="N3313" s="87" t="s">
        <v>1837</v>
      </c>
      <c r="O3313" s="87" t="s">
        <v>377</v>
      </c>
      <c r="P3313" s="87" t="s">
        <v>372</v>
      </c>
    </row>
    <row r="3314" ht="15.75" customHeight="1">
      <c r="A3314" s="87" t="s">
        <v>9669</v>
      </c>
      <c r="B3314" s="88">
        <v>1.22E18</v>
      </c>
      <c r="C3314" s="87" t="s">
        <v>9670</v>
      </c>
      <c r="D3314" s="87" t="s">
        <v>56</v>
      </c>
      <c r="E3314" s="87" t="s">
        <v>248</v>
      </c>
      <c r="F3314" s="87" t="s">
        <v>415</v>
      </c>
      <c r="G3314" s="93"/>
      <c r="H3314" s="93"/>
      <c r="I3314" s="87" t="s">
        <v>58</v>
      </c>
      <c r="J3314" s="87" t="s">
        <v>9671</v>
      </c>
      <c r="K3314" s="90">
        <v>0.0</v>
      </c>
      <c r="L3314" s="92"/>
      <c r="M3314" s="93"/>
      <c r="N3314" s="87" t="s">
        <v>9672</v>
      </c>
      <c r="O3314" s="87" t="s">
        <v>377</v>
      </c>
      <c r="P3314" s="87" t="s">
        <v>372</v>
      </c>
    </row>
    <row r="3315" ht="15.75" customHeight="1">
      <c r="A3315" s="87" t="s">
        <v>9673</v>
      </c>
      <c r="B3315" s="88">
        <v>1.22E18</v>
      </c>
      <c r="C3315" s="87" t="s">
        <v>9674</v>
      </c>
      <c r="D3315" s="87" t="s">
        <v>262</v>
      </c>
      <c r="E3315" s="87" t="s">
        <v>263</v>
      </c>
      <c r="F3315" s="87" t="s">
        <v>415</v>
      </c>
      <c r="G3315" s="93"/>
      <c r="H3315" s="93"/>
      <c r="I3315" s="87" t="s">
        <v>58</v>
      </c>
      <c r="J3315" s="87" t="s">
        <v>9671</v>
      </c>
      <c r="K3315" s="90">
        <v>0.0</v>
      </c>
      <c r="L3315" s="92"/>
      <c r="M3315" s="93"/>
      <c r="N3315" s="87" t="s">
        <v>9672</v>
      </c>
      <c r="O3315" s="87" t="s">
        <v>377</v>
      </c>
      <c r="P3315" s="87" t="s">
        <v>372</v>
      </c>
    </row>
    <row r="3316" ht="15.75" customHeight="1">
      <c r="A3316" s="87" t="s">
        <v>9675</v>
      </c>
      <c r="B3316" s="88">
        <v>1.22E18</v>
      </c>
      <c r="C3316" s="87" t="s">
        <v>9676</v>
      </c>
      <c r="D3316" s="87" t="s">
        <v>262</v>
      </c>
      <c r="E3316" s="87" t="s">
        <v>263</v>
      </c>
      <c r="F3316" s="87" t="s">
        <v>415</v>
      </c>
      <c r="G3316" s="93"/>
      <c r="H3316" s="93"/>
      <c r="I3316" s="87" t="s">
        <v>58</v>
      </c>
      <c r="J3316" s="87" t="s">
        <v>9677</v>
      </c>
      <c r="K3316" s="90">
        <v>0.0</v>
      </c>
      <c r="L3316" s="92"/>
      <c r="M3316" s="93"/>
      <c r="N3316" s="87" t="s">
        <v>9672</v>
      </c>
      <c r="O3316" s="87" t="s">
        <v>377</v>
      </c>
      <c r="P3316" s="87" t="s">
        <v>372</v>
      </c>
    </row>
    <row r="3317" ht="15.75" customHeight="1">
      <c r="A3317" s="87" t="s">
        <v>9678</v>
      </c>
      <c r="B3317" s="88">
        <v>1.22E18</v>
      </c>
      <c r="C3317" s="87" t="s">
        <v>9679</v>
      </c>
      <c r="D3317" s="87" t="s">
        <v>56</v>
      </c>
      <c r="E3317" s="87" t="s">
        <v>248</v>
      </c>
      <c r="F3317" s="87" t="s">
        <v>415</v>
      </c>
      <c r="G3317" s="93"/>
      <c r="H3317" s="93"/>
      <c r="I3317" s="87" t="s">
        <v>58</v>
      </c>
      <c r="J3317" s="87" t="s">
        <v>9671</v>
      </c>
      <c r="K3317" s="90">
        <v>0.0</v>
      </c>
      <c r="L3317" s="92"/>
      <c r="M3317" s="93"/>
      <c r="N3317" s="87" t="s">
        <v>9672</v>
      </c>
      <c r="O3317" s="87" t="s">
        <v>377</v>
      </c>
      <c r="P3317" s="87" t="s">
        <v>372</v>
      </c>
    </row>
    <row r="3318" ht="15.75" customHeight="1">
      <c r="A3318" s="87" t="s">
        <v>9680</v>
      </c>
      <c r="B3318" s="88">
        <v>1.22E18</v>
      </c>
      <c r="C3318" s="132" t="s">
        <v>9681</v>
      </c>
      <c r="D3318" s="87" t="s">
        <v>262</v>
      </c>
      <c r="E3318" s="87" t="s">
        <v>263</v>
      </c>
      <c r="F3318" s="87" t="s">
        <v>415</v>
      </c>
      <c r="G3318" s="93"/>
      <c r="H3318" s="93"/>
      <c r="I3318" s="87" t="s">
        <v>58</v>
      </c>
      <c r="J3318" s="87" t="s">
        <v>2601</v>
      </c>
      <c r="K3318" s="90">
        <v>0.0</v>
      </c>
      <c r="L3318" s="92"/>
      <c r="M3318" s="93"/>
      <c r="N3318" s="87" t="s">
        <v>9672</v>
      </c>
      <c r="O3318" s="87" t="s">
        <v>377</v>
      </c>
      <c r="P3318" s="87" t="s">
        <v>372</v>
      </c>
    </row>
    <row r="3319" ht="15.75" customHeight="1">
      <c r="A3319" s="87" t="s">
        <v>9682</v>
      </c>
      <c r="B3319" s="88">
        <v>1.22E18</v>
      </c>
      <c r="C3319" s="87" t="s">
        <v>9683</v>
      </c>
      <c r="D3319" s="87" t="s">
        <v>56</v>
      </c>
      <c r="E3319" s="87" t="s">
        <v>248</v>
      </c>
      <c r="F3319" s="87" t="s">
        <v>9683</v>
      </c>
      <c r="I3319" s="87" t="s">
        <v>58</v>
      </c>
      <c r="J3319" s="87" t="s">
        <v>9671</v>
      </c>
      <c r="K3319" s="90">
        <v>0.0</v>
      </c>
      <c r="L3319" s="92"/>
      <c r="M3319" s="93"/>
      <c r="N3319" s="87" t="s">
        <v>9672</v>
      </c>
      <c r="O3319" s="87" t="s">
        <v>377</v>
      </c>
      <c r="P3319" s="87" t="s">
        <v>372</v>
      </c>
    </row>
    <row r="3320" ht="15.75" customHeight="1">
      <c r="A3320" s="87" t="s">
        <v>9684</v>
      </c>
      <c r="B3320" s="88">
        <v>1.22E18</v>
      </c>
      <c r="C3320" s="87" t="s">
        <v>9685</v>
      </c>
      <c r="D3320" s="87" t="s">
        <v>87</v>
      </c>
      <c r="E3320" s="87" t="s">
        <v>88</v>
      </c>
      <c r="F3320" s="87" t="s">
        <v>373</v>
      </c>
      <c r="H3320" s="93"/>
      <c r="I3320" s="87" t="s">
        <v>327</v>
      </c>
      <c r="J3320" s="87" t="s">
        <v>9686</v>
      </c>
      <c r="K3320" s="90">
        <v>500000.0</v>
      </c>
      <c r="L3320" s="92"/>
      <c r="M3320" s="93"/>
      <c r="N3320" s="87" t="s">
        <v>4427</v>
      </c>
      <c r="O3320" s="87" t="s">
        <v>377</v>
      </c>
      <c r="P3320" s="87" t="s">
        <v>372</v>
      </c>
    </row>
    <row r="3321" ht="15.75" customHeight="1">
      <c r="A3321" s="87" t="s">
        <v>9687</v>
      </c>
      <c r="B3321" s="88">
        <v>1.22E18</v>
      </c>
      <c r="C3321" s="87" t="s">
        <v>9688</v>
      </c>
      <c r="D3321" s="87" t="s">
        <v>56</v>
      </c>
      <c r="E3321" s="87" t="s">
        <v>102</v>
      </c>
      <c r="F3321" s="87" t="s">
        <v>1763</v>
      </c>
      <c r="I3321" s="87" t="s">
        <v>58</v>
      </c>
      <c r="J3321" s="87" t="s">
        <v>6101</v>
      </c>
      <c r="K3321" s="90">
        <v>0.0</v>
      </c>
      <c r="L3321" s="92"/>
      <c r="M3321" s="93"/>
      <c r="N3321" s="87" t="s">
        <v>7472</v>
      </c>
      <c r="O3321" s="87" t="s">
        <v>377</v>
      </c>
      <c r="P3321" s="87" t="s">
        <v>372</v>
      </c>
    </row>
    <row r="3322" ht="15.75" customHeight="1">
      <c r="A3322" s="87" t="s">
        <v>9689</v>
      </c>
      <c r="B3322" s="88">
        <v>1.22E18</v>
      </c>
      <c r="C3322" s="87" t="s">
        <v>9690</v>
      </c>
      <c r="D3322" s="87" t="s">
        <v>262</v>
      </c>
      <c r="E3322" s="87" t="s">
        <v>263</v>
      </c>
      <c r="F3322" s="87" t="s">
        <v>415</v>
      </c>
      <c r="G3322" s="93"/>
      <c r="H3322" s="93"/>
      <c r="I3322" s="87" t="s">
        <v>58</v>
      </c>
      <c r="J3322" s="87" t="s">
        <v>9691</v>
      </c>
      <c r="K3322" s="90">
        <v>2.0</v>
      </c>
      <c r="L3322" s="92"/>
      <c r="M3322" s="93"/>
      <c r="N3322" s="87" t="s">
        <v>7472</v>
      </c>
      <c r="O3322" s="87" t="s">
        <v>377</v>
      </c>
      <c r="P3322" s="87" t="s">
        <v>372</v>
      </c>
    </row>
    <row r="3323" ht="15.75" customHeight="1">
      <c r="A3323" s="87" t="s">
        <v>9692</v>
      </c>
      <c r="B3323" s="88">
        <v>1.22E18</v>
      </c>
      <c r="C3323" s="87" t="s">
        <v>9693</v>
      </c>
      <c r="D3323" s="87" t="s">
        <v>262</v>
      </c>
      <c r="E3323" s="87" t="s">
        <v>263</v>
      </c>
      <c r="F3323" s="87" t="s">
        <v>415</v>
      </c>
      <c r="G3323" s="93"/>
      <c r="H3323" s="93"/>
      <c r="I3323" s="87" t="s">
        <v>58</v>
      </c>
      <c r="J3323" s="87" t="s">
        <v>9691</v>
      </c>
      <c r="K3323" s="90">
        <v>0.0</v>
      </c>
      <c r="L3323" s="92"/>
      <c r="M3323" s="93"/>
      <c r="N3323" s="87" t="s">
        <v>7472</v>
      </c>
      <c r="O3323" s="87" t="s">
        <v>377</v>
      </c>
      <c r="P3323" s="87" t="s">
        <v>372</v>
      </c>
    </row>
    <row r="3324" ht="15.75" customHeight="1">
      <c r="A3324" s="87" t="s">
        <v>9694</v>
      </c>
      <c r="B3324" s="88">
        <v>1.22E18</v>
      </c>
      <c r="C3324" s="87" t="s">
        <v>9695</v>
      </c>
      <c r="D3324" s="87" t="s">
        <v>87</v>
      </c>
      <c r="E3324" s="87" t="s">
        <v>228</v>
      </c>
      <c r="F3324" s="87" t="s">
        <v>379</v>
      </c>
      <c r="G3324" s="93"/>
      <c r="H3324" s="93"/>
      <c r="I3324" s="87" t="s">
        <v>340</v>
      </c>
      <c r="J3324" s="87" t="s">
        <v>9696</v>
      </c>
      <c r="K3324" s="90">
        <v>2000.0</v>
      </c>
      <c r="L3324" s="92"/>
      <c r="M3324" s="93"/>
      <c r="N3324" s="87" t="s">
        <v>9697</v>
      </c>
      <c r="O3324" s="87" t="s">
        <v>377</v>
      </c>
      <c r="P3324" s="87" t="s">
        <v>372</v>
      </c>
    </row>
    <row r="3325" ht="15.75" customHeight="1">
      <c r="A3325" s="87" t="s">
        <v>9698</v>
      </c>
      <c r="B3325" s="88">
        <v>1.22E18</v>
      </c>
      <c r="C3325" s="87" t="s">
        <v>9699</v>
      </c>
      <c r="D3325" s="87" t="s">
        <v>87</v>
      </c>
      <c r="E3325" s="87" t="s">
        <v>102</v>
      </c>
      <c r="F3325" s="87" t="s">
        <v>1763</v>
      </c>
      <c r="I3325" s="87" t="s">
        <v>58</v>
      </c>
      <c r="J3325" s="87" t="s">
        <v>9700</v>
      </c>
      <c r="K3325" s="90">
        <v>3000.0</v>
      </c>
      <c r="L3325" s="92"/>
      <c r="M3325" s="93"/>
      <c r="N3325" s="87" t="s">
        <v>474</v>
      </c>
      <c r="O3325" s="87" t="s">
        <v>377</v>
      </c>
      <c r="P3325" s="87" t="s">
        <v>372</v>
      </c>
    </row>
    <row r="3326" ht="15.75" customHeight="1">
      <c r="A3326" s="87" t="s">
        <v>9701</v>
      </c>
      <c r="B3326" s="88">
        <v>1.22E18</v>
      </c>
      <c r="C3326" s="87" t="s">
        <v>9702</v>
      </c>
      <c r="D3326" s="87" t="s">
        <v>56</v>
      </c>
      <c r="E3326" s="87" t="s">
        <v>102</v>
      </c>
      <c r="F3326" s="87" t="s">
        <v>1763</v>
      </c>
      <c r="I3326" s="87" t="s">
        <v>58</v>
      </c>
      <c r="J3326" s="87" t="s">
        <v>9703</v>
      </c>
      <c r="K3326" s="90">
        <v>3000.0</v>
      </c>
      <c r="L3326" s="92"/>
      <c r="M3326" s="93"/>
      <c r="N3326" s="87" t="s">
        <v>474</v>
      </c>
      <c r="O3326" s="87" t="s">
        <v>377</v>
      </c>
      <c r="P3326" s="87" t="s">
        <v>372</v>
      </c>
    </row>
    <row r="3327" ht="15.75" customHeight="1">
      <c r="A3327" s="87" t="s">
        <v>9704</v>
      </c>
      <c r="B3327" s="88">
        <v>1.22E18</v>
      </c>
      <c r="C3327" s="87" t="s">
        <v>9705</v>
      </c>
      <c r="D3327" s="87" t="s">
        <v>87</v>
      </c>
      <c r="E3327" s="87" t="s">
        <v>102</v>
      </c>
      <c r="F3327" s="87" t="s">
        <v>1763</v>
      </c>
      <c r="I3327" s="87" t="s">
        <v>58</v>
      </c>
      <c r="J3327" s="87" t="s">
        <v>9706</v>
      </c>
      <c r="K3327" s="90">
        <v>0.0</v>
      </c>
      <c r="L3327" s="92"/>
      <c r="M3327" s="93"/>
      <c r="N3327" s="87" t="s">
        <v>474</v>
      </c>
      <c r="O3327" s="87" t="s">
        <v>377</v>
      </c>
      <c r="P3327" s="87" t="s">
        <v>372</v>
      </c>
    </row>
    <row r="3328" ht="15.75" customHeight="1">
      <c r="A3328" s="87" t="s">
        <v>9707</v>
      </c>
      <c r="B3328" s="88">
        <v>1.22E18</v>
      </c>
      <c r="C3328" s="87" t="s">
        <v>9708</v>
      </c>
      <c r="D3328" s="87" t="s">
        <v>87</v>
      </c>
      <c r="E3328" s="87" t="s">
        <v>102</v>
      </c>
      <c r="F3328" s="87" t="s">
        <v>1763</v>
      </c>
      <c r="I3328" s="87" t="s">
        <v>58</v>
      </c>
      <c r="J3328" s="87" t="s">
        <v>9709</v>
      </c>
      <c r="K3328" s="90">
        <v>0.0</v>
      </c>
      <c r="L3328" s="92"/>
      <c r="M3328" s="93"/>
      <c r="N3328" s="87" t="s">
        <v>474</v>
      </c>
      <c r="O3328" s="87" t="s">
        <v>377</v>
      </c>
      <c r="P3328" s="87" t="s">
        <v>372</v>
      </c>
    </row>
    <row r="3329" ht="15.75" customHeight="1">
      <c r="A3329" s="87" t="s">
        <v>9710</v>
      </c>
      <c r="B3329" s="88">
        <v>1.22E18</v>
      </c>
      <c r="C3329" s="87" t="s">
        <v>9711</v>
      </c>
      <c r="D3329" s="87" t="s">
        <v>87</v>
      </c>
      <c r="E3329" s="87" t="s">
        <v>241</v>
      </c>
      <c r="F3329" s="87" t="s">
        <v>373</v>
      </c>
      <c r="H3329" s="93"/>
      <c r="I3329" s="87" t="s">
        <v>340</v>
      </c>
      <c r="J3329" s="87" t="s">
        <v>9712</v>
      </c>
      <c r="K3329" s="90">
        <v>100.0</v>
      </c>
      <c r="L3329" s="92"/>
      <c r="M3329" s="93"/>
      <c r="N3329" s="87" t="s">
        <v>9713</v>
      </c>
      <c r="O3329" s="87" t="s">
        <v>377</v>
      </c>
      <c r="P3329" s="87" t="s">
        <v>372</v>
      </c>
    </row>
    <row r="3330" ht="15.75" customHeight="1">
      <c r="A3330" s="87" t="s">
        <v>9714</v>
      </c>
      <c r="B3330" s="88">
        <v>1.22E18</v>
      </c>
      <c r="C3330" s="87" t="s">
        <v>9715</v>
      </c>
      <c r="D3330" s="87" t="s">
        <v>87</v>
      </c>
      <c r="E3330" s="87" t="s">
        <v>88</v>
      </c>
      <c r="F3330" s="87" t="s">
        <v>9715</v>
      </c>
      <c r="I3330" s="87" t="s">
        <v>103</v>
      </c>
      <c r="J3330" s="87" t="s">
        <v>9716</v>
      </c>
      <c r="K3330" s="90">
        <v>2.0</v>
      </c>
      <c r="L3330" s="92"/>
      <c r="M3330" s="93"/>
      <c r="N3330" s="93"/>
      <c r="O3330" s="87" t="s">
        <v>377</v>
      </c>
      <c r="P3330" s="87" t="s">
        <v>372</v>
      </c>
    </row>
    <row r="3331" ht="15.75" customHeight="1">
      <c r="A3331" s="87" t="s">
        <v>9717</v>
      </c>
      <c r="B3331" s="88">
        <v>1.22E18</v>
      </c>
      <c r="C3331" s="87" t="s">
        <v>9718</v>
      </c>
      <c r="D3331" s="87" t="s">
        <v>56</v>
      </c>
      <c r="E3331" s="87" t="s">
        <v>102</v>
      </c>
      <c r="F3331" s="87" t="s">
        <v>1763</v>
      </c>
      <c r="I3331" s="87" t="s">
        <v>58</v>
      </c>
      <c r="J3331" s="87" t="s">
        <v>9719</v>
      </c>
      <c r="K3331" s="90">
        <v>1000.0</v>
      </c>
      <c r="L3331" s="92"/>
      <c r="M3331" s="93"/>
      <c r="N3331" s="87" t="s">
        <v>4427</v>
      </c>
      <c r="O3331" s="87" t="s">
        <v>377</v>
      </c>
      <c r="P3331" s="87" t="s">
        <v>372</v>
      </c>
    </row>
    <row r="3332" ht="15.75" customHeight="1">
      <c r="A3332" s="87" t="s">
        <v>9720</v>
      </c>
      <c r="B3332" s="88">
        <v>1.22E18</v>
      </c>
      <c r="C3332" s="87" t="s">
        <v>9721</v>
      </c>
      <c r="D3332" s="87" t="s">
        <v>87</v>
      </c>
      <c r="E3332" s="87" t="s">
        <v>102</v>
      </c>
      <c r="F3332" s="87" t="s">
        <v>1763</v>
      </c>
      <c r="I3332" s="87" t="s">
        <v>58</v>
      </c>
      <c r="J3332" s="87" t="s">
        <v>9719</v>
      </c>
      <c r="K3332" s="90">
        <v>1000.0</v>
      </c>
      <c r="L3332" s="92"/>
      <c r="M3332" s="93"/>
      <c r="N3332" s="87" t="s">
        <v>4427</v>
      </c>
      <c r="O3332" s="87" t="s">
        <v>377</v>
      </c>
      <c r="P3332" s="87" t="s">
        <v>372</v>
      </c>
    </row>
    <row r="3333" ht="15.75" customHeight="1">
      <c r="A3333" s="87" t="s">
        <v>9722</v>
      </c>
      <c r="B3333" s="88">
        <v>1.22E18</v>
      </c>
      <c r="C3333" s="87" t="s">
        <v>9723</v>
      </c>
      <c r="D3333" s="87" t="s">
        <v>56</v>
      </c>
      <c r="E3333" s="87" t="s">
        <v>142</v>
      </c>
      <c r="F3333" s="87" t="s">
        <v>1763</v>
      </c>
      <c r="I3333" s="87" t="s">
        <v>58</v>
      </c>
      <c r="J3333" s="87" t="s">
        <v>9724</v>
      </c>
      <c r="K3333" s="90">
        <v>0.0</v>
      </c>
      <c r="L3333" s="92"/>
      <c r="M3333" s="93"/>
      <c r="N3333" s="87" t="s">
        <v>2835</v>
      </c>
      <c r="O3333" s="87" t="s">
        <v>377</v>
      </c>
      <c r="P3333" s="87" t="s">
        <v>372</v>
      </c>
    </row>
    <row r="3334" ht="15.75" customHeight="1">
      <c r="A3334" s="87" t="s">
        <v>9725</v>
      </c>
      <c r="B3334" s="88">
        <v>1.22E18</v>
      </c>
      <c r="C3334" s="87" t="s">
        <v>9726</v>
      </c>
      <c r="D3334" s="87" t="s">
        <v>87</v>
      </c>
      <c r="E3334" s="87" t="s">
        <v>102</v>
      </c>
      <c r="F3334" s="87" t="s">
        <v>1763</v>
      </c>
      <c r="I3334" s="87" t="s">
        <v>58</v>
      </c>
      <c r="J3334" s="87" t="s">
        <v>9727</v>
      </c>
      <c r="K3334" s="90">
        <v>0.0</v>
      </c>
      <c r="L3334" s="92"/>
      <c r="M3334" s="93"/>
      <c r="N3334" s="87" t="s">
        <v>1772</v>
      </c>
      <c r="O3334" s="87" t="s">
        <v>377</v>
      </c>
      <c r="P3334" s="87" t="s">
        <v>372</v>
      </c>
    </row>
    <row r="3335" ht="15.75" customHeight="1">
      <c r="A3335" s="87" t="s">
        <v>9728</v>
      </c>
      <c r="B3335" s="88">
        <v>1.22E18</v>
      </c>
      <c r="C3335" s="87" t="s">
        <v>9729</v>
      </c>
      <c r="D3335" s="87" t="s">
        <v>56</v>
      </c>
      <c r="E3335" s="87" t="s">
        <v>59</v>
      </c>
      <c r="F3335" s="87" t="s">
        <v>1763</v>
      </c>
      <c r="I3335" s="87" t="s">
        <v>58</v>
      </c>
      <c r="J3335" s="87" t="s">
        <v>4332</v>
      </c>
      <c r="K3335" s="90">
        <v>0.0</v>
      </c>
      <c r="L3335" s="92"/>
      <c r="M3335" s="93"/>
      <c r="N3335" s="87" t="s">
        <v>6463</v>
      </c>
      <c r="O3335" s="87" t="s">
        <v>377</v>
      </c>
      <c r="P3335" s="87" t="s">
        <v>372</v>
      </c>
    </row>
    <row r="3336" ht="15.75" customHeight="1">
      <c r="A3336" s="87" t="s">
        <v>9730</v>
      </c>
      <c r="B3336" s="88">
        <v>1.22E18</v>
      </c>
      <c r="C3336" s="87" t="s">
        <v>9731</v>
      </c>
      <c r="D3336" s="87" t="s">
        <v>56</v>
      </c>
      <c r="E3336" s="87" t="s">
        <v>59</v>
      </c>
      <c r="F3336" s="87" t="s">
        <v>1763</v>
      </c>
      <c r="I3336" s="87" t="s">
        <v>58</v>
      </c>
      <c r="J3336" s="87" t="s">
        <v>9732</v>
      </c>
      <c r="K3336" s="90">
        <v>20000.0</v>
      </c>
      <c r="L3336" s="92"/>
      <c r="M3336" s="93"/>
      <c r="N3336" s="87" t="s">
        <v>5811</v>
      </c>
      <c r="O3336" s="87" t="s">
        <v>377</v>
      </c>
      <c r="P3336" s="87" t="s">
        <v>372</v>
      </c>
    </row>
    <row r="3337" ht="15.75" customHeight="1">
      <c r="A3337" s="87" t="s">
        <v>9733</v>
      </c>
      <c r="B3337" s="88">
        <v>1.22E18</v>
      </c>
      <c r="C3337" s="87" t="s">
        <v>9734</v>
      </c>
      <c r="D3337" s="87" t="s">
        <v>262</v>
      </c>
      <c r="E3337" s="87" t="s">
        <v>267</v>
      </c>
      <c r="F3337" s="87" t="s">
        <v>1749</v>
      </c>
      <c r="H3337" s="93"/>
      <c r="I3337" s="87" t="s">
        <v>58</v>
      </c>
      <c r="J3337" s="87" t="s">
        <v>9735</v>
      </c>
      <c r="K3337" s="90">
        <v>0.0</v>
      </c>
      <c r="L3337" s="92"/>
      <c r="M3337" s="93"/>
      <c r="N3337" s="87" t="s">
        <v>2364</v>
      </c>
      <c r="O3337" s="87" t="s">
        <v>377</v>
      </c>
      <c r="P3337" s="87" t="s">
        <v>372</v>
      </c>
    </row>
    <row r="3338" ht="15.75" customHeight="1">
      <c r="A3338" s="87" t="s">
        <v>9736</v>
      </c>
      <c r="B3338" s="88">
        <v>1.22E18</v>
      </c>
      <c r="C3338" s="87" t="s">
        <v>9737</v>
      </c>
      <c r="D3338" s="87" t="s">
        <v>262</v>
      </c>
      <c r="E3338" s="87" t="s">
        <v>267</v>
      </c>
      <c r="F3338" s="87" t="s">
        <v>1749</v>
      </c>
      <c r="H3338" s="93"/>
      <c r="I3338" s="87" t="s">
        <v>58</v>
      </c>
      <c r="J3338" s="87" t="s">
        <v>9738</v>
      </c>
      <c r="K3338" s="90">
        <v>0.0</v>
      </c>
      <c r="L3338" s="92"/>
      <c r="M3338" s="93"/>
      <c r="N3338" s="87" t="s">
        <v>2364</v>
      </c>
      <c r="O3338" s="87" t="s">
        <v>377</v>
      </c>
      <c r="P3338" s="87" t="s">
        <v>372</v>
      </c>
    </row>
    <row r="3339" ht="15.75" customHeight="1">
      <c r="A3339" s="87" t="s">
        <v>9739</v>
      </c>
      <c r="B3339" s="88">
        <v>1.22E18</v>
      </c>
      <c r="C3339" s="87" t="s">
        <v>9740</v>
      </c>
      <c r="D3339" s="87" t="s">
        <v>262</v>
      </c>
      <c r="E3339" s="87" t="s">
        <v>267</v>
      </c>
      <c r="F3339" s="87" t="s">
        <v>1749</v>
      </c>
      <c r="H3339" s="93"/>
      <c r="I3339" s="87" t="s">
        <v>58</v>
      </c>
      <c r="J3339" s="87" t="s">
        <v>9741</v>
      </c>
      <c r="K3339" s="90">
        <v>0.0</v>
      </c>
      <c r="L3339" s="92"/>
      <c r="M3339" s="93"/>
      <c r="N3339" s="87" t="s">
        <v>2364</v>
      </c>
      <c r="O3339" s="87" t="s">
        <v>377</v>
      </c>
      <c r="P3339" s="87" t="s">
        <v>372</v>
      </c>
    </row>
    <row r="3340" ht="15.75" customHeight="1">
      <c r="A3340" s="87" t="s">
        <v>9742</v>
      </c>
      <c r="B3340" s="88">
        <v>1.22E18</v>
      </c>
      <c r="C3340" s="87" t="s">
        <v>9743</v>
      </c>
      <c r="D3340" s="87" t="s">
        <v>262</v>
      </c>
      <c r="E3340" s="87" t="s">
        <v>267</v>
      </c>
      <c r="F3340" s="87" t="s">
        <v>1749</v>
      </c>
      <c r="H3340" s="93"/>
      <c r="I3340" s="87" t="s">
        <v>58</v>
      </c>
      <c r="J3340" s="87" t="s">
        <v>9744</v>
      </c>
      <c r="K3340" s="90">
        <v>0.0</v>
      </c>
      <c r="L3340" s="92"/>
      <c r="M3340" s="93"/>
      <c r="N3340" s="87" t="s">
        <v>2364</v>
      </c>
      <c r="O3340" s="87" t="s">
        <v>377</v>
      </c>
      <c r="P3340" s="87" t="s">
        <v>372</v>
      </c>
    </row>
    <row r="3341" ht="15.75" customHeight="1">
      <c r="A3341" s="87" t="s">
        <v>9745</v>
      </c>
      <c r="B3341" s="88">
        <v>1.22E18</v>
      </c>
      <c r="C3341" s="87" t="s">
        <v>9746</v>
      </c>
      <c r="D3341" s="87" t="s">
        <v>262</v>
      </c>
      <c r="E3341" s="87" t="s">
        <v>267</v>
      </c>
      <c r="F3341" s="87" t="s">
        <v>1749</v>
      </c>
      <c r="H3341" s="93"/>
      <c r="I3341" s="87" t="s">
        <v>58</v>
      </c>
      <c r="J3341" s="87" t="s">
        <v>9747</v>
      </c>
      <c r="K3341" s="90">
        <v>0.0</v>
      </c>
      <c r="L3341" s="92"/>
      <c r="M3341" s="93"/>
      <c r="N3341" s="87" t="s">
        <v>9407</v>
      </c>
      <c r="O3341" s="87" t="s">
        <v>377</v>
      </c>
      <c r="P3341" s="87" t="s">
        <v>372</v>
      </c>
    </row>
    <row r="3342" ht="15.75" customHeight="1">
      <c r="A3342" s="87" t="s">
        <v>9748</v>
      </c>
      <c r="B3342" s="88">
        <v>1.22E18</v>
      </c>
      <c r="C3342" s="87" t="s">
        <v>9749</v>
      </c>
      <c r="D3342" s="87" t="s">
        <v>87</v>
      </c>
      <c r="E3342" s="87" t="s">
        <v>88</v>
      </c>
      <c r="F3342" s="87" t="s">
        <v>373</v>
      </c>
      <c r="H3342" s="93"/>
      <c r="I3342" s="87" t="s">
        <v>340</v>
      </c>
      <c r="J3342" s="87" t="s">
        <v>9750</v>
      </c>
      <c r="K3342" s="90">
        <v>2000.0</v>
      </c>
      <c r="L3342" s="92"/>
      <c r="M3342" s="93"/>
      <c r="N3342" s="87" t="s">
        <v>6725</v>
      </c>
      <c r="O3342" s="87" t="s">
        <v>377</v>
      </c>
      <c r="P3342" s="87" t="s">
        <v>372</v>
      </c>
    </row>
    <row r="3343" ht="15.75" customHeight="1">
      <c r="A3343" s="87" t="s">
        <v>9751</v>
      </c>
      <c r="B3343" s="88">
        <v>1.22E18</v>
      </c>
      <c r="C3343" s="87" t="s">
        <v>9752</v>
      </c>
      <c r="D3343" s="87" t="s">
        <v>87</v>
      </c>
      <c r="E3343" s="87" t="s">
        <v>88</v>
      </c>
      <c r="F3343" s="87" t="s">
        <v>373</v>
      </c>
      <c r="H3343" s="93"/>
      <c r="I3343" s="87" t="s">
        <v>340</v>
      </c>
      <c r="J3343" s="87" t="s">
        <v>9750</v>
      </c>
      <c r="K3343" s="90">
        <v>2000.0</v>
      </c>
      <c r="L3343" s="92"/>
      <c r="M3343" s="93"/>
      <c r="N3343" s="87" t="s">
        <v>6725</v>
      </c>
      <c r="O3343" s="87" t="s">
        <v>377</v>
      </c>
      <c r="P3343" s="87" t="s">
        <v>372</v>
      </c>
    </row>
    <row r="3344" ht="15.75" customHeight="1">
      <c r="A3344" s="87" t="s">
        <v>9753</v>
      </c>
      <c r="B3344" s="88">
        <v>1.22E18</v>
      </c>
      <c r="C3344" s="87" t="s">
        <v>9754</v>
      </c>
      <c r="D3344" s="87" t="s">
        <v>56</v>
      </c>
      <c r="E3344" s="87" t="s">
        <v>259</v>
      </c>
      <c r="F3344" s="87" t="s">
        <v>415</v>
      </c>
      <c r="G3344" s="93"/>
      <c r="H3344" s="93"/>
      <c r="I3344" s="87" t="s">
        <v>58</v>
      </c>
      <c r="J3344" s="87" t="s">
        <v>9755</v>
      </c>
      <c r="K3344" s="90">
        <v>0.0</v>
      </c>
      <c r="L3344" s="92"/>
      <c r="M3344" s="93"/>
      <c r="N3344" s="87" t="s">
        <v>7614</v>
      </c>
      <c r="O3344" s="87" t="s">
        <v>377</v>
      </c>
      <c r="P3344" s="87" t="s">
        <v>372</v>
      </c>
    </row>
    <row r="3345" ht="15.75" customHeight="1">
      <c r="A3345" s="87" t="s">
        <v>9756</v>
      </c>
      <c r="B3345" s="88">
        <v>1.22E18</v>
      </c>
      <c r="C3345" s="87" t="s">
        <v>9757</v>
      </c>
      <c r="D3345" s="87" t="s">
        <v>262</v>
      </c>
      <c r="E3345" s="87" t="s">
        <v>263</v>
      </c>
      <c r="F3345" s="87" t="s">
        <v>415</v>
      </c>
      <c r="G3345" s="93"/>
      <c r="H3345" s="93"/>
      <c r="I3345" s="87" t="s">
        <v>58</v>
      </c>
      <c r="J3345" s="87" t="s">
        <v>9758</v>
      </c>
      <c r="K3345" s="90">
        <v>0.0</v>
      </c>
      <c r="L3345" s="92"/>
      <c r="M3345" s="93"/>
      <c r="N3345" s="87" t="s">
        <v>9759</v>
      </c>
      <c r="O3345" s="87" t="s">
        <v>377</v>
      </c>
      <c r="P3345" s="87" t="s">
        <v>372</v>
      </c>
    </row>
    <row r="3346" ht="15.75" customHeight="1">
      <c r="A3346" s="87" t="s">
        <v>9760</v>
      </c>
      <c r="B3346" s="88">
        <v>1.22E18</v>
      </c>
      <c r="C3346" s="87" t="s">
        <v>9761</v>
      </c>
      <c r="D3346" s="87" t="s">
        <v>262</v>
      </c>
      <c r="E3346" s="87" t="s">
        <v>263</v>
      </c>
      <c r="F3346" s="87" t="s">
        <v>415</v>
      </c>
      <c r="G3346" s="93"/>
      <c r="H3346" s="93"/>
      <c r="I3346" s="87" t="s">
        <v>58</v>
      </c>
      <c r="J3346" s="87" t="s">
        <v>7494</v>
      </c>
      <c r="K3346" s="90">
        <v>0.0</v>
      </c>
      <c r="L3346" s="92"/>
      <c r="M3346" s="93"/>
      <c r="N3346" s="87" t="s">
        <v>9762</v>
      </c>
      <c r="O3346" s="87" t="s">
        <v>377</v>
      </c>
      <c r="P3346" s="87" t="s">
        <v>372</v>
      </c>
    </row>
    <row r="3347" ht="15.75" customHeight="1">
      <c r="A3347" s="87" t="s">
        <v>9763</v>
      </c>
      <c r="B3347" s="88">
        <v>1.22E18</v>
      </c>
      <c r="C3347" s="87" t="s">
        <v>9764</v>
      </c>
      <c r="D3347" s="87" t="s">
        <v>262</v>
      </c>
      <c r="E3347" s="87" t="s">
        <v>267</v>
      </c>
      <c r="F3347" s="87" t="s">
        <v>1749</v>
      </c>
      <c r="H3347" s="93"/>
      <c r="I3347" s="87" t="s">
        <v>58</v>
      </c>
      <c r="J3347" s="87" t="s">
        <v>9765</v>
      </c>
      <c r="K3347" s="90">
        <v>0.0</v>
      </c>
      <c r="L3347" s="92"/>
      <c r="M3347" s="93"/>
      <c r="N3347" s="87" t="s">
        <v>1729</v>
      </c>
      <c r="O3347" s="87" t="s">
        <v>377</v>
      </c>
      <c r="P3347" s="87" t="s">
        <v>372</v>
      </c>
    </row>
    <row r="3348" ht="15.75" customHeight="1">
      <c r="A3348" s="87" t="s">
        <v>9766</v>
      </c>
      <c r="B3348" s="88">
        <v>1.22E18</v>
      </c>
      <c r="C3348" s="87" t="s">
        <v>9767</v>
      </c>
      <c r="D3348" s="87" t="s">
        <v>262</v>
      </c>
      <c r="E3348" s="87" t="s">
        <v>267</v>
      </c>
      <c r="F3348" s="87" t="s">
        <v>1749</v>
      </c>
      <c r="H3348" s="93"/>
      <c r="I3348" s="87" t="s">
        <v>5012</v>
      </c>
      <c r="J3348" s="87" t="s">
        <v>9768</v>
      </c>
      <c r="K3348" s="90">
        <v>0.0</v>
      </c>
      <c r="L3348" s="92"/>
      <c r="M3348" s="93"/>
      <c r="N3348" s="87" t="s">
        <v>1729</v>
      </c>
      <c r="O3348" s="87" t="s">
        <v>377</v>
      </c>
      <c r="P3348" s="87" t="s">
        <v>372</v>
      </c>
    </row>
    <row r="3349" ht="15.75" customHeight="1">
      <c r="A3349" s="87" t="s">
        <v>9769</v>
      </c>
      <c r="B3349" s="88">
        <v>1.22E18</v>
      </c>
      <c r="C3349" s="87" t="s">
        <v>9770</v>
      </c>
      <c r="D3349" s="87" t="s">
        <v>262</v>
      </c>
      <c r="E3349" s="87" t="s">
        <v>267</v>
      </c>
      <c r="F3349" s="87" t="s">
        <v>1749</v>
      </c>
      <c r="H3349" s="93"/>
      <c r="I3349" s="87" t="s">
        <v>58</v>
      </c>
      <c r="J3349" s="87" t="s">
        <v>9771</v>
      </c>
      <c r="K3349" s="90">
        <v>0.0</v>
      </c>
      <c r="L3349" s="92"/>
      <c r="M3349" s="93"/>
      <c r="N3349" s="87" t="s">
        <v>1729</v>
      </c>
      <c r="O3349" s="87" t="s">
        <v>377</v>
      </c>
      <c r="P3349" s="87" t="s">
        <v>372</v>
      </c>
    </row>
    <row r="3350" ht="15.75" customHeight="1">
      <c r="A3350" s="87" t="s">
        <v>9772</v>
      </c>
      <c r="B3350" s="88">
        <v>1.22E18</v>
      </c>
      <c r="C3350" s="87" t="s">
        <v>9773</v>
      </c>
      <c r="D3350" s="87" t="s">
        <v>262</v>
      </c>
      <c r="E3350" s="87" t="s">
        <v>267</v>
      </c>
      <c r="F3350" s="87" t="s">
        <v>1749</v>
      </c>
      <c r="H3350" s="93"/>
      <c r="I3350" s="87" t="s">
        <v>58</v>
      </c>
      <c r="J3350" s="87" t="s">
        <v>1594</v>
      </c>
      <c r="K3350" s="90">
        <v>0.0</v>
      </c>
      <c r="L3350" s="92"/>
      <c r="M3350" s="93"/>
      <c r="N3350" s="87" t="s">
        <v>1729</v>
      </c>
      <c r="O3350" s="87" t="s">
        <v>377</v>
      </c>
      <c r="P3350" s="87" t="s">
        <v>372</v>
      </c>
    </row>
    <row r="3351" ht="15.75" customHeight="1">
      <c r="A3351" s="87" t="s">
        <v>9774</v>
      </c>
      <c r="B3351" s="88">
        <v>1.22E18</v>
      </c>
      <c r="C3351" s="87" t="s">
        <v>9775</v>
      </c>
      <c r="D3351" s="87" t="s">
        <v>87</v>
      </c>
      <c r="E3351" s="87" t="s">
        <v>241</v>
      </c>
      <c r="F3351" s="87" t="s">
        <v>379</v>
      </c>
      <c r="G3351" s="93"/>
      <c r="H3351" s="93"/>
      <c r="I3351" s="87" t="s">
        <v>495</v>
      </c>
      <c r="J3351" s="87" t="s">
        <v>9776</v>
      </c>
      <c r="K3351" s="90">
        <v>96.0</v>
      </c>
      <c r="L3351" s="92"/>
      <c r="M3351" s="93"/>
      <c r="N3351" s="87" t="s">
        <v>9777</v>
      </c>
      <c r="O3351" s="87" t="s">
        <v>377</v>
      </c>
      <c r="P3351" s="87" t="s">
        <v>372</v>
      </c>
    </row>
    <row r="3352" ht="15.75" customHeight="1">
      <c r="A3352" s="87" t="s">
        <v>9778</v>
      </c>
      <c r="B3352" s="88">
        <v>1.22E18</v>
      </c>
      <c r="C3352" s="87" t="s">
        <v>9779</v>
      </c>
      <c r="D3352" s="87" t="s">
        <v>87</v>
      </c>
      <c r="E3352" s="87" t="s">
        <v>88</v>
      </c>
      <c r="F3352" s="87" t="s">
        <v>9779</v>
      </c>
      <c r="H3352" s="93"/>
      <c r="I3352" s="87" t="s">
        <v>1123</v>
      </c>
      <c r="J3352" s="87" t="s">
        <v>3849</v>
      </c>
      <c r="K3352" s="90">
        <v>0.0</v>
      </c>
      <c r="L3352" s="92"/>
      <c r="M3352" s="93"/>
      <c r="N3352" s="93"/>
      <c r="O3352" s="87" t="s">
        <v>377</v>
      </c>
      <c r="P3352" s="87" t="s">
        <v>372</v>
      </c>
    </row>
    <row r="3353" ht="15.75" customHeight="1">
      <c r="A3353" s="87" t="s">
        <v>9780</v>
      </c>
      <c r="B3353" s="88">
        <v>1.22E18</v>
      </c>
      <c r="C3353" s="87" t="s">
        <v>9781</v>
      </c>
      <c r="D3353" s="87" t="s">
        <v>56</v>
      </c>
      <c r="E3353" s="87" t="s">
        <v>102</v>
      </c>
      <c r="F3353" s="87" t="s">
        <v>1763</v>
      </c>
      <c r="I3353" s="87" t="s">
        <v>58</v>
      </c>
      <c r="J3353" s="87" t="s">
        <v>3183</v>
      </c>
      <c r="K3353" s="90">
        <v>0.0</v>
      </c>
      <c r="L3353" s="92"/>
      <c r="M3353" s="93"/>
      <c r="N3353" s="87" t="s">
        <v>9782</v>
      </c>
      <c r="O3353" s="87" t="s">
        <v>377</v>
      </c>
      <c r="P3353" s="87" t="s">
        <v>372</v>
      </c>
    </row>
    <row r="3354" ht="15.75" customHeight="1">
      <c r="A3354" s="87" t="s">
        <v>9783</v>
      </c>
      <c r="B3354" s="88">
        <v>1.22E18</v>
      </c>
      <c r="C3354" s="87" t="s">
        <v>9784</v>
      </c>
      <c r="D3354" s="87" t="s">
        <v>56</v>
      </c>
      <c r="E3354" s="87" t="s">
        <v>102</v>
      </c>
      <c r="F3354" s="87" t="s">
        <v>1763</v>
      </c>
      <c r="I3354" s="87" t="s">
        <v>58</v>
      </c>
      <c r="J3354" s="87" t="s">
        <v>3183</v>
      </c>
      <c r="K3354" s="90">
        <v>0.0</v>
      </c>
      <c r="L3354" s="92"/>
      <c r="M3354" s="93"/>
      <c r="N3354" s="87" t="s">
        <v>9782</v>
      </c>
      <c r="O3354" s="87" t="s">
        <v>377</v>
      </c>
      <c r="P3354" s="87" t="s">
        <v>372</v>
      </c>
    </row>
    <row r="3355" ht="15.75" customHeight="1">
      <c r="A3355" s="87" t="s">
        <v>9785</v>
      </c>
      <c r="B3355" s="88">
        <v>1.22E18</v>
      </c>
      <c r="C3355" s="87" t="s">
        <v>9786</v>
      </c>
      <c r="D3355" s="87" t="s">
        <v>87</v>
      </c>
      <c r="E3355" s="87" t="s">
        <v>241</v>
      </c>
      <c r="F3355" s="87" t="s">
        <v>379</v>
      </c>
      <c r="G3355" s="93"/>
      <c r="H3355" s="93"/>
      <c r="I3355" s="87" t="s">
        <v>58</v>
      </c>
      <c r="J3355" s="87" t="s">
        <v>2830</v>
      </c>
      <c r="K3355" s="90">
        <v>1.0</v>
      </c>
      <c r="L3355" s="92"/>
      <c r="M3355" s="93"/>
      <c r="N3355" s="87" t="s">
        <v>1844</v>
      </c>
      <c r="O3355" s="87" t="s">
        <v>377</v>
      </c>
      <c r="P3355" s="87" t="s">
        <v>372</v>
      </c>
    </row>
    <row r="3356" ht="15.75" customHeight="1">
      <c r="A3356" s="87" t="s">
        <v>9787</v>
      </c>
      <c r="B3356" s="88">
        <v>1.22E18</v>
      </c>
      <c r="C3356" s="87" t="s">
        <v>9788</v>
      </c>
      <c r="D3356" s="87" t="s">
        <v>56</v>
      </c>
      <c r="E3356" s="87" t="s">
        <v>102</v>
      </c>
      <c r="F3356" s="87" t="s">
        <v>1763</v>
      </c>
      <c r="I3356" s="87" t="s">
        <v>58</v>
      </c>
      <c r="J3356" s="87" t="s">
        <v>3175</v>
      </c>
      <c r="K3356" s="90">
        <v>0.0</v>
      </c>
      <c r="L3356" s="92"/>
      <c r="M3356" s="93"/>
      <c r="N3356" s="87" t="s">
        <v>4427</v>
      </c>
      <c r="O3356" s="87" t="s">
        <v>377</v>
      </c>
      <c r="P3356" s="87" t="s">
        <v>372</v>
      </c>
    </row>
    <row r="3357" ht="15.75" customHeight="1">
      <c r="A3357" s="87" t="s">
        <v>9789</v>
      </c>
      <c r="B3357" s="88">
        <v>1.22E18</v>
      </c>
      <c r="C3357" s="87" t="s">
        <v>9790</v>
      </c>
      <c r="D3357" s="87" t="s">
        <v>56</v>
      </c>
      <c r="E3357" s="87" t="s">
        <v>102</v>
      </c>
      <c r="F3357" s="87" t="s">
        <v>1763</v>
      </c>
      <c r="I3357" s="87" t="s">
        <v>58</v>
      </c>
      <c r="J3357" s="87" t="s">
        <v>9791</v>
      </c>
      <c r="K3357" s="90">
        <v>0.0</v>
      </c>
      <c r="L3357" s="92"/>
      <c r="M3357" s="93"/>
      <c r="N3357" s="87" t="s">
        <v>4427</v>
      </c>
      <c r="O3357" s="87" t="s">
        <v>377</v>
      </c>
      <c r="P3357" s="87" t="s">
        <v>372</v>
      </c>
    </row>
    <row r="3358" ht="15.75" customHeight="1">
      <c r="A3358" s="87" t="s">
        <v>9792</v>
      </c>
      <c r="B3358" s="88">
        <v>1.22E18</v>
      </c>
      <c r="C3358" s="87" t="s">
        <v>9793</v>
      </c>
      <c r="D3358" s="87" t="s">
        <v>56</v>
      </c>
      <c r="E3358" s="87" t="s">
        <v>102</v>
      </c>
      <c r="F3358" s="87" t="s">
        <v>1763</v>
      </c>
      <c r="I3358" s="87" t="s">
        <v>58</v>
      </c>
      <c r="J3358" s="87" t="s">
        <v>3175</v>
      </c>
      <c r="K3358" s="90">
        <v>0.0</v>
      </c>
      <c r="L3358" s="92"/>
      <c r="M3358" s="93"/>
      <c r="N3358" s="87" t="s">
        <v>4427</v>
      </c>
      <c r="O3358" s="87" t="s">
        <v>377</v>
      </c>
      <c r="P3358" s="87" t="s">
        <v>372</v>
      </c>
    </row>
    <row r="3359" ht="15.75" customHeight="1">
      <c r="A3359" s="87" t="s">
        <v>9794</v>
      </c>
      <c r="B3359" s="88">
        <v>1.22E18</v>
      </c>
      <c r="C3359" s="87" t="s">
        <v>9795</v>
      </c>
      <c r="D3359" s="87" t="s">
        <v>56</v>
      </c>
      <c r="E3359" s="87" t="s">
        <v>102</v>
      </c>
      <c r="F3359" s="87" t="s">
        <v>1763</v>
      </c>
      <c r="I3359" s="87" t="s">
        <v>58</v>
      </c>
      <c r="J3359" s="87" t="s">
        <v>9791</v>
      </c>
      <c r="K3359" s="90">
        <v>0.0</v>
      </c>
      <c r="L3359" s="92"/>
      <c r="M3359" s="93"/>
      <c r="N3359" s="87" t="s">
        <v>4427</v>
      </c>
      <c r="O3359" s="87" t="s">
        <v>377</v>
      </c>
      <c r="P3359" s="87" t="s">
        <v>372</v>
      </c>
    </row>
    <row r="3360" ht="15.75" customHeight="1">
      <c r="A3360" s="87" t="s">
        <v>9796</v>
      </c>
      <c r="B3360" s="88">
        <v>1.22E18</v>
      </c>
      <c r="C3360" s="87" t="s">
        <v>9797</v>
      </c>
      <c r="D3360" s="87" t="s">
        <v>56</v>
      </c>
      <c r="E3360" s="87" t="s">
        <v>102</v>
      </c>
      <c r="F3360" s="87" t="s">
        <v>1763</v>
      </c>
      <c r="I3360" s="87" t="s">
        <v>58</v>
      </c>
      <c r="J3360" s="87" t="s">
        <v>4363</v>
      </c>
      <c r="K3360" s="90">
        <v>0.0</v>
      </c>
      <c r="L3360" s="92"/>
      <c r="M3360" s="93"/>
      <c r="N3360" s="87" t="s">
        <v>4427</v>
      </c>
      <c r="O3360" s="87" t="s">
        <v>377</v>
      </c>
      <c r="P3360" s="87" t="s">
        <v>372</v>
      </c>
    </row>
    <row r="3361" ht="15.75" customHeight="1">
      <c r="A3361" s="87" t="s">
        <v>9798</v>
      </c>
      <c r="B3361" s="88">
        <v>1.22E18</v>
      </c>
      <c r="C3361" s="87" t="s">
        <v>9799</v>
      </c>
      <c r="D3361" s="87" t="s">
        <v>56</v>
      </c>
      <c r="E3361" s="87" t="s">
        <v>102</v>
      </c>
      <c r="F3361" s="87" t="s">
        <v>1763</v>
      </c>
      <c r="I3361" s="87" t="s">
        <v>58</v>
      </c>
      <c r="J3361" s="87" t="s">
        <v>4363</v>
      </c>
      <c r="K3361" s="90">
        <v>0.0</v>
      </c>
      <c r="L3361" s="92"/>
      <c r="M3361" s="93"/>
      <c r="N3361" s="87" t="s">
        <v>4427</v>
      </c>
      <c r="O3361" s="87" t="s">
        <v>377</v>
      </c>
      <c r="P3361" s="87" t="s">
        <v>372</v>
      </c>
    </row>
    <row r="3362" ht="15.75" customHeight="1">
      <c r="A3362" s="87" t="s">
        <v>9800</v>
      </c>
      <c r="B3362" s="88">
        <v>1.22E18</v>
      </c>
      <c r="C3362" s="87" t="s">
        <v>9801</v>
      </c>
      <c r="D3362" s="87" t="s">
        <v>87</v>
      </c>
      <c r="E3362" s="87" t="s">
        <v>88</v>
      </c>
      <c r="F3362" s="87" t="s">
        <v>1763</v>
      </c>
      <c r="I3362" s="87" t="s">
        <v>58</v>
      </c>
      <c r="J3362" s="87" t="s">
        <v>3175</v>
      </c>
      <c r="K3362" s="90">
        <v>0.0</v>
      </c>
      <c r="L3362" s="92"/>
      <c r="M3362" s="93"/>
      <c r="N3362" s="87" t="s">
        <v>4427</v>
      </c>
      <c r="O3362" s="87" t="s">
        <v>377</v>
      </c>
      <c r="P3362" s="87" t="s">
        <v>372</v>
      </c>
    </row>
    <row r="3363" ht="15.75" customHeight="1">
      <c r="A3363" s="87" t="s">
        <v>9802</v>
      </c>
      <c r="B3363" s="88">
        <v>1.22E18</v>
      </c>
      <c r="C3363" s="87" t="s">
        <v>9803</v>
      </c>
      <c r="D3363" s="87" t="s">
        <v>87</v>
      </c>
      <c r="E3363" s="87" t="s">
        <v>88</v>
      </c>
      <c r="F3363" s="87" t="s">
        <v>373</v>
      </c>
      <c r="H3363" s="93"/>
      <c r="I3363" s="87" t="s">
        <v>327</v>
      </c>
      <c r="J3363" s="87" t="s">
        <v>9804</v>
      </c>
      <c r="K3363" s="90">
        <v>0.0</v>
      </c>
      <c r="L3363" s="92"/>
      <c r="M3363" s="93"/>
      <c r="N3363" s="87" t="s">
        <v>390</v>
      </c>
      <c r="O3363" s="87" t="s">
        <v>377</v>
      </c>
      <c r="P3363" s="87" t="s">
        <v>372</v>
      </c>
    </row>
    <row r="3364" ht="15.75" customHeight="1">
      <c r="A3364" s="87" t="s">
        <v>9805</v>
      </c>
      <c r="B3364" s="88">
        <v>1.22E18</v>
      </c>
      <c r="C3364" s="87" t="s">
        <v>9806</v>
      </c>
      <c r="D3364" s="87" t="s">
        <v>87</v>
      </c>
      <c r="E3364" s="87" t="s">
        <v>88</v>
      </c>
      <c r="F3364" s="87" t="s">
        <v>373</v>
      </c>
      <c r="H3364" s="93"/>
      <c r="I3364" s="87" t="s">
        <v>1923</v>
      </c>
      <c r="J3364" s="87" t="s">
        <v>9807</v>
      </c>
      <c r="K3364" s="90">
        <v>600.0</v>
      </c>
      <c r="L3364" s="92"/>
      <c r="M3364" s="93"/>
      <c r="N3364" s="87" t="s">
        <v>390</v>
      </c>
      <c r="O3364" s="87" t="s">
        <v>377</v>
      </c>
      <c r="P3364" s="87" t="s">
        <v>372</v>
      </c>
    </row>
    <row r="3365" ht="15.75" customHeight="1">
      <c r="A3365" s="87" t="s">
        <v>9808</v>
      </c>
      <c r="B3365" s="88">
        <v>1.22E18</v>
      </c>
      <c r="C3365" s="87" t="s">
        <v>9809</v>
      </c>
      <c r="D3365" s="87" t="s">
        <v>56</v>
      </c>
      <c r="E3365" s="87" t="s">
        <v>102</v>
      </c>
      <c r="F3365" s="87" t="s">
        <v>1763</v>
      </c>
      <c r="I3365" s="87" t="s">
        <v>58</v>
      </c>
      <c r="J3365" s="87" t="s">
        <v>9810</v>
      </c>
      <c r="K3365" s="90">
        <v>150.0</v>
      </c>
      <c r="L3365" s="92"/>
      <c r="M3365" s="93"/>
      <c r="N3365" s="87" t="s">
        <v>4450</v>
      </c>
      <c r="O3365" s="87" t="s">
        <v>377</v>
      </c>
      <c r="P3365" s="87" t="s">
        <v>372</v>
      </c>
    </row>
    <row r="3366" ht="15.75" customHeight="1">
      <c r="A3366" s="87" t="s">
        <v>9811</v>
      </c>
      <c r="B3366" s="88">
        <v>1.22E18</v>
      </c>
      <c r="C3366" s="87" t="s">
        <v>9812</v>
      </c>
      <c r="D3366" s="87" t="s">
        <v>56</v>
      </c>
      <c r="E3366" s="87" t="s">
        <v>102</v>
      </c>
      <c r="F3366" s="87" t="s">
        <v>1763</v>
      </c>
      <c r="I3366" s="87" t="s">
        <v>8773</v>
      </c>
      <c r="J3366" s="87" t="s">
        <v>9813</v>
      </c>
      <c r="K3366" s="90">
        <v>1.0</v>
      </c>
      <c r="L3366" s="92"/>
      <c r="M3366" s="93"/>
      <c r="N3366" s="87" t="s">
        <v>474</v>
      </c>
      <c r="O3366" s="87" t="s">
        <v>377</v>
      </c>
      <c r="P3366" s="87" t="s">
        <v>372</v>
      </c>
    </row>
    <row r="3367" ht="15.75" customHeight="1">
      <c r="A3367" s="87" t="s">
        <v>9814</v>
      </c>
      <c r="B3367" s="88">
        <v>1.22E18</v>
      </c>
      <c r="C3367" s="87" t="s">
        <v>9815</v>
      </c>
      <c r="D3367" s="87" t="s">
        <v>87</v>
      </c>
      <c r="E3367" s="87" t="s">
        <v>102</v>
      </c>
      <c r="F3367" s="87" t="s">
        <v>1763</v>
      </c>
      <c r="I3367" s="87" t="s">
        <v>8773</v>
      </c>
      <c r="J3367" s="87" t="s">
        <v>9816</v>
      </c>
      <c r="K3367" s="90">
        <v>1.0</v>
      </c>
      <c r="L3367" s="92"/>
      <c r="M3367" s="93"/>
      <c r="N3367" s="87" t="s">
        <v>474</v>
      </c>
      <c r="O3367" s="87" t="s">
        <v>377</v>
      </c>
      <c r="P3367" s="87" t="s">
        <v>372</v>
      </c>
    </row>
    <row r="3368" ht="15.75" customHeight="1">
      <c r="A3368" s="87" t="s">
        <v>9817</v>
      </c>
      <c r="B3368" s="88">
        <v>1.22E18</v>
      </c>
      <c r="C3368" s="87" t="s">
        <v>9818</v>
      </c>
      <c r="D3368" s="87" t="s">
        <v>87</v>
      </c>
      <c r="E3368" s="87" t="s">
        <v>88</v>
      </c>
      <c r="F3368" s="87" t="s">
        <v>373</v>
      </c>
      <c r="H3368" s="93"/>
      <c r="I3368" s="87" t="s">
        <v>315</v>
      </c>
      <c r="J3368" s="87" t="s">
        <v>9819</v>
      </c>
      <c r="K3368" s="90">
        <v>0.0</v>
      </c>
      <c r="L3368" s="92"/>
      <c r="M3368" s="93"/>
      <c r="N3368" s="87" t="s">
        <v>2370</v>
      </c>
      <c r="O3368" s="87" t="s">
        <v>377</v>
      </c>
      <c r="P3368" s="87" t="s">
        <v>372</v>
      </c>
    </row>
    <row r="3369" ht="15.75" customHeight="1">
      <c r="A3369" s="87" t="s">
        <v>9820</v>
      </c>
      <c r="B3369" s="88">
        <v>1.22E18</v>
      </c>
      <c r="C3369" s="87" t="s">
        <v>9821</v>
      </c>
      <c r="D3369" s="87" t="s">
        <v>87</v>
      </c>
      <c r="E3369" s="87" t="s">
        <v>241</v>
      </c>
      <c r="F3369" s="87" t="s">
        <v>373</v>
      </c>
      <c r="H3369" s="93"/>
      <c r="I3369" s="87" t="s">
        <v>495</v>
      </c>
      <c r="J3369" s="87" t="s">
        <v>9822</v>
      </c>
      <c r="K3369" s="90">
        <v>0.0</v>
      </c>
      <c r="L3369" s="92"/>
      <c r="M3369" s="93"/>
      <c r="N3369" s="93"/>
      <c r="O3369" s="87" t="s">
        <v>377</v>
      </c>
      <c r="P3369" s="87" t="s">
        <v>372</v>
      </c>
    </row>
    <row r="3370" ht="15.75" customHeight="1">
      <c r="A3370" s="87" t="s">
        <v>9823</v>
      </c>
      <c r="B3370" s="88">
        <v>1.22E18</v>
      </c>
      <c r="C3370" s="87" t="s">
        <v>9824</v>
      </c>
      <c r="D3370" s="87" t="s">
        <v>262</v>
      </c>
      <c r="E3370" s="87" t="s">
        <v>263</v>
      </c>
      <c r="F3370" s="87" t="s">
        <v>415</v>
      </c>
      <c r="G3370" s="93"/>
      <c r="H3370" s="93"/>
      <c r="I3370" s="87" t="s">
        <v>58</v>
      </c>
      <c r="J3370" s="87" t="s">
        <v>9825</v>
      </c>
      <c r="K3370" s="90">
        <v>0.0</v>
      </c>
      <c r="L3370" s="92"/>
      <c r="M3370" s="93"/>
      <c r="N3370" s="87" t="s">
        <v>5875</v>
      </c>
      <c r="O3370" s="87" t="s">
        <v>377</v>
      </c>
      <c r="P3370" s="87" t="s">
        <v>372</v>
      </c>
    </row>
    <row r="3371" ht="15.75" customHeight="1">
      <c r="A3371" s="87" t="s">
        <v>9826</v>
      </c>
      <c r="B3371" s="88">
        <v>1.22E18</v>
      </c>
      <c r="C3371" s="87" t="s">
        <v>9827</v>
      </c>
      <c r="D3371" s="87" t="s">
        <v>262</v>
      </c>
      <c r="E3371" s="87" t="s">
        <v>263</v>
      </c>
      <c r="F3371" s="87" t="s">
        <v>415</v>
      </c>
      <c r="G3371" s="93"/>
      <c r="H3371" s="93"/>
      <c r="I3371" s="87" t="s">
        <v>58</v>
      </c>
      <c r="J3371" s="87" t="s">
        <v>9828</v>
      </c>
      <c r="K3371" s="90">
        <v>0.0</v>
      </c>
      <c r="L3371" s="92"/>
      <c r="M3371" s="93"/>
      <c r="N3371" s="87" t="s">
        <v>5875</v>
      </c>
      <c r="O3371" s="87" t="s">
        <v>377</v>
      </c>
      <c r="P3371" s="87" t="s">
        <v>372</v>
      </c>
    </row>
    <row r="3372" ht="15.75" customHeight="1">
      <c r="A3372" s="87" t="s">
        <v>9829</v>
      </c>
      <c r="B3372" s="88">
        <v>1.22E18</v>
      </c>
      <c r="C3372" s="87" t="s">
        <v>9830</v>
      </c>
      <c r="D3372" s="87" t="s">
        <v>262</v>
      </c>
      <c r="E3372" s="87" t="s">
        <v>263</v>
      </c>
      <c r="F3372" s="87" t="s">
        <v>415</v>
      </c>
      <c r="G3372" s="93"/>
      <c r="H3372" s="93"/>
      <c r="I3372" s="87" t="s">
        <v>58</v>
      </c>
      <c r="J3372" s="87" t="s">
        <v>9828</v>
      </c>
      <c r="K3372" s="90">
        <v>0.0</v>
      </c>
      <c r="L3372" s="92"/>
      <c r="M3372" s="93"/>
      <c r="N3372" s="87" t="s">
        <v>5875</v>
      </c>
      <c r="O3372" s="87" t="s">
        <v>377</v>
      </c>
      <c r="P3372" s="87" t="s">
        <v>372</v>
      </c>
    </row>
    <row r="3373" ht="15.75" customHeight="1">
      <c r="A3373" s="87" t="s">
        <v>9831</v>
      </c>
      <c r="B3373" s="88">
        <v>1.22E18</v>
      </c>
      <c r="C3373" s="87" t="s">
        <v>9832</v>
      </c>
      <c r="D3373" s="87" t="s">
        <v>262</v>
      </c>
      <c r="E3373" s="87" t="s">
        <v>263</v>
      </c>
      <c r="F3373" s="87" t="s">
        <v>415</v>
      </c>
      <c r="G3373" s="93"/>
      <c r="H3373" s="93"/>
      <c r="I3373" s="87" t="s">
        <v>58</v>
      </c>
      <c r="J3373" s="87" t="s">
        <v>9825</v>
      </c>
      <c r="K3373" s="90">
        <v>0.0</v>
      </c>
      <c r="L3373" s="92"/>
      <c r="M3373" s="93"/>
      <c r="N3373" s="87" t="s">
        <v>5875</v>
      </c>
      <c r="O3373" s="87" t="s">
        <v>377</v>
      </c>
      <c r="P3373" s="87" t="s">
        <v>372</v>
      </c>
    </row>
    <row r="3374" ht="15.75" customHeight="1">
      <c r="A3374" s="87" t="s">
        <v>9833</v>
      </c>
      <c r="B3374" s="88">
        <v>1.22E18</v>
      </c>
      <c r="C3374" s="87" t="s">
        <v>9834</v>
      </c>
      <c r="D3374" s="87" t="s">
        <v>262</v>
      </c>
      <c r="E3374" s="87" t="s">
        <v>263</v>
      </c>
      <c r="F3374" s="87" t="s">
        <v>415</v>
      </c>
      <c r="G3374" s="93"/>
      <c r="H3374" s="93"/>
      <c r="I3374" s="87" t="s">
        <v>58</v>
      </c>
      <c r="J3374" s="87" t="s">
        <v>9835</v>
      </c>
      <c r="K3374" s="90">
        <v>0.0</v>
      </c>
      <c r="L3374" s="92"/>
      <c r="M3374" s="93"/>
      <c r="N3374" s="87" t="s">
        <v>5875</v>
      </c>
      <c r="O3374" s="87" t="s">
        <v>377</v>
      </c>
      <c r="P3374" s="87" t="s">
        <v>372</v>
      </c>
    </row>
    <row r="3375" ht="15.75" customHeight="1">
      <c r="A3375" s="87" t="s">
        <v>9836</v>
      </c>
      <c r="B3375" s="88">
        <v>1.22E18</v>
      </c>
      <c r="C3375" s="87" t="s">
        <v>9837</v>
      </c>
      <c r="D3375" s="87" t="s">
        <v>56</v>
      </c>
      <c r="E3375" s="87" t="s">
        <v>102</v>
      </c>
      <c r="F3375" s="87" t="s">
        <v>1763</v>
      </c>
      <c r="I3375" s="87" t="s">
        <v>58</v>
      </c>
      <c r="J3375" s="87" t="s">
        <v>9838</v>
      </c>
      <c r="K3375" s="90">
        <v>2500.0</v>
      </c>
      <c r="L3375" s="92"/>
      <c r="M3375" s="93"/>
      <c r="N3375" s="87" t="s">
        <v>7614</v>
      </c>
      <c r="O3375" s="87" t="s">
        <v>377</v>
      </c>
      <c r="P3375" s="87" t="s">
        <v>372</v>
      </c>
    </row>
    <row r="3376" ht="15.75" customHeight="1">
      <c r="A3376" s="87" t="s">
        <v>9839</v>
      </c>
      <c r="B3376" s="88">
        <v>1.22E18</v>
      </c>
      <c r="C3376" s="87" t="s">
        <v>9840</v>
      </c>
      <c r="D3376" s="87" t="s">
        <v>56</v>
      </c>
      <c r="E3376" s="87" t="s">
        <v>102</v>
      </c>
      <c r="F3376" s="87" t="s">
        <v>1763</v>
      </c>
      <c r="I3376" s="87" t="s">
        <v>58</v>
      </c>
      <c r="J3376" s="87" t="s">
        <v>8734</v>
      </c>
      <c r="K3376" s="90">
        <v>2500.0</v>
      </c>
      <c r="L3376" s="92"/>
      <c r="M3376" s="93"/>
      <c r="N3376" s="87" t="s">
        <v>7614</v>
      </c>
      <c r="O3376" s="87" t="s">
        <v>377</v>
      </c>
      <c r="P3376" s="87" t="s">
        <v>372</v>
      </c>
    </row>
    <row r="3377" ht="15.75" customHeight="1">
      <c r="A3377" s="87" t="s">
        <v>9841</v>
      </c>
      <c r="B3377" s="88">
        <v>1.22E18</v>
      </c>
      <c r="C3377" s="87" t="s">
        <v>9842</v>
      </c>
      <c r="D3377" s="87" t="s">
        <v>56</v>
      </c>
      <c r="E3377" s="87" t="s">
        <v>102</v>
      </c>
      <c r="F3377" s="87" t="s">
        <v>1763</v>
      </c>
      <c r="I3377" s="87" t="s">
        <v>1923</v>
      </c>
      <c r="J3377" s="87" t="s">
        <v>9843</v>
      </c>
      <c r="K3377" s="90">
        <v>54864.0</v>
      </c>
      <c r="L3377" s="92"/>
      <c r="M3377" s="93"/>
      <c r="N3377" s="87" t="s">
        <v>2364</v>
      </c>
      <c r="O3377" s="87" t="s">
        <v>377</v>
      </c>
      <c r="P3377" s="87" t="s">
        <v>372</v>
      </c>
    </row>
    <row r="3378" ht="15.75" customHeight="1">
      <c r="A3378" s="87" t="s">
        <v>9844</v>
      </c>
      <c r="B3378" s="88">
        <v>1.22E18</v>
      </c>
      <c r="C3378" s="87" t="s">
        <v>9845</v>
      </c>
      <c r="D3378" s="87" t="s">
        <v>56</v>
      </c>
      <c r="E3378" s="87" t="s">
        <v>259</v>
      </c>
      <c r="F3378" s="87" t="s">
        <v>415</v>
      </c>
      <c r="G3378" s="93"/>
      <c r="H3378" s="93"/>
      <c r="I3378" s="87" t="s">
        <v>58</v>
      </c>
      <c r="J3378" s="87" t="s">
        <v>7624</v>
      </c>
      <c r="K3378" s="90">
        <v>0.0</v>
      </c>
      <c r="L3378" s="92"/>
      <c r="M3378" s="93"/>
      <c r="N3378" s="87" t="s">
        <v>5014</v>
      </c>
      <c r="O3378" s="87" t="s">
        <v>377</v>
      </c>
      <c r="P3378" s="87" t="s">
        <v>372</v>
      </c>
    </row>
    <row r="3379" ht="15.75" customHeight="1">
      <c r="A3379" s="87" t="s">
        <v>9846</v>
      </c>
      <c r="B3379" s="88">
        <v>1.22E18</v>
      </c>
      <c r="C3379" s="87" t="s">
        <v>9847</v>
      </c>
      <c r="D3379" s="87" t="s">
        <v>87</v>
      </c>
      <c r="E3379" s="87" t="s">
        <v>102</v>
      </c>
      <c r="F3379" s="87" t="s">
        <v>415</v>
      </c>
      <c r="G3379" s="93"/>
      <c r="H3379" s="93"/>
      <c r="I3379" s="87" t="s">
        <v>58</v>
      </c>
      <c r="J3379" s="87" t="s">
        <v>9848</v>
      </c>
      <c r="K3379" s="90">
        <v>0.0</v>
      </c>
      <c r="L3379" s="92"/>
      <c r="M3379" s="93"/>
      <c r="N3379" s="87" t="s">
        <v>9849</v>
      </c>
      <c r="O3379" s="87" t="s">
        <v>377</v>
      </c>
      <c r="P3379" s="87" t="s">
        <v>372</v>
      </c>
    </row>
    <row r="3380" ht="15.75" customHeight="1">
      <c r="A3380" s="87" t="s">
        <v>9850</v>
      </c>
      <c r="B3380" s="88">
        <v>1.22E18</v>
      </c>
      <c r="C3380" s="87" t="s">
        <v>9851</v>
      </c>
      <c r="D3380" s="87" t="s">
        <v>87</v>
      </c>
      <c r="E3380" s="87" t="s">
        <v>88</v>
      </c>
      <c r="F3380" s="118" t="s">
        <v>9851</v>
      </c>
      <c r="G3380" s="130"/>
      <c r="H3380" s="119"/>
      <c r="I3380" s="87" t="s">
        <v>9852</v>
      </c>
      <c r="J3380" s="87" t="s">
        <v>4240</v>
      </c>
      <c r="K3380" s="90">
        <v>0.0</v>
      </c>
      <c r="L3380" s="92"/>
      <c r="M3380" s="93"/>
      <c r="N3380" s="93"/>
      <c r="O3380" s="87" t="s">
        <v>377</v>
      </c>
      <c r="P3380" s="87" t="s">
        <v>372</v>
      </c>
    </row>
    <row r="3381" ht="15.75" customHeight="1">
      <c r="A3381" s="87" t="s">
        <v>9853</v>
      </c>
      <c r="B3381" s="88">
        <v>1.22E18</v>
      </c>
      <c r="C3381" s="87" t="s">
        <v>9854</v>
      </c>
      <c r="D3381" s="87" t="s">
        <v>56</v>
      </c>
      <c r="E3381" s="87" t="s">
        <v>102</v>
      </c>
      <c r="F3381" s="87" t="s">
        <v>1763</v>
      </c>
      <c r="I3381" s="87" t="s">
        <v>58</v>
      </c>
      <c r="J3381" s="87" t="s">
        <v>2852</v>
      </c>
      <c r="K3381" s="90">
        <v>0.0</v>
      </c>
      <c r="L3381" s="92"/>
      <c r="M3381" s="93"/>
      <c r="N3381" s="87" t="s">
        <v>9672</v>
      </c>
      <c r="O3381" s="87" t="s">
        <v>377</v>
      </c>
      <c r="P3381" s="87" t="s">
        <v>372</v>
      </c>
    </row>
    <row r="3382" ht="15.75" customHeight="1">
      <c r="A3382" s="87" t="s">
        <v>9855</v>
      </c>
      <c r="B3382" s="88">
        <v>1.22E18</v>
      </c>
      <c r="C3382" s="87" t="s">
        <v>9856</v>
      </c>
      <c r="D3382" s="87" t="s">
        <v>56</v>
      </c>
      <c r="E3382" s="87" t="s">
        <v>259</v>
      </c>
      <c r="F3382" s="87" t="s">
        <v>415</v>
      </c>
      <c r="G3382" s="93"/>
      <c r="H3382" s="93"/>
      <c r="I3382" s="87" t="s">
        <v>58</v>
      </c>
      <c r="J3382" s="87" t="s">
        <v>9857</v>
      </c>
      <c r="K3382" s="90">
        <v>1.0</v>
      </c>
      <c r="L3382" s="92"/>
      <c r="M3382" s="93"/>
      <c r="N3382" s="87" t="s">
        <v>7614</v>
      </c>
      <c r="O3382" s="87" t="s">
        <v>377</v>
      </c>
      <c r="P3382" s="87" t="s">
        <v>372</v>
      </c>
    </row>
    <row r="3383" ht="15.75" customHeight="1">
      <c r="A3383" s="87" t="s">
        <v>9858</v>
      </c>
      <c r="B3383" s="88">
        <v>1.22E18</v>
      </c>
      <c r="C3383" s="87" t="s">
        <v>9859</v>
      </c>
      <c r="D3383" s="87" t="s">
        <v>87</v>
      </c>
      <c r="E3383" s="87" t="s">
        <v>102</v>
      </c>
      <c r="F3383" s="87" t="s">
        <v>9859</v>
      </c>
      <c r="I3383" s="87" t="s">
        <v>58</v>
      </c>
      <c r="J3383" s="87" t="s">
        <v>9860</v>
      </c>
      <c r="K3383" s="90">
        <v>20.0</v>
      </c>
      <c r="L3383" s="92"/>
      <c r="M3383" s="93"/>
      <c r="N3383" s="93"/>
      <c r="O3383" s="87" t="s">
        <v>377</v>
      </c>
      <c r="P3383" s="87" t="s">
        <v>372</v>
      </c>
    </row>
    <row r="3384" ht="15.75" customHeight="1">
      <c r="A3384" s="87" t="s">
        <v>9861</v>
      </c>
      <c r="B3384" s="88">
        <v>1.22E18</v>
      </c>
      <c r="C3384" s="87" t="s">
        <v>9862</v>
      </c>
      <c r="D3384" s="87" t="s">
        <v>87</v>
      </c>
      <c r="E3384" s="87" t="s">
        <v>88</v>
      </c>
      <c r="F3384" s="87" t="s">
        <v>1763</v>
      </c>
      <c r="I3384" s="87" t="s">
        <v>58</v>
      </c>
      <c r="J3384" s="87" t="s">
        <v>9863</v>
      </c>
      <c r="K3384" s="90">
        <v>200.0</v>
      </c>
      <c r="L3384" s="92"/>
      <c r="M3384" s="93"/>
      <c r="N3384" s="87" t="s">
        <v>9864</v>
      </c>
      <c r="O3384" s="87" t="s">
        <v>377</v>
      </c>
      <c r="P3384" s="87" t="s">
        <v>372</v>
      </c>
    </row>
    <row r="3385" ht="15.75" customHeight="1">
      <c r="A3385" s="87" t="s">
        <v>9865</v>
      </c>
      <c r="B3385" s="88">
        <v>1.22E18</v>
      </c>
      <c r="C3385" s="87" t="s">
        <v>9866</v>
      </c>
      <c r="D3385" s="87" t="s">
        <v>87</v>
      </c>
      <c r="E3385" s="87" t="s">
        <v>88</v>
      </c>
      <c r="F3385" s="87" t="s">
        <v>373</v>
      </c>
      <c r="H3385" s="93"/>
      <c r="I3385" s="87" t="s">
        <v>340</v>
      </c>
      <c r="J3385" s="87" t="s">
        <v>9867</v>
      </c>
      <c r="K3385" s="90">
        <v>500000.0</v>
      </c>
      <c r="L3385" s="92"/>
      <c r="M3385" s="93"/>
      <c r="N3385" s="87" t="s">
        <v>390</v>
      </c>
      <c r="O3385" s="87" t="s">
        <v>377</v>
      </c>
      <c r="P3385" s="87" t="s">
        <v>372</v>
      </c>
    </row>
    <row r="3386" ht="15.75" customHeight="1">
      <c r="A3386" s="87" t="s">
        <v>9868</v>
      </c>
      <c r="B3386" s="88">
        <v>1.22E18</v>
      </c>
      <c r="C3386" s="87" t="s">
        <v>9869</v>
      </c>
      <c r="D3386" s="87" t="s">
        <v>262</v>
      </c>
      <c r="E3386" s="87" t="s">
        <v>263</v>
      </c>
      <c r="F3386" s="87" t="s">
        <v>415</v>
      </c>
      <c r="G3386" s="93"/>
      <c r="H3386" s="93"/>
      <c r="I3386" s="87" t="s">
        <v>58</v>
      </c>
      <c r="J3386" s="87" t="s">
        <v>2844</v>
      </c>
      <c r="K3386" s="90">
        <v>0.0</v>
      </c>
      <c r="L3386" s="92"/>
      <c r="M3386" s="93"/>
      <c r="N3386" s="87" t="s">
        <v>5364</v>
      </c>
      <c r="O3386" s="87" t="s">
        <v>377</v>
      </c>
      <c r="P3386" s="87" t="s">
        <v>372</v>
      </c>
    </row>
    <row r="3387" ht="15.75" customHeight="1">
      <c r="A3387" s="87" t="s">
        <v>9870</v>
      </c>
      <c r="B3387" s="88">
        <v>1.22E18</v>
      </c>
      <c r="C3387" s="87" t="s">
        <v>9871</v>
      </c>
      <c r="D3387" s="87" t="s">
        <v>262</v>
      </c>
      <c r="E3387" s="87" t="s">
        <v>263</v>
      </c>
      <c r="F3387" s="87" t="s">
        <v>415</v>
      </c>
      <c r="G3387" s="93"/>
      <c r="H3387" s="93"/>
      <c r="I3387" s="87" t="s">
        <v>58</v>
      </c>
      <c r="J3387" s="87" t="s">
        <v>2844</v>
      </c>
      <c r="K3387" s="90">
        <v>0.0</v>
      </c>
      <c r="L3387" s="92"/>
      <c r="M3387" s="93"/>
      <c r="N3387" s="87" t="s">
        <v>5364</v>
      </c>
      <c r="O3387" s="87" t="s">
        <v>377</v>
      </c>
      <c r="P3387" s="87" t="s">
        <v>372</v>
      </c>
    </row>
    <row r="3388" ht="15.75" customHeight="1">
      <c r="A3388" s="87" t="s">
        <v>9872</v>
      </c>
      <c r="B3388" s="88">
        <v>1.22E18</v>
      </c>
      <c r="C3388" s="87" t="s">
        <v>9873</v>
      </c>
      <c r="D3388" s="87" t="s">
        <v>262</v>
      </c>
      <c r="E3388" s="87" t="s">
        <v>275</v>
      </c>
      <c r="F3388" s="87" t="s">
        <v>1749</v>
      </c>
      <c r="H3388" s="93"/>
      <c r="I3388" s="87" t="s">
        <v>58</v>
      </c>
      <c r="J3388" s="87" t="s">
        <v>9874</v>
      </c>
      <c r="K3388" s="90">
        <v>2.0</v>
      </c>
      <c r="L3388" s="92"/>
      <c r="M3388" s="93"/>
      <c r="N3388" s="87" t="s">
        <v>2961</v>
      </c>
      <c r="O3388" s="87" t="s">
        <v>377</v>
      </c>
      <c r="P3388" s="87" t="s">
        <v>372</v>
      </c>
    </row>
    <row r="3389" ht="15.75" customHeight="1">
      <c r="A3389" s="87" t="s">
        <v>9875</v>
      </c>
      <c r="B3389" s="88">
        <v>1.22E18</v>
      </c>
      <c r="C3389" s="87" t="s">
        <v>9876</v>
      </c>
      <c r="D3389" s="87" t="s">
        <v>57</v>
      </c>
      <c r="E3389" s="87" t="s">
        <v>281</v>
      </c>
      <c r="F3389" s="87" t="s">
        <v>1763</v>
      </c>
      <c r="I3389" s="87" t="s">
        <v>58</v>
      </c>
      <c r="J3389" s="87" t="s">
        <v>9877</v>
      </c>
      <c r="K3389" s="90">
        <v>0.0</v>
      </c>
      <c r="L3389" s="92"/>
      <c r="M3389" s="93"/>
      <c r="N3389" s="87" t="s">
        <v>1772</v>
      </c>
      <c r="O3389" s="87" t="s">
        <v>377</v>
      </c>
      <c r="P3389" s="87" t="s">
        <v>372</v>
      </c>
    </row>
    <row r="3390" ht="15.75" customHeight="1">
      <c r="A3390" s="87" t="s">
        <v>9878</v>
      </c>
      <c r="B3390" s="88">
        <v>1.22E18</v>
      </c>
      <c r="C3390" s="87" t="s">
        <v>9879</v>
      </c>
      <c r="D3390" s="87" t="s">
        <v>56</v>
      </c>
      <c r="E3390" s="87" t="s">
        <v>259</v>
      </c>
      <c r="F3390" s="87" t="s">
        <v>1763</v>
      </c>
      <c r="I3390" s="87" t="s">
        <v>58</v>
      </c>
      <c r="J3390" s="87" t="s">
        <v>9880</v>
      </c>
      <c r="K3390" s="90">
        <v>0.0</v>
      </c>
      <c r="L3390" s="92"/>
      <c r="M3390" s="93"/>
      <c r="N3390" s="87" t="s">
        <v>1772</v>
      </c>
      <c r="O3390" s="87" t="s">
        <v>377</v>
      </c>
      <c r="P3390" s="87" t="s">
        <v>372</v>
      </c>
    </row>
    <row r="3391" ht="15.75" customHeight="1">
      <c r="A3391" s="87" t="s">
        <v>9881</v>
      </c>
      <c r="B3391" s="88">
        <v>1.22E18</v>
      </c>
      <c r="C3391" s="87" t="s">
        <v>9882</v>
      </c>
      <c r="D3391" s="87" t="s">
        <v>56</v>
      </c>
      <c r="E3391" s="87" t="s">
        <v>102</v>
      </c>
      <c r="F3391" s="87" t="s">
        <v>1763</v>
      </c>
      <c r="I3391" s="87" t="s">
        <v>8773</v>
      </c>
      <c r="J3391" s="87" t="s">
        <v>9883</v>
      </c>
      <c r="K3391" s="90">
        <v>0.0</v>
      </c>
      <c r="L3391" s="92"/>
      <c r="M3391" s="93"/>
      <c r="N3391" s="87" t="s">
        <v>1772</v>
      </c>
      <c r="O3391" s="87" t="s">
        <v>377</v>
      </c>
      <c r="P3391" s="87" t="s">
        <v>372</v>
      </c>
    </row>
    <row r="3392" ht="15.75" customHeight="1">
      <c r="A3392" s="87" t="s">
        <v>9884</v>
      </c>
      <c r="B3392" s="88">
        <v>1.22E18</v>
      </c>
      <c r="C3392" s="87" t="s">
        <v>9885</v>
      </c>
      <c r="D3392" s="87" t="s">
        <v>87</v>
      </c>
      <c r="E3392" s="87" t="s">
        <v>102</v>
      </c>
      <c r="F3392" s="87" t="s">
        <v>1763</v>
      </c>
      <c r="I3392" s="87" t="s">
        <v>58</v>
      </c>
      <c r="J3392" s="87" t="s">
        <v>9886</v>
      </c>
      <c r="K3392" s="90">
        <v>0.0</v>
      </c>
      <c r="L3392" s="92"/>
      <c r="M3392" s="93"/>
      <c r="N3392" s="87" t="s">
        <v>5018</v>
      </c>
      <c r="O3392" s="87" t="s">
        <v>377</v>
      </c>
      <c r="P3392" s="87" t="s">
        <v>372</v>
      </c>
    </row>
    <row r="3393" ht="15.75" customHeight="1">
      <c r="A3393" s="87" t="s">
        <v>9887</v>
      </c>
      <c r="B3393" s="88">
        <v>1.22E18</v>
      </c>
      <c r="C3393" s="87" t="s">
        <v>9888</v>
      </c>
      <c r="D3393" s="87" t="s">
        <v>262</v>
      </c>
      <c r="E3393" s="87" t="s">
        <v>270</v>
      </c>
      <c r="F3393" s="87" t="s">
        <v>1749</v>
      </c>
      <c r="H3393" s="93"/>
      <c r="I3393" s="87" t="s">
        <v>58</v>
      </c>
      <c r="J3393" s="87" t="s">
        <v>3738</v>
      </c>
      <c r="K3393" s="90">
        <v>0.0</v>
      </c>
      <c r="L3393" s="92"/>
      <c r="M3393" s="93"/>
      <c r="N3393" s="87" t="s">
        <v>5364</v>
      </c>
      <c r="O3393" s="87" t="s">
        <v>377</v>
      </c>
      <c r="P3393" s="87" t="s">
        <v>372</v>
      </c>
    </row>
    <row r="3394" ht="15.75" customHeight="1">
      <c r="A3394" s="87" t="s">
        <v>9889</v>
      </c>
      <c r="B3394" s="88">
        <v>1.22E18</v>
      </c>
      <c r="C3394" s="87" t="s">
        <v>9890</v>
      </c>
      <c r="D3394" s="87" t="s">
        <v>262</v>
      </c>
      <c r="E3394" s="87" t="s">
        <v>270</v>
      </c>
      <c r="F3394" s="87" t="s">
        <v>1749</v>
      </c>
      <c r="H3394" s="93"/>
      <c r="I3394" s="87" t="s">
        <v>58</v>
      </c>
      <c r="J3394" s="87" t="s">
        <v>5804</v>
      </c>
      <c r="K3394" s="90">
        <v>0.0</v>
      </c>
      <c r="L3394" s="92"/>
      <c r="M3394" s="93"/>
      <c r="N3394" s="87" t="s">
        <v>5364</v>
      </c>
      <c r="O3394" s="87" t="s">
        <v>377</v>
      </c>
      <c r="P3394" s="87" t="s">
        <v>372</v>
      </c>
    </row>
    <row r="3395" ht="15.75" customHeight="1">
      <c r="A3395" s="87" t="s">
        <v>9891</v>
      </c>
      <c r="B3395" s="88">
        <v>1.22E18</v>
      </c>
      <c r="C3395" s="87" t="s">
        <v>9892</v>
      </c>
      <c r="D3395" s="87" t="s">
        <v>262</v>
      </c>
      <c r="E3395" s="87" t="s">
        <v>270</v>
      </c>
      <c r="F3395" s="87" t="s">
        <v>1749</v>
      </c>
      <c r="H3395" s="93"/>
      <c r="I3395" s="87" t="s">
        <v>58</v>
      </c>
      <c r="J3395" s="87" t="s">
        <v>2070</v>
      </c>
      <c r="K3395" s="90">
        <v>0.0</v>
      </c>
      <c r="L3395" s="92"/>
      <c r="M3395" s="93"/>
      <c r="N3395" s="87" t="s">
        <v>5364</v>
      </c>
      <c r="O3395" s="87" t="s">
        <v>377</v>
      </c>
      <c r="P3395" s="87" t="s">
        <v>372</v>
      </c>
    </row>
    <row r="3396" ht="15.75" customHeight="1">
      <c r="A3396" s="87" t="s">
        <v>9893</v>
      </c>
      <c r="B3396" s="88">
        <v>1.22E18</v>
      </c>
      <c r="C3396" s="87" t="s">
        <v>9894</v>
      </c>
      <c r="D3396" s="87" t="s">
        <v>262</v>
      </c>
      <c r="E3396" s="87" t="s">
        <v>270</v>
      </c>
      <c r="F3396" s="87" t="s">
        <v>1749</v>
      </c>
      <c r="H3396" s="93"/>
      <c r="I3396" s="87" t="s">
        <v>58</v>
      </c>
      <c r="J3396" s="87" t="s">
        <v>2070</v>
      </c>
      <c r="K3396" s="90">
        <v>0.0</v>
      </c>
      <c r="L3396" s="92"/>
      <c r="M3396" s="93"/>
      <c r="N3396" s="87" t="s">
        <v>5364</v>
      </c>
      <c r="O3396" s="87" t="s">
        <v>377</v>
      </c>
      <c r="P3396" s="87" t="s">
        <v>372</v>
      </c>
    </row>
    <row r="3397" ht="15.75" customHeight="1">
      <c r="A3397" s="87" t="s">
        <v>9895</v>
      </c>
      <c r="B3397" s="88">
        <v>1.22E18</v>
      </c>
      <c r="C3397" s="87" t="s">
        <v>9896</v>
      </c>
      <c r="D3397" s="87" t="s">
        <v>56</v>
      </c>
      <c r="E3397" s="87" t="s">
        <v>248</v>
      </c>
      <c r="F3397" s="87" t="s">
        <v>1749</v>
      </c>
      <c r="H3397" s="93"/>
      <c r="I3397" s="87" t="s">
        <v>58</v>
      </c>
      <c r="J3397" s="87" t="s">
        <v>6606</v>
      </c>
      <c r="K3397" s="90">
        <v>0.0</v>
      </c>
      <c r="L3397" s="92"/>
      <c r="M3397" s="93"/>
      <c r="N3397" s="87" t="s">
        <v>5364</v>
      </c>
      <c r="O3397" s="87" t="s">
        <v>377</v>
      </c>
      <c r="P3397" s="87" t="s">
        <v>372</v>
      </c>
    </row>
    <row r="3398" ht="15.75" customHeight="1">
      <c r="A3398" s="87" t="s">
        <v>345</v>
      </c>
      <c r="B3398" s="88">
        <v>1.22E18</v>
      </c>
      <c r="C3398" s="87" t="s">
        <v>346</v>
      </c>
      <c r="D3398" s="87" t="s">
        <v>262</v>
      </c>
      <c r="E3398" s="87" t="s">
        <v>270</v>
      </c>
      <c r="F3398" s="87" t="s">
        <v>1749</v>
      </c>
      <c r="H3398" s="93"/>
      <c r="I3398" s="87" t="s">
        <v>58</v>
      </c>
      <c r="J3398" s="87" t="s">
        <v>3518</v>
      </c>
      <c r="K3398" s="90">
        <v>0.0</v>
      </c>
      <c r="L3398" s="92"/>
      <c r="M3398" s="93"/>
      <c r="N3398" s="87" t="s">
        <v>5364</v>
      </c>
      <c r="O3398" s="87" t="s">
        <v>377</v>
      </c>
      <c r="P3398" s="87" t="s">
        <v>372</v>
      </c>
    </row>
    <row r="3399" ht="15.75" customHeight="1">
      <c r="A3399" s="87" t="s">
        <v>9897</v>
      </c>
      <c r="B3399" s="88">
        <v>1.22E18</v>
      </c>
      <c r="C3399" s="87" t="s">
        <v>9898</v>
      </c>
      <c r="D3399" s="87" t="s">
        <v>262</v>
      </c>
      <c r="E3399" s="87" t="s">
        <v>270</v>
      </c>
      <c r="F3399" s="87" t="s">
        <v>1749</v>
      </c>
      <c r="H3399" s="93"/>
      <c r="I3399" s="87" t="s">
        <v>58</v>
      </c>
      <c r="J3399" s="87" t="s">
        <v>2844</v>
      </c>
      <c r="K3399" s="90">
        <v>0.0</v>
      </c>
      <c r="L3399" s="92"/>
      <c r="M3399" s="93"/>
      <c r="N3399" s="87" t="s">
        <v>5364</v>
      </c>
      <c r="O3399" s="87" t="s">
        <v>377</v>
      </c>
      <c r="P3399" s="87" t="s">
        <v>372</v>
      </c>
    </row>
    <row r="3400" ht="15.75" customHeight="1">
      <c r="A3400" s="87" t="s">
        <v>9899</v>
      </c>
      <c r="B3400" s="88">
        <v>1.22E18</v>
      </c>
      <c r="C3400" s="87" t="s">
        <v>9900</v>
      </c>
      <c r="D3400" s="87" t="s">
        <v>56</v>
      </c>
      <c r="E3400" s="87" t="s">
        <v>102</v>
      </c>
      <c r="F3400" s="87" t="s">
        <v>1763</v>
      </c>
      <c r="I3400" s="87" t="s">
        <v>58</v>
      </c>
      <c r="J3400" s="87" t="s">
        <v>3849</v>
      </c>
      <c r="K3400" s="90">
        <v>0.0</v>
      </c>
      <c r="L3400" s="92"/>
      <c r="M3400" s="93"/>
      <c r="N3400" s="87" t="s">
        <v>9901</v>
      </c>
      <c r="O3400" s="87" t="s">
        <v>377</v>
      </c>
      <c r="P3400" s="87" t="s">
        <v>372</v>
      </c>
    </row>
    <row r="3401" ht="15.75" customHeight="1">
      <c r="A3401" s="87" t="s">
        <v>9902</v>
      </c>
      <c r="B3401" s="88">
        <v>1.22E18</v>
      </c>
      <c r="C3401" s="87" t="s">
        <v>9903</v>
      </c>
      <c r="D3401" s="87" t="s">
        <v>87</v>
      </c>
      <c r="E3401" s="87" t="s">
        <v>88</v>
      </c>
      <c r="F3401" s="87" t="s">
        <v>373</v>
      </c>
      <c r="H3401" s="93"/>
      <c r="I3401" s="87" t="s">
        <v>327</v>
      </c>
      <c r="J3401" s="87" t="s">
        <v>9904</v>
      </c>
      <c r="K3401" s="90">
        <v>1000.0</v>
      </c>
      <c r="L3401" s="92"/>
      <c r="M3401" s="93"/>
      <c r="N3401" s="87" t="s">
        <v>390</v>
      </c>
      <c r="O3401" s="87" t="s">
        <v>377</v>
      </c>
      <c r="P3401" s="87" t="s">
        <v>372</v>
      </c>
    </row>
    <row r="3402" ht="15.75" customHeight="1">
      <c r="A3402" s="87" t="s">
        <v>9905</v>
      </c>
      <c r="B3402" s="88">
        <v>1.22E18</v>
      </c>
      <c r="C3402" s="87" t="s">
        <v>9906</v>
      </c>
      <c r="D3402" s="87" t="s">
        <v>57</v>
      </c>
      <c r="E3402" s="87" t="s">
        <v>290</v>
      </c>
      <c r="F3402" s="87" t="s">
        <v>9906</v>
      </c>
      <c r="I3402" s="87" t="s">
        <v>58</v>
      </c>
      <c r="J3402" s="87" t="s">
        <v>9907</v>
      </c>
      <c r="K3402" s="90">
        <v>1.0</v>
      </c>
      <c r="L3402" s="92"/>
      <c r="M3402" s="93"/>
      <c r="N3402" s="87" t="s">
        <v>4427</v>
      </c>
      <c r="O3402" s="87" t="s">
        <v>377</v>
      </c>
      <c r="P3402" s="87" t="s">
        <v>372</v>
      </c>
    </row>
    <row r="3403" ht="15.75" customHeight="1">
      <c r="A3403" s="87" t="s">
        <v>9908</v>
      </c>
      <c r="B3403" s="88">
        <v>1.22E18</v>
      </c>
      <c r="C3403" s="87" t="s">
        <v>9909</v>
      </c>
      <c r="D3403" s="87" t="s">
        <v>87</v>
      </c>
      <c r="E3403" s="87" t="s">
        <v>88</v>
      </c>
      <c r="F3403" s="87" t="s">
        <v>9909</v>
      </c>
      <c r="I3403" s="87" t="s">
        <v>340</v>
      </c>
      <c r="J3403" s="87" t="s">
        <v>1205</v>
      </c>
      <c r="K3403" s="90">
        <v>0.0</v>
      </c>
      <c r="L3403" s="92"/>
      <c r="M3403" s="93"/>
      <c r="N3403" s="93"/>
      <c r="O3403" s="87" t="s">
        <v>377</v>
      </c>
      <c r="P3403" s="87" t="s">
        <v>372</v>
      </c>
    </row>
    <row r="3404" ht="15.75" customHeight="1">
      <c r="A3404" s="87" t="s">
        <v>437</v>
      </c>
      <c r="B3404" s="88">
        <v>1.22E18</v>
      </c>
      <c r="C3404" s="87" t="s">
        <v>440</v>
      </c>
      <c r="D3404" s="87" t="s">
        <v>56</v>
      </c>
      <c r="E3404" s="87" t="s">
        <v>248</v>
      </c>
      <c r="F3404" s="118" t="s">
        <v>440</v>
      </c>
      <c r="G3404" s="130"/>
      <c r="H3404" s="119"/>
      <c r="I3404" s="87" t="s">
        <v>58</v>
      </c>
      <c r="J3404" s="87" t="s">
        <v>816</v>
      </c>
      <c r="K3404" s="90">
        <v>0.0</v>
      </c>
      <c r="L3404" s="92"/>
      <c r="M3404" s="93"/>
      <c r="N3404" s="93"/>
      <c r="O3404" s="87" t="s">
        <v>377</v>
      </c>
      <c r="P3404" s="87" t="s">
        <v>372</v>
      </c>
    </row>
    <row r="3405" ht="15.75" customHeight="1">
      <c r="A3405" s="87" t="s">
        <v>9910</v>
      </c>
      <c r="B3405" s="88">
        <v>1.22E18</v>
      </c>
      <c r="C3405" s="87" t="s">
        <v>9911</v>
      </c>
      <c r="D3405" s="87" t="s">
        <v>87</v>
      </c>
      <c r="E3405" s="87" t="s">
        <v>88</v>
      </c>
      <c r="F3405" s="118" t="s">
        <v>9911</v>
      </c>
      <c r="G3405" s="130"/>
      <c r="H3405" s="119"/>
      <c r="I3405" s="87" t="s">
        <v>58</v>
      </c>
      <c r="J3405" s="87" t="s">
        <v>9912</v>
      </c>
      <c r="K3405" s="90">
        <v>0.0</v>
      </c>
      <c r="L3405" s="92"/>
      <c r="M3405" s="93"/>
      <c r="N3405" s="93"/>
      <c r="O3405" s="87" t="s">
        <v>377</v>
      </c>
      <c r="P3405" s="87" t="s">
        <v>372</v>
      </c>
    </row>
    <row r="3406" ht="15.75" customHeight="1">
      <c r="A3406" s="87" t="s">
        <v>9913</v>
      </c>
      <c r="B3406" s="88">
        <v>1.22E18</v>
      </c>
      <c r="C3406" s="87" t="s">
        <v>9914</v>
      </c>
      <c r="D3406" s="87" t="s">
        <v>262</v>
      </c>
      <c r="E3406" s="87" t="s">
        <v>267</v>
      </c>
      <c r="F3406" s="118" t="s">
        <v>9914</v>
      </c>
      <c r="G3406" s="130"/>
      <c r="H3406" s="119"/>
      <c r="I3406" s="87" t="s">
        <v>58</v>
      </c>
      <c r="J3406" s="87" t="s">
        <v>4671</v>
      </c>
      <c r="K3406" s="90">
        <v>0.0</v>
      </c>
      <c r="L3406" s="92"/>
      <c r="M3406" s="93"/>
      <c r="N3406" s="93"/>
      <c r="O3406" s="87" t="s">
        <v>377</v>
      </c>
      <c r="P3406" s="87" t="s">
        <v>372</v>
      </c>
    </row>
    <row r="3407" ht="15.75" customHeight="1">
      <c r="A3407" s="87" t="s">
        <v>9915</v>
      </c>
      <c r="B3407" s="88">
        <v>1.22E18</v>
      </c>
      <c r="C3407" s="87" t="s">
        <v>9916</v>
      </c>
      <c r="D3407" s="87" t="s">
        <v>87</v>
      </c>
      <c r="E3407" s="87" t="s">
        <v>88</v>
      </c>
      <c r="F3407" s="87" t="s">
        <v>9916</v>
      </c>
      <c r="I3407" s="87" t="s">
        <v>58</v>
      </c>
      <c r="J3407" s="87" t="s">
        <v>4956</v>
      </c>
      <c r="K3407" s="90">
        <v>0.0</v>
      </c>
      <c r="L3407" s="92"/>
      <c r="M3407" s="93"/>
      <c r="N3407" s="93"/>
      <c r="O3407" s="87" t="s">
        <v>377</v>
      </c>
      <c r="P3407" s="87" t="s">
        <v>372</v>
      </c>
    </row>
    <row r="3408" ht="15.75" customHeight="1">
      <c r="A3408" s="87" t="s">
        <v>9917</v>
      </c>
      <c r="B3408" s="88">
        <v>1.22E18</v>
      </c>
      <c r="C3408" s="87" t="s">
        <v>9918</v>
      </c>
      <c r="D3408" s="87" t="s">
        <v>87</v>
      </c>
      <c r="E3408" s="87" t="s">
        <v>88</v>
      </c>
      <c r="F3408" s="118" t="s">
        <v>9918</v>
      </c>
      <c r="G3408" s="130"/>
      <c r="H3408" s="119"/>
      <c r="I3408" s="87" t="s">
        <v>58</v>
      </c>
      <c r="J3408" s="87" t="s">
        <v>9919</v>
      </c>
      <c r="K3408" s="90">
        <v>0.0</v>
      </c>
      <c r="L3408" s="92"/>
      <c r="M3408" s="93"/>
      <c r="N3408" s="93"/>
      <c r="O3408" s="87" t="s">
        <v>377</v>
      </c>
      <c r="P3408" s="87" t="s">
        <v>372</v>
      </c>
    </row>
    <row r="3409" ht="15.75" customHeight="1">
      <c r="A3409" s="87" t="s">
        <v>9920</v>
      </c>
      <c r="B3409" s="88">
        <v>1.22E18</v>
      </c>
      <c r="C3409" s="87" t="s">
        <v>9921</v>
      </c>
      <c r="D3409" s="87" t="s">
        <v>87</v>
      </c>
      <c r="E3409" s="87" t="s">
        <v>88</v>
      </c>
      <c r="F3409" s="87" t="s">
        <v>9921</v>
      </c>
      <c r="H3409" s="93"/>
      <c r="I3409" s="87" t="s">
        <v>58</v>
      </c>
      <c r="J3409" s="87" t="s">
        <v>9922</v>
      </c>
      <c r="K3409" s="90">
        <v>0.0</v>
      </c>
      <c r="L3409" s="92"/>
      <c r="M3409" s="93"/>
      <c r="N3409" s="87" t="s">
        <v>7152</v>
      </c>
      <c r="O3409" s="87" t="s">
        <v>377</v>
      </c>
      <c r="P3409" s="87" t="s">
        <v>372</v>
      </c>
    </row>
    <row r="3410" ht="15.75" customHeight="1">
      <c r="A3410" s="87" t="s">
        <v>9923</v>
      </c>
      <c r="B3410" s="88">
        <v>1.22E18</v>
      </c>
      <c r="C3410" s="87" t="s">
        <v>9924</v>
      </c>
      <c r="D3410" s="87" t="s">
        <v>87</v>
      </c>
      <c r="E3410" s="87" t="s">
        <v>88</v>
      </c>
      <c r="F3410" s="87" t="s">
        <v>9924</v>
      </c>
      <c r="H3410" s="93"/>
      <c r="I3410" s="87" t="s">
        <v>58</v>
      </c>
      <c r="J3410" s="87" t="s">
        <v>6733</v>
      </c>
      <c r="K3410" s="90">
        <v>0.0</v>
      </c>
      <c r="L3410" s="92"/>
      <c r="M3410" s="93"/>
      <c r="N3410" s="87" t="s">
        <v>7152</v>
      </c>
      <c r="O3410" s="87" t="s">
        <v>377</v>
      </c>
      <c r="P3410" s="87" t="s">
        <v>372</v>
      </c>
    </row>
    <row r="3411" ht="15.75" customHeight="1">
      <c r="A3411" s="87" t="s">
        <v>9925</v>
      </c>
      <c r="B3411" s="88">
        <v>1.22E18</v>
      </c>
      <c r="C3411" s="87" t="s">
        <v>9926</v>
      </c>
      <c r="D3411" s="87" t="s">
        <v>87</v>
      </c>
      <c r="E3411" s="87" t="s">
        <v>88</v>
      </c>
      <c r="F3411" s="87" t="s">
        <v>9926</v>
      </c>
      <c r="H3411" s="93"/>
      <c r="I3411" s="87" t="s">
        <v>58</v>
      </c>
      <c r="J3411" s="87" t="s">
        <v>2937</v>
      </c>
      <c r="K3411" s="90">
        <v>0.0</v>
      </c>
      <c r="L3411" s="92"/>
      <c r="M3411" s="93"/>
      <c r="N3411" s="87" t="s">
        <v>7152</v>
      </c>
      <c r="O3411" s="87" t="s">
        <v>377</v>
      </c>
      <c r="P3411" s="87" t="s">
        <v>372</v>
      </c>
    </row>
    <row r="3412" ht="15.75" customHeight="1">
      <c r="A3412" s="87" t="s">
        <v>9927</v>
      </c>
      <c r="B3412" s="88">
        <v>1.22E18</v>
      </c>
      <c r="C3412" s="87" t="s">
        <v>9928</v>
      </c>
      <c r="D3412" s="87" t="s">
        <v>87</v>
      </c>
      <c r="E3412" s="87" t="s">
        <v>88</v>
      </c>
      <c r="F3412" s="87" t="s">
        <v>9928</v>
      </c>
      <c r="G3412" s="93"/>
      <c r="H3412" s="93"/>
      <c r="I3412" s="87" t="s">
        <v>58</v>
      </c>
      <c r="J3412" s="87" t="s">
        <v>2937</v>
      </c>
      <c r="K3412" s="90">
        <v>0.0</v>
      </c>
      <c r="L3412" s="92"/>
      <c r="M3412" s="93"/>
      <c r="N3412" s="87" t="s">
        <v>7152</v>
      </c>
      <c r="O3412" s="87" t="s">
        <v>377</v>
      </c>
      <c r="P3412" s="87" t="s">
        <v>372</v>
      </c>
    </row>
    <row r="3413" ht="15.75" customHeight="1">
      <c r="A3413" s="87" t="s">
        <v>9929</v>
      </c>
      <c r="B3413" s="88">
        <v>1.22E18</v>
      </c>
      <c r="C3413" s="87" t="s">
        <v>9930</v>
      </c>
      <c r="D3413" s="87" t="s">
        <v>87</v>
      </c>
      <c r="E3413" s="87" t="s">
        <v>88</v>
      </c>
      <c r="F3413" s="87" t="s">
        <v>9930</v>
      </c>
      <c r="H3413" s="93"/>
      <c r="I3413" s="87" t="s">
        <v>58</v>
      </c>
      <c r="J3413" s="87" t="s">
        <v>2937</v>
      </c>
      <c r="K3413" s="90">
        <v>0.0</v>
      </c>
      <c r="L3413" s="92"/>
      <c r="M3413" s="93"/>
      <c r="N3413" s="87" t="s">
        <v>7152</v>
      </c>
      <c r="O3413" s="87" t="s">
        <v>377</v>
      </c>
      <c r="P3413" s="87" t="s">
        <v>372</v>
      </c>
    </row>
    <row r="3414" ht="15.75" customHeight="1">
      <c r="A3414" s="87" t="s">
        <v>9931</v>
      </c>
      <c r="B3414" s="88">
        <v>1.22E18</v>
      </c>
      <c r="C3414" s="87" t="s">
        <v>9932</v>
      </c>
      <c r="D3414" s="87" t="s">
        <v>262</v>
      </c>
      <c r="E3414" s="87" t="s">
        <v>278</v>
      </c>
      <c r="F3414" s="87" t="s">
        <v>9932</v>
      </c>
      <c r="I3414" s="87" t="s">
        <v>58</v>
      </c>
      <c r="J3414" s="87" t="s">
        <v>9933</v>
      </c>
      <c r="L3414" s="92"/>
      <c r="M3414" s="93"/>
      <c r="N3414" s="87" t="s">
        <v>9934</v>
      </c>
      <c r="O3414" s="87" t="s">
        <v>377</v>
      </c>
      <c r="P3414" s="87" t="s">
        <v>2565</v>
      </c>
    </row>
    <row r="3415" ht="15.75" customHeight="1">
      <c r="A3415" s="87" t="s">
        <v>9935</v>
      </c>
      <c r="B3415" s="88">
        <v>1.22E18</v>
      </c>
      <c r="C3415" s="87" t="s">
        <v>9936</v>
      </c>
      <c r="D3415" s="87" t="s">
        <v>262</v>
      </c>
      <c r="E3415" s="87" t="s">
        <v>278</v>
      </c>
      <c r="F3415" s="87" t="s">
        <v>9936</v>
      </c>
      <c r="I3415" s="87" t="s">
        <v>58</v>
      </c>
      <c r="J3415" s="87" t="s">
        <v>6810</v>
      </c>
      <c r="L3415" s="92"/>
      <c r="M3415" s="93"/>
      <c r="N3415" s="93"/>
      <c r="O3415" s="87" t="s">
        <v>377</v>
      </c>
      <c r="P3415" s="87" t="s">
        <v>2565</v>
      </c>
    </row>
    <row r="3416" ht="15.75" customHeight="1">
      <c r="A3416" s="87" t="s">
        <v>9937</v>
      </c>
      <c r="B3416" s="88">
        <v>1.22E18</v>
      </c>
      <c r="C3416" s="87" t="s">
        <v>9938</v>
      </c>
      <c r="D3416" s="87" t="s">
        <v>262</v>
      </c>
      <c r="E3416" s="87" t="s">
        <v>278</v>
      </c>
      <c r="F3416" s="87" t="s">
        <v>9938</v>
      </c>
      <c r="I3416" s="87" t="s">
        <v>58</v>
      </c>
      <c r="J3416" s="87" t="s">
        <v>8765</v>
      </c>
      <c r="L3416" s="92"/>
      <c r="M3416" s="93"/>
      <c r="N3416" s="87" t="s">
        <v>9934</v>
      </c>
      <c r="O3416" s="87" t="s">
        <v>377</v>
      </c>
      <c r="P3416" s="87" t="s">
        <v>2565</v>
      </c>
    </row>
    <row r="3417" ht="27.75" customHeight="1">
      <c r="A3417" s="133" t="s">
        <v>9939</v>
      </c>
      <c r="B3417" s="19"/>
      <c r="C3417" s="19"/>
      <c r="D3417" s="19"/>
      <c r="E3417" s="19"/>
      <c r="F3417" s="19"/>
      <c r="G3417" s="19"/>
      <c r="H3417" s="19"/>
      <c r="I3417" s="19"/>
      <c r="J3417" s="19"/>
      <c r="K3417" s="19"/>
      <c r="L3417" s="19"/>
      <c r="M3417" s="19"/>
      <c r="N3417" s="19"/>
      <c r="O3417" s="19"/>
      <c r="P3417" s="19"/>
      <c r="Q3417" s="19"/>
      <c r="R3417" s="20"/>
    </row>
    <row r="3418" ht="27.75" customHeight="1">
      <c r="A3418" s="134" t="s">
        <v>9940</v>
      </c>
      <c r="B3418" s="135"/>
      <c r="C3418" s="134" t="s">
        <v>69</v>
      </c>
      <c r="D3418" s="134" t="s">
        <v>56</v>
      </c>
      <c r="E3418" s="134" t="s">
        <v>59</v>
      </c>
      <c r="F3418" s="135"/>
      <c r="G3418" s="135"/>
      <c r="H3418" s="135"/>
      <c r="I3418" s="135"/>
      <c r="J3418" s="135"/>
      <c r="K3418" s="136">
        <v>1.0</v>
      </c>
      <c r="L3418" s="135"/>
      <c r="M3418" s="135"/>
      <c r="N3418" s="135"/>
      <c r="O3418" s="134" t="s">
        <v>377</v>
      </c>
      <c r="P3418" s="134" t="s">
        <v>372</v>
      </c>
      <c r="Q3418" s="137">
        <v>46212.983428101856</v>
      </c>
      <c r="R3418" s="134" t="s">
        <v>9941</v>
      </c>
    </row>
    <row r="3419" ht="27.75" customHeight="1">
      <c r="A3419" s="134" t="s">
        <v>9942</v>
      </c>
      <c r="B3419" s="135"/>
      <c r="C3419" s="134" t="s">
        <v>51</v>
      </c>
      <c r="D3419" s="134" t="s">
        <v>56</v>
      </c>
      <c r="E3419" s="134" t="s">
        <v>59</v>
      </c>
      <c r="F3419" s="135"/>
      <c r="G3419" s="135"/>
      <c r="H3419" s="135"/>
      <c r="I3419" s="135"/>
      <c r="J3419" s="135"/>
      <c r="K3419" s="136">
        <v>1.0</v>
      </c>
      <c r="L3419" s="135"/>
      <c r="M3419" s="135"/>
      <c r="N3419" s="135"/>
      <c r="O3419" s="134" t="s">
        <v>377</v>
      </c>
      <c r="P3419" s="134" t="s">
        <v>372</v>
      </c>
      <c r="Q3419" s="137">
        <v>46212.98393003472</v>
      </c>
      <c r="R3419" s="134" t="s">
        <v>9943</v>
      </c>
    </row>
    <row r="3420" ht="27.75" customHeight="1">
      <c r="A3420" s="134" t="s">
        <v>9944</v>
      </c>
      <c r="B3420" s="135"/>
      <c r="C3420" s="134" t="s">
        <v>83</v>
      </c>
      <c r="D3420" s="134" t="s">
        <v>87</v>
      </c>
      <c r="E3420" s="134" t="s">
        <v>88</v>
      </c>
      <c r="F3420" s="135"/>
      <c r="G3420" s="135"/>
      <c r="H3420" s="135"/>
      <c r="I3420" s="135"/>
      <c r="J3420" s="135"/>
      <c r="K3420" s="136">
        <v>1.0</v>
      </c>
      <c r="L3420" s="135"/>
      <c r="M3420" s="135"/>
      <c r="N3420" s="135"/>
      <c r="O3420" s="134" t="s">
        <v>377</v>
      </c>
      <c r="P3420" s="134" t="s">
        <v>372</v>
      </c>
      <c r="Q3420" s="137">
        <v>46212.99099547454</v>
      </c>
      <c r="R3420" s="134" t="s">
        <v>9945</v>
      </c>
    </row>
    <row r="3421" ht="27.75" customHeight="1">
      <c r="A3421" s="134" t="s">
        <v>9946</v>
      </c>
      <c r="B3421" s="135"/>
      <c r="C3421" s="134" t="s">
        <v>97</v>
      </c>
      <c r="D3421" s="134" t="s">
        <v>87</v>
      </c>
      <c r="E3421" s="134" t="s">
        <v>102</v>
      </c>
      <c r="F3421" s="135"/>
      <c r="G3421" s="135"/>
      <c r="H3421" s="135"/>
      <c r="I3421" s="134" t="s">
        <v>103</v>
      </c>
      <c r="J3421" s="135"/>
      <c r="K3421" s="136">
        <v>10.0</v>
      </c>
      <c r="L3421" s="135"/>
      <c r="M3421" s="135"/>
      <c r="N3421" s="135"/>
      <c r="O3421" s="134" t="s">
        <v>377</v>
      </c>
      <c r="P3421" s="134" t="s">
        <v>372</v>
      </c>
      <c r="Q3421" s="137">
        <v>46213.20325756945</v>
      </c>
      <c r="R3421" s="134" t="s">
        <v>9947</v>
      </c>
    </row>
    <row r="3422" ht="27.75" customHeight="1">
      <c r="A3422" s="134" t="s">
        <v>118</v>
      </c>
      <c r="B3422" s="135"/>
      <c r="C3422" s="134" t="s">
        <v>109</v>
      </c>
      <c r="D3422" s="134" t="s">
        <v>56</v>
      </c>
      <c r="E3422" s="134" t="s">
        <v>59</v>
      </c>
      <c r="F3422" s="135"/>
      <c r="G3422" s="135"/>
      <c r="H3422" s="134" t="s">
        <v>111</v>
      </c>
      <c r="I3422" s="134" t="s">
        <v>103</v>
      </c>
      <c r="J3422" s="135"/>
      <c r="K3422" s="136">
        <v>12.0</v>
      </c>
      <c r="L3422" s="135"/>
      <c r="M3422" s="135"/>
      <c r="N3422" s="134" t="s">
        <v>111</v>
      </c>
      <c r="O3422" s="134" t="s">
        <v>377</v>
      </c>
      <c r="P3422" s="134" t="s">
        <v>372</v>
      </c>
      <c r="Q3422" s="137">
        <v>46216.148166087965</v>
      </c>
      <c r="R3422" s="134" t="s">
        <v>9948</v>
      </c>
    </row>
    <row r="3423" ht="27.75" customHeight="1">
      <c r="A3423" s="134" t="s">
        <v>131</v>
      </c>
      <c r="B3423" s="135"/>
      <c r="C3423" s="134" t="s">
        <v>127</v>
      </c>
      <c r="D3423" s="134" t="s">
        <v>56</v>
      </c>
      <c r="E3423" s="134" t="s">
        <v>59</v>
      </c>
      <c r="F3423" s="135"/>
      <c r="G3423" s="135"/>
      <c r="H3423" s="134"/>
      <c r="I3423" s="134" t="s">
        <v>103</v>
      </c>
      <c r="J3423" s="135"/>
      <c r="K3423" s="136">
        <v>12.0</v>
      </c>
      <c r="L3423" s="135"/>
      <c r="M3423" s="135"/>
      <c r="N3423" s="134" t="s">
        <v>111</v>
      </c>
      <c r="O3423" s="134" t="s">
        <v>377</v>
      </c>
      <c r="P3423" s="134" t="s">
        <v>372</v>
      </c>
      <c r="Q3423" s="137">
        <v>46216.18693216435</v>
      </c>
      <c r="R3423" s="134" t="s">
        <v>9949</v>
      </c>
    </row>
    <row r="3424" ht="27.75" customHeight="1">
      <c r="A3424" s="134" t="s">
        <v>145</v>
      </c>
      <c r="B3424" s="135"/>
      <c r="C3424" s="134" t="s">
        <v>138</v>
      </c>
      <c r="D3424" s="134" t="s">
        <v>56</v>
      </c>
      <c r="E3424" s="134" t="s">
        <v>142</v>
      </c>
      <c r="F3424" s="135"/>
      <c r="G3424" s="135"/>
      <c r="H3424" s="134" t="s">
        <v>140</v>
      </c>
      <c r="I3424" s="134" t="s">
        <v>103</v>
      </c>
      <c r="J3424" s="135"/>
      <c r="K3424" s="136">
        <v>12.0</v>
      </c>
      <c r="L3424" s="135"/>
      <c r="M3424" s="135"/>
      <c r="N3424" s="134" t="s">
        <v>111</v>
      </c>
      <c r="O3424" s="134" t="s">
        <v>377</v>
      </c>
      <c r="P3424" s="134" t="s">
        <v>372</v>
      </c>
      <c r="Q3424" s="137">
        <v>46216.38344327547</v>
      </c>
      <c r="R3424" s="134" t="s">
        <v>9950</v>
      </c>
    </row>
    <row r="3425" ht="27.75" customHeight="1">
      <c r="A3425" s="134"/>
      <c r="B3425" s="135"/>
      <c r="C3425" s="134"/>
      <c r="D3425" s="134"/>
      <c r="E3425" s="134"/>
      <c r="F3425" s="135"/>
      <c r="G3425" s="135"/>
      <c r="H3425" s="134"/>
      <c r="I3425" s="134"/>
      <c r="J3425" s="135"/>
      <c r="K3425" s="136"/>
      <c r="L3425" s="135"/>
      <c r="M3425" s="135"/>
      <c r="N3425" s="134" t="s">
        <v>155</v>
      </c>
      <c r="O3425" s="134" t="s">
        <v>377</v>
      </c>
      <c r="P3425" s="134" t="s">
        <v>372</v>
      </c>
      <c r="Q3425" s="137">
        <v>46216.38628664352</v>
      </c>
      <c r="R3425" s="134" t="s">
        <v>9951</v>
      </c>
    </row>
    <row r="3426" ht="27.75" customHeight="1">
      <c r="A3426" s="134" t="s">
        <v>96</v>
      </c>
      <c r="B3426" s="135"/>
      <c r="C3426" s="134" t="s">
        <v>101</v>
      </c>
      <c r="D3426" s="134" t="s">
        <v>56</v>
      </c>
      <c r="E3426" s="134" t="s">
        <v>154</v>
      </c>
      <c r="F3426" s="135"/>
      <c r="G3426" s="135"/>
      <c r="H3426" s="134" t="s">
        <v>150</v>
      </c>
      <c r="I3426" s="134" t="s">
        <v>103</v>
      </c>
      <c r="J3426" s="135"/>
      <c r="K3426" s="136">
        <v>20.0</v>
      </c>
      <c r="L3426" s="135"/>
      <c r="M3426" s="135"/>
      <c r="N3426" s="134" t="s">
        <v>155</v>
      </c>
      <c r="O3426" s="134" t="s">
        <v>377</v>
      </c>
      <c r="P3426" s="134" t="s">
        <v>372</v>
      </c>
      <c r="Q3426" s="137">
        <v>46216.40818753472</v>
      </c>
      <c r="R3426" s="134" t="s">
        <v>9952</v>
      </c>
    </row>
  </sheetData>
  <mergeCells count="3197">
    <mergeCell ref="F1220:H1220"/>
    <mergeCell ref="F1221:H1221"/>
    <mergeCell ref="F1222:H1222"/>
    <mergeCell ref="F1223:H1223"/>
    <mergeCell ref="F1224:H1224"/>
    <mergeCell ref="F1225:H1225"/>
    <mergeCell ref="F1226:H1226"/>
    <mergeCell ref="F1227:H1227"/>
    <mergeCell ref="F1228:H1228"/>
    <mergeCell ref="F1229:H1229"/>
    <mergeCell ref="F1230:H1230"/>
    <mergeCell ref="F1231:H1231"/>
    <mergeCell ref="F1232:H1232"/>
    <mergeCell ref="F1234:H1234"/>
    <mergeCell ref="F1237:H1237"/>
    <mergeCell ref="F1238:H1238"/>
    <mergeCell ref="F1239:H1239"/>
    <mergeCell ref="F1240:H1240"/>
    <mergeCell ref="F1241:H1241"/>
    <mergeCell ref="F1242:H1242"/>
    <mergeCell ref="F1243:H1243"/>
    <mergeCell ref="F1245:H1245"/>
    <mergeCell ref="F1246:H1246"/>
    <mergeCell ref="F1247:H1247"/>
    <mergeCell ref="F1248:H1248"/>
    <mergeCell ref="F1249:H1249"/>
    <mergeCell ref="F1250:H1250"/>
    <mergeCell ref="F1251:H1251"/>
    <mergeCell ref="F1252:H1252"/>
    <mergeCell ref="F1253:H1253"/>
    <mergeCell ref="F1254:H1254"/>
    <mergeCell ref="F1255:H1255"/>
    <mergeCell ref="F1256:G1256"/>
    <mergeCell ref="F1257:H1257"/>
    <mergeCell ref="F1258:H1258"/>
    <mergeCell ref="F1259:H1259"/>
    <mergeCell ref="F1260:H1260"/>
    <mergeCell ref="F1261:H1261"/>
    <mergeCell ref="F1262:H1262"/>
    <mergeCell ref="F1263:H1263"/>
    <mergeCell ref="F1264:H1264"/>
    <mergeCell ref="F1265:H1265"/>
    <mergeCell ref="F1266:H1266"/>
    <mergeCell ref="F1267:H1267"/>
    <mergeCell ref="F1269:H1269"/>
    <mergeCell ref="F1270:H1270"/>
    <mergeCell ref="F1271:H1271"/>
    <mergeCell ref="F1272:H1272"/>
    <mergeCell ref="F1273:H1273"/>
    <mergeCell ref="F1274:H1274"/>
    <mergeCell ref="F1275:H1275"/>
    <mergeCell ref="F1276:H1276"/>
    <mergeCell ref="F1277:H1277"/>
    <mergeCell ref="F1278:H1278"/>
    <mergeCell ref="F1279:H1279"/>
    <mergeCell ref="F1280:H1280"/>
    <mergeCell ref="F1281:H1281"/>
    <mergeCell ref="F1282:H1282"/>
    <mergeCell ref="F1283:H1283"/>
    <mergeCell ref="F1284:H1284"/>
    <mergeCell ref="F1285:G1285"/>
    <mergeCell ref="J1285:K1285"/>
    <mergeCell ref="F1286:H1286"/>
    <mergeCell ref="F1287:H1287"/>
    <mergeCell ref="F1288:H1288"/>
    <mergeCell ref="F1289:H1289"/>
    <mergeCell ref="F1290:G1290"/>
    <mergeCell ref="F1291:H1291"/>
    <mergeCell ref="F1292:G1292"/>
    <mergeCell ref="F1293:G1293"/>
    <mergeCell ref="F1294:G1294"/>
    <mergeCell ref="F1295:H1295"/>
    <mergeCell ref="F1296:H1296"/>
    <mergeCell ref="F1300:G1300"/>
    <mergeCell ref="F1301:H1301"/>
    <mergeCell ref="F1302:G1302"/>
    <mergeCell ref="F1303:H1303"/>
    <mergeCell ref="F1305:H1305"/>
    <mergeCell ref="F1306:H1306"/>
    <mergeCell ref="F1307:G1307"/>
    <mergeCell ref="F1308:G1308"/>
    <mergeCell ref="F1309:H1309"/>
    <mergeCell ref="F1311:H1311"/>
    <mergeCell ref="F1313:H1313"/>
    <mergeCell ref="F1314:H1314"/>
    <mergeCell ref="F1315:H1315"/>
    <mergeCell ref="F1316:H1316"/>
    <mergeCell ref="F1317:H1317"/>
    <mergeCell ref="F1318:H1318"/>
    <mergeCell ref="F1319:H1319"/>
    <mergeCell ref="F1323:H1323"/>
    <mergeCell ref="F1324:H1324"/>
    <mergeCell ref="F1325:H1325"/>
    <mergeCell ref="J1325:K1325"/>
    <mergeCell ref="F1326:H1326"/>
    <mergeCell ref="F1327:H1327"/>
    <mergeCell ref="F1328:H1328"/>
    <mergeCell ref="F1329:H1329"/>
    <mergeCell ref="F1330:G1330"/>
    <mergeCell ref="F1331:H1331"/>
    <mergeCell ref="F1332:H1332"/>
    <mergeCell ref="F1333:G1333"/>
    <mergeCell ref="F1335:H1335"/>
    <mergeCell ref="J1335:K1335"/>
    <mergeCell ref="J1336:K1336"/>
    <mergeCell ref="F1336:H1336"/>
    <mergeCell ref="F1337:H1337"/>
    <mergeCell ref="F1338:H1338"/>
    <mergeCell ref="F1339:H1339"/>
    <mergeCell ref="F1340:H1340"/>
    <mergeCell ref="F1341:H1341"/>
    <mergeCell ref="F1342:H1342"/>
    <mergeCell ref="F1343:H1343"/>
    <mergeCell ref="F1344:H1344"/>
    <mergeCell ref="F1345:H1345"/>
    <mergeCell ref="F1346:H1346"/>
    <mergeCell ref="F1347:H1347"/>
    <mergeCell ref="F1348:H1348"/>
    <mergeCell ref="F1349:H1349"/>
    <mergeCell ref="F1350:H1350"/>
    <mergeCell ref="F1351:H1351"/>
    <mergeCell ref="F1352:H1352"/>
    <mergeCell ref="F1353:H1353"/>
    <mergeCell ref="F1354:H1354"/>
    <mergeCell ref="F1355:H1355"/>
    <mergeCell ref="F1357:H1357"/>
    <mergeCell ref="F1358:H1358"/>
    <mergeCell ref="F1359:H1359"/>
    <mergeCell ref="F1360:H1360"/>
    <mergeCell ref="F1361:H1361"/>
    <mergeCell ref="F1362:H1362"/>
    <mergeCell ref="F1363:G1363"/>
    <mergeCell ref="F1364:H1364"/>
    <mergeCell ref="F1365:H1365"/>
    <mergeCell ref="F1366:H1366"/>
    <mergeCell ref="F1367:H1367"/>
    <mergeCell ref="F1368:H1368"/>
    <mergeCell ref="F1369:H1369"/>
    <mergeCell ref="F1370:H1370"/>
    <mergeCell ref="F1371:H1371"/>
    <mergeCell ref="F1372:H1372"/>
    <mergeCell ref="F1373:H1373"/>
    <mergeCell ref="F1374:H1374"/>
    <mergeCell ref="F1375:H1375"/>
    <mergeCell ref="F1376:H1376"/>
    <mergeCell ref="F1377:H1377"/>
    <mergeCell ref="F1378:H1378"/>
    <mergeCell ref="F1379:H1379"/>
    <mergeCell ref="F1380:H1380"/>
    <mergeCell ref="J1380:K1380"/>
    <mergeCell ref="F1381:H1381"/>
    <mergeCell ref="J1381:K1381"/>
    <mergeCell ref="F1382:H1382"/>
    <mergeCell ref="J1382:K1382"/>
    <mergeCell ref="F1383:H1383"/>
    <mergeCell ref="F1384:H1384"/>
    <mergeCell ref="F1385:H1385"/>
    <mergeCell ref="F1386:H1386"/>
    <mergeCell ref="F1387:H1387"/>
    <mergeCell ref="F1388:H1388"/>
    <mergeCell ref="F1389:G1389"/>
    <mergeCell ref="F1390:G1390"/>
    <mergeCell ref="F1391:G1391"/>
    <mergeCell ref="F1392:G1392"/>
    <mergeCell ref="F1393:G1393"/>
    <mergeCell ref="F1396:H1396"/>
    <mergeCell ref="F1397:H1397"/>
    <mergeCell ref="F1398:H1398"/>
    <mergeCell ref="F1399:H1399"/>
    <mergeCell ref="F1400:H1400"/>
    <mergeCell ref="F1401:G1401"/>
    <mergeCell ref="F1402:H1402"/>
    <mergeCell ref="F1403:H1403"/>
    <mergeCell ref="F1404:H1404"/>
    <mergeCell ref="F1405:H1405"/>
    <mergeCell ref="F1406:H1406"/>
    <mergeCell ref="F1407:H1407"/>
    <mergeCell ref="F1408:H1408"/>
    <mergeCell ref="F1409:H1409"/>
    <mergeCell ref="F1410:H1410"/>
    <mergeCell ref="F1411:H1411"/>
    <mergeCell ref="F1412:G1412"/>
    <mergeCell ref="F1414:H1414"/>
    <mergeCell ref="J1414:K1414"/>
    <mergeCell ref="F1415:H1415"/>
    <mergeCell ref="F1416:H1416"/>
    <mergeCell ref="F1417:H1417"/>
    <mergeCell ref="F1418:H1418"/>
    <mergeCell ref="F1419:H1419"/>
    <mergeCell ref="J1433:K1433"/>
    <mergeCell ref="J1434:K1434"/>
    <mergeCell ref="J1435:K1435"/>
    <mergeCell ref="F1420:H1420"/>
    <mergeCell ref="F1421:H1421"/>
    <mergeCell ref="F1422:H1422"/>
    <mergeCell ref="F1424:H1424"/>
    <mergeCell ref="F1425:H1425"/>
    <mergeCell ref="F1426:H1426"/>
    <mergeCell ref="F1427:H1427"/>
    <mergeCell ref="F1428:H1428"/>
    <mergeCell ref="F1429:H1429"/>
    <mergeCell ref="F1430:H1430"/>
    <mergeCell ref="F1431:H1431"/>
    <mergeCell ref="F1432:H1432"/>
    <mergeCell ref="F1433:H1433"/>
    <mergeCell ref="F1434:H1434"/>
    <mergeCell ref="F1435:H1435"/>
    <mergeCell ref="F1436:G1436"/>
    <mergeCell ref="F1437:G1437"/>
    <mergeCell ref="F1438:G1438"/>
    <mergeCell ref="F1439:G1439"/>
    <mergeCell ref="F1440:G1440"/>
    <mergeCell ref="F1441:G1441"/>
    <mergeCell ref="F1442:H1442"/>
    <mergeCell ref="F1443:H1443"/>
    <mergeCell ref="F1444:H1444"/>
    <mergeCell ref="F1445:H1445"/>
    <mergeCell ref="F1446:H1446"/>
    <mergeCell ref="F1447:H1447"/>
    <mergeCell ref="F1448:H1448"/>
    <mergeCell ref="F1449:H1449"/>
    <mergeCell ref="F1450:H1450"/>
    <mergeCell ref="F1451:H1451"/>
    <mergeCell ref="F1452:H1452"/>
    <mergeCell ref="F1453:H1453"/>
    <mergeCell ref="F1454:H1454"/>
    <mergeCell ref="F1455:H1455"/>
    <mergeCell ref="F1456:H1456"/>
    <mergeCell ref="F1457:H1457"/>
    <mergeCell ref="F1458:H1458"/>
    <mergeCell ref="F1459:H1459"/>
    <mergeCell ref="F1460:H1460"/>
    <mergeCell ref="F1461:H1461"/>
    <mergeCell ref="F1462:H1462"/>
    <mergeCell ref="F1466:H1466"/>
    <mergeCell ref="F1470:H1470"/>
    <mergeCell ref="F1471:H1471"/>
    <mergeCell ref="F1472:H1472"/>
    <mergeCell ref="F1473:H1473"/>
    <mergeCell ref="F1474:H1474"/>
    <mergeCell ref="F1475:H1475"/>
    <mergeCell ref="F1476:H1476"/>
    <mergeCell ref="F1477:H1477"/>
    <mergeCell ref="F1478:H1478"/>
    <mergeCell ref="F1479:H1479"/>
    <mergeCell ref="F1480:H1480"/>
    <mergeCell ref="F1481:H1481"/>
    <mergeCell ref="F1482:H1482"/>
    <mergeCell ref="F1483:H1483"/>
    <mergeCell ref="F1484:H1484"/>
    <mergeCell ref="F1485:H1485"/>
    <mergeCell ref="F1486:H1486"/>
    <mergeCell ref="F1488:H1488"/>
    <mergeCell ref="F1489:H1489"/>
    <mergeCell ref="F1490:H1490"/>
    <mergeCell ref="F1491:H1491"/>
    <mergeCell ref="F1492:H1492"/>
    <mergeCell ref="F1493:H1493"/>
    <mergeCell ref="F1494:H1494"/>
    <mergeCell ref="F1495:H1495"/>
    <mergeCell ref="F1496:H1496"/>
    <mergeCell ref="F1497:H1497"/>
    <mergeCell ref="F1499:H1499"/>
    <mergeCell ref="F1500:H1500"/>
    <mergeCell ref="F1501:H1501"/>
    <mergeCell ref="F1502:H1502"/>
    <mergeCell ref="F1503:H1503"/>
    <mergeCell ref="F1504:H1504"/>
    <mergeCell ref="F1505:H1505"/>
    <mergeCell ref="F1506:H1506"/>
    <mergeCell ref="F1507:H1507"/>
    <mergeCell ref="F1512:H1512"/>
    <mergeCell ref="F1513:H1513"/>
    <mergeCell ref="F1514:H1514"/>
    <mergeCell ref="F1515:H1515"/>
    <mergeCell ref="F1516:H1516"/>
    <mergeCell ref="F1517:H1517"/>
    <mergeCell ref="F1518:H1518"/>
    <mergeCell ref="F1519:H1519"/>
    <mergeCell ref="F1520:H1520"/>
    <mergeCell ref="F1521:H1521"/>
    <mergeCell ref="F1522:H1522"/>
    <mergeCell ref="F1523:H1523"/>
    <mergeCell ref="F1525:H1525"/>
    <mergeCell ref="F1526:H1526"/>
    <mergeCell ref="F1528:G1528"/>
    <mergeCell ref="F1529:H1529"/>
    <mergeCell ref="F1530:H1530"/>
    <mergeCell ref="F1531:H1531"/>
    <mergeCell ref="F1532:H1532"/>
    <mergeCell ref="F1533:H1533"/>
    <mergeCell ref="F1534:H1534"/>
    <mergeCell ref="F1535:H1535"/>
    <mergeCell ref="F1536:H1536"/>
    <mergeCell ref="F1537:H1537"/>
    <mergeCell ref="F1538:H1538"/>
    <mergeCell ref="F1539:H1539"/>
    <mergeCell ref="F1540:H1540"/>
    <mergeCell ref="F1541:H1541"/>
    <mergeCell ref="F1542:H1542"/>
    <mergeCell ref="F1543:H1543"/>
    <mergeCell ref="F1544:H1544"/>
    <mergeCell ref="F1545:H1545"/>
    <mergeCell ref="F1546:H1546"/>
    <mergeCell ref="F1547:H1547"/>
    <mergeCell ref="F1548:H1548"/>
    <mergeCell ref="F1549:H1549"/>
    <mergeCell ref="F1550:H1550"/>
    <mergeCell ref="F1551:H1551"/>
    <mergeCell ref="F1552:H1552"/>
    <mergeCell ref="F1553:H1553"/>
    <mergeCell ref="F1554:H1554"/>
    <mergeCell ref="F1555:H1555"/>
    <mergeCell ref="F1556:H1556"/>
    <mergeCell ref="F1557:H1557"/>
    <mergeCell ref="F1558:H1558"/>
    <mergeCell ref="F1559:H1559"/>
    <mergeCell ref="F1560:H1560"/>
    <mergeCell ref="F1561:H1561"/>
    <mergeCell ref="F1562:H1562"/>
    <mergeCell ref="F1563:H1563"/>
    <mergeCell ref="F1564:H1564"/>
    <mergeCell ref="F1565:H1565"/>
    <mergeCell ref="F1566:H1566"/>
    <mergeCell ref="F1567:H1567"/>
    <mergeCell ref="F1568:H1568"/>
    <mergeCell ref="F1569:H1569"/>
    <mergeCell ref="F1570:G1570"/>
    <mergeCell ref="F1571:H1571"/>
    <mergeCell ref="F1572:H1572"/>
    <mergeCell ref="F1573:H1573"/>
    <mergeCell ref="F1574:H1574"/>
    <mergeCell ref="F1575:H1575"/>
    <mergeCell ref="F1576:G1576"/>
    <mergeCell ref="F1577:G1577"/>
    <mergeCell ref="F1578:G1578"/>
    <mergeCell ref="F1579:G1579"/>
    <mergeCell ref="F1580:G1580"/>
    <mergeCell ref="F1581:H1581"/>
    <mergeCell ref="F1582:G1582"/>
    <mergeCell ref="F1583:H1583"/>
    <mergeCell ref="F1584:H1584"/>
    <mergeCell ref="F1585:H1585"/>
    <mergeCell ref="F1586:H1586"/>
    <mergeCell ref="F1587:G1587"/>
    <mergeCell ref="F1588:G1588"/>
    <mergeCell ref="F1589:G1589"/>
    <mergeCell ref="F1590:H1590"/>
    <mergeCell ref="F1591:G1591"/>
    <mergeCell ref="F1594:H1594"/>
    <mergeCell ref="F1595:H1595"/>
    <mergeCell ref="F1596:H1596"/>
    <mergeCell ref="F1597:H1597"/>
    <mergeCell ref="F1598:H1598"/>
    <mergeCell ref="F1599:H1599"/>
    <mergeCell ref="F1600:H1600"/>
    <mergeCell ref="F1601:H1601"/>
    <mergeCell ref="F1602:H1602"/>
    <mergeCell ref="F1603:H1603"/>
    <mergeCell ref="F1604:H1604"/>
    <mergeCell ref="F1605:H1605"/>
    <mergeCell ref="F1606:H1606"/>
    <mergeCell ref="F1607:H1607"/>
    <mergeCell ref="F1608:H1608"/>
    <mergeCell ref="F1609:H1609"/>
    <mergeCell ref="F1610:H1610"/>
    <mergeCell ref="F1611:H1611"/>
    <mergeCell ref="F1612:H1612"/>
    <mergeCell ref="F1613:H1613"/>
    <mergeCell ref="F1614:H1614"/>
    <mergeCell ref="F1615:H1615"/>
    <mergeCell ref="J1615:K1615"/>
    <mergeCell ref="F1616:H1616"/>
    <mergeCell ref="F1618:H1618"/>
    <mergeCell ref="F1620:H1620"/>
    <mergeCell ref="F1621:H1621"/>
    <mergeCell ref="F1622:H1622"/>
    <mergeCell ref="F1623:H1623"/>
    <mergeCell ref="F1624:H1624"/>
    <mergeCell ref="F1625:H1625"/>
    <mergeCell ref="F1626:H1626"/>
    <mergeCell ref="F1627:H1627"/>
    <mergeCell ref="F1628:H1628"/>
    <mergeCell ref="F1629:H1629"/>
    <mergeCell ref="F1630:H1630"/>
    <mergeCell ref="F1632:H1632"/>
    <mergeCell ref="F1633:H1633"/>
    <mergeCell ref="F1634:H1634"/>
    <mergeCell ref="F1635:H1635"/>
    <mergeCell ref="F1636:H1636"/>
    <mergeCell ref="F1637:H1637"/>
    <mergeCell ref="F1638:H1638"/>
    <mergeCell ref="F1639:H1639"/>
    <mergeCell ref="F1640:H1640"/>
    <mergeCell ref="F1641:H1641"/>
    <mergeCell ref="F1642:H1642"/>
    <mergeCell ref="F1645:G1645"/>
    <mergeCell ref="F1646:H1646"/>
    <mergeCell ref="F1647:H1647"/>
    <mergeCell ref="F1648:H1648"/>
    <mergeCell ref="F1649:H1649"/>
    <mergeCell ref="F1650:H1650"/>
    <mergeCell ref="F1651:H1651"/>
    <mergeCell ref="F1652:H1652"/>
    <mergeCell ref="F1653:H1653"/>
    <mergeCell ref="F1654:H1654"/>
    <mergeCell ref="F1655:H1655"/>
    <mergeCell ref="F1656:G1656"/>
    <mergeCell ref="J1656:K1656"/>
    <mergeCell ref="F1657:H1657"/>
    <mergeCell ref="F1658:H1658"/>
    <mergeCell ref="F1659:H1659"/>
    <mergeCell ref="F1660:H1660"/>
    <mergeCell ref="F1661:H1661"/>
    <mergeCell ref="F1664:H1664"/>
    <mergeCell ref="F1665:H1665"/>
    <mergeCell ref="F1667:H1667"/>
    <mergeCell ref="F1668:H1668"/>
    <mergeCell ref="J1668:K1668"/>
    <mergeCell ref="F1670:H1670"/>
    <mergeCell ref="F1671:H1671"/>
    <mergeCell ref="F1672:H1672"/>
    <mergeCell ref="F1673:H1673"/>
    <mergeCell ref="F1674:G1674"/>
    <mergeCell ref="F1675:H1675"/>
    <mergeCell ref="F1676:H1676"/>
    <mergeCell ref="F1677:H1677"/>
    <mergeCell ref="F1678:H1678"/>
    <mergeCell ref="F1679:H1679"/>
    <mergeCell ref="F1680:H1680"/>
    <mergeCell ref="F1681:H1681"/>
    <mergeCell ref="F1682:G1682"/>
    <mergeCell ref="F1683:H1683"/>
    <mergeCell ref="F1685:H1685"/>
    <mergeCell ref="F1686:H1686"/>
    <mergeCell ref="F1687:H1687"/>
    <mergeCell ref="F1688:H1688"/>
    <mergeCell ref="F1689:H1689"/>
    <mergeCell ref="F1690:H1690"/>
    <mergeCell ref="F1691:H1691"/>
    <mergeCell ref="F1692:H1692"/>
    <mergeCell ref="F1693:H1693"/>
    <mergeCell ref="F1694:H1694"/>
    <mergeCell ref="F1695:H1695"/>
    <mergeCell ref="F1696:H1696"/>
    <mergeCell ref="F1697:H1697"/>
    <mergeCell ref="F1698:H1698"/>
    <mergeCell ref="F1699:H1699"/>
    <mergeCell ref="F1700:H1700"/>
    <mergeCell ref="F1701:H1701"/>
    <mergeCell ref="F1702:H1702"/>
    <mergeCell ref="F1703:H1703"/>
    <mergeCell ref="F1704:H1704"/>
    <mergeCell ref="F1705:H1705"/>
    <mergeCell ref="F1706:G1706"/>
    <mergeCell ref="F1707:H1707"/>
    <mergeCell ref="F1712:G1712"/>
    <mergeCell ref="F1713:H1713"/>
    <mergeCell ref="F1714:H1714"/>
    <mergeCell ref="F1715:H1715"/>
    <mergeCell ref="F1716:H1716"/>
    <mergeCell ref="F1717:H1717"/>
    <mergeCell ref="F1718:H1718"/>
    <mergeCell ref="F1719:H1719"/>
    <mergeCell ref="F1720:H1720"/>
    <mergeCell ref="F1721:H1721"/>
    <mergeCell ref="F1722:H1722"/>
    <mergeCell ref="F1723:H1723"/>
    <mergeCell ref="F1724:H1724"/>
    <mergeCell ref="F1725:H1725"/>
    <mergeCell ref="F1726:H1726"/>
    <mergeCell ref="F1727:H1727"/>
    <mergeCell ref="F1729:H1729"/>
    <mergeCell ref="F1730:H1730"/>
    <mergeCell ref="F1731:G1731"/>
    <mergeCell ref="F1732:G1732"/>
    <mergeCell ref="F1733:G1733"/>
    <mergeCell ref="F1734:G1734"/>
    <mergeCell ref="F1735:H1735"/>
    <mergeCell ref="F1736:H1736"/>
    <mergeCell ref="F1737:G1737"/>
    <mergeCell ref="F1738:H1738"/>
    <mergeCell ref="F1739:H1739"/>
    <mergeCell ref="J1739:K1739"/>
    <mergeCell ref="F1740:H1740"/>
    <mergeCell ref="F1742:H1742"/>
    <mergeCell ref="F1743:H1743"/>
    <mergeCell ref="F1744:H1744"/>
    <mergeCell ref="F1745:H1745"/>
    <mergeCell ref="F1746:H1746"/>
    <mergeCell ref="F1747:H1747"/>
    <mergeCell ref="F1748:G1748"/>
    <mergeCell ref="F1750:H1750"/>
    <mergeCell ref="F1751:H1751"/>
    <mergeCell ref="F1752:H1752"/>
    <mergeCell ref="F1753:H1753"/>
    <mergeCell ref="F1754:H1754"/>
    <mergeCell ref="F1755:H1755"/>
    <mergeCell ref="J1755:K1755"/>
    <mergeCell ref="F1756:H1756"/>
    <mergeCell ref="F1757:H1757"/>
    <mergeCell ref="J1757:K1757"/>
    <mergeCell ref="F1758:H1758"/>
    <mergeCell ref="F1759:G1759"/>
    <mergeCell ref="F1760:G1760"/>
    <mergeCell ref="F1761:G1761"/>
    <mergeCell ref="F1762:G1762"/>
    <mergeCell ref="F1763:H1763"/>
    <mergeCell ref="F1766:H1766"/>
    <mergeCell ref="F1767:H1767"/>
    <mergeCell ref="F1768:H1768"/>
    <mergeCell ref="F1769:H1769"/>
    <mergeCell ref="F1770:G1770"/>
    <mergeCell ref="F1771:H1771"/>
    <mergeCell ref="F1772:H1772"/>
    <mergeCell ref="F1773:H1773"/>
    <mergeCell ref="F1774:H1774"/>
    <mergeCell ref="F1775:H1775"/>
    <mergeCell ref="F1776:G1776"/>
    <mergeCell ref="F1777:H1777"/>
    <mergeCell ref="F1778:H1778"/>
    <mergeCell ref="F1779:H1779"/>
    <mergeCell ref="F1780:H1780"/>
    <mergeCell ref="F1781:H1781"/>
    <mergeCell ref="F1782:H1782"/>
    <mergeCell ref="F1783:H1783"/>
    <mergeCell ref="F1784:H1784"/>
    <mergeCell ref="F1785:H1785"/>
    <mergeCell ref="F1786:H1786"/>
    <mergeCell ref="F1787:H1787"/>
    <mergeCell ref="F1788:H1788"/>
    <mergeCell ref="F1789:H1789"/>
    <mergeCell ref="F1790:H1790"/>
    <mergeCell ref="F1791:H1791"/>
    <mergeCell ref="F1792:H1792"/>
    <mergeCell ref="F1793:H1793"/>
    <mergeCell ref="F1794:G1794"/>
    <mergeCell ref="J1794:K1794"/>
    <mergeCell ref="F1795:H1795"/>
    <mergeCell ref="F1796:G1796"/>
    <mergeCell ref="F1797:H1797"/>
    <mergeCell ref="F1798:H1798"/>
    <mergeCell ref="F1799:G1799"/>
    <mergeCell ref="F1800:G1800"/>
    <mergeCell ref="F1801:G1801"/>
    <mergeCell ref="F1802:G1802"/>
    <mergeCell ref="F1803:G1803"/>
    <mergeCell ref="F1804:G1804"/>
    <mergeCell ref="F1809:H1809"/>
    <mergeCell ref="F1810:H1810"/>
    <mergeCell ref="F1811:H1811"/>
    <mergeCell ref="F1812:H1812"/>
    <mergeCell ref="F1813:H1813"/>
    <mergeCell ref="F1814:H1814"/>
    <mergeCell ref="F1815:H1815"/>
    <mergeCell ref="F1816:H1816"/>
    <mergeCell ref="F1817:H1817"/>
    <mergeCell ref="F1821:H1821"/>
    <mergeCell ref="F1822:H1822"/>
    <mergeCell ref="F1823:H1823"/>
    <mergeCell ref="F1824:H1824"/>
    <mergeCell ref="F1826:H1826"/>
    <mergeCell ref="F1827:H1827"/>
    <mergeCell ref="F1831:H1831"/>
    <mergeCell ref="F1832:H1832"/>
    <mergeCell ref="F1833:H1833"/>
    <mergeCell ref="F1834:H1834"/>
    <mergeCell ref="F1835:H1835"/>
    <mergeCell ref="F1836:H1836"/>
    <mergeCell ref="F1837:H1837"/>
    <mergeCell ref="F1838:H1838"/>
    <mergeCell ref="F1839:H1839"/>
    <mergeCell ref="F1840:G1840"/>
    <mergeCell ref="F1841:H1841"/>
    <mergeCell ref="F1842:H1842"/>
    <mergeCell ref="F1845:H1845"/>
    <mergeCell ref="F1847:H1847"/>
    <mergeCell ref="F1849:H1849"/>
    <mergeCell ref="F1850:H1850"/>
    <mergeCell ref="F1851:H1851"/>
    <mergeCell ref="F1852:H1852"/>
    <mergeCell ref="F1853:H1853"/>
    <mergeCell ref="F1854:H1854"/>
    <mergeCell ref="F1855:H1855"/>
    <mergeCell ref="F1909:H1909"/>
    <mergeCell ref="J1909:K1909"/>
    <mergeCell ref="F1910:H1910"/>
    <mergeCell ref="F1911:G1911"/>
    <mergeCell ref="F1913:H1913"/>
    <mergeCell ref="J1913:K1913"/>
    <mergeCell ref="F1915:H1915"/>
    <mergeCell ref="F1916:H1916"/>
    <mergeCell ref="F1917:H1917"/>
    <mergeCell ref="F1856:H1856"/>
    <mergeCell ref="F1857:H1857"/>
    <mergeCell ref="F1858:H1858"/>
    <mergeCell ref="F1859:H1859"/>
    <mergeCell ref="F1860:H1860"/>
    <mergeCell ref="F1861:H1861"/>
    <mergeCell ref="F1862:H1862"/>
    <mergeCell ref="F1863:H1863"/>
    <mergeCell ref="F1864:H1864"/>
    <mergeCell ref="F1866:G1866"/>
    <mergeCell ref="F1867:H1867"/>
    <mergeCell ref="F1868:H1868"/>
    <mergeCell ref="F1869:H1869"/>
    <mergeCell ref="F1870:H1870"/>
    <mergeCell ref="F1871:H1871"/>
    <mergeCell ref="F1874:H1874"/>
    <mergeCell ref="F1875:H1875"/>
    <mergeCell ref="F1876:H1876"/>
    <mergeCell ref="F1877:G1877"/>
    <mergeCell ref="F1878:H1878"/>
    <mergeCell ref="F1879:G1879"/>
    <mergeCell ref="F1880:G1880"/>
    <mergeCell ref="F1881:G1881"/>
    <mergeCell ref="F1882:H1882"/>
    <mergeCell ref="F1883:G1883"/>
    <mergeCell ref="J1883:K1883"/>
    <mergeCell ref="F1884:H1884"/>
    <mergeCell ref="F1885:H1885"/>
    <mergeCell ref="F1886:H1886"/>
    <mergeCell ref="F1887:H1887"/>
    <mergeCell ref="F1889:H1889"/>
    <mergeCell ref="F1890:H1890"/>
    <mergeCell ref="F1893:H1893"/>
    <mergeCell ref="F1896:H1896"/>
    <mergeCell ref="F1898:H1898"/>
    <mergeCell ref="F1899:H1899"/>
    <mergeCell ref="F1900:H1900"/>
    <mergeCell ref="F1901:H1901"/>
    <mergeCell ref="F1903:H1903"/>
    <mergeCell ref="F1904:H1904"/>
    <mergeCell ref="F1907:H1907"/>
    <mergeCell ref="F1908:H1908"/>
    <mergeCell ref="F1918:H1918"/>
    <mergeCell ref="F1919:H1919"/>
    <mergeCell ref="F1920:H1920"/>
    <mergeCell ref="F1921:H1921"/>
    <mergeCell ref="F1922:H1922"/>
    <mergeCell ref="F1923:H1923"/>
    <mergeCell ref="F1925:H1925"/>
    <mergeCell ref="F2265:H2265"/>
    <mergeCell ref="F2266:H2266"/>
    <mergeCell ref="F2267:H2267"/>
    <mergeCell ref="F2268:H2268"/>
    <mergeCell ref="F2269:H2269"/>
    <mergeCell ref="F2270:H2270"/>
    <mergeCell ref="F2271:H2271"/>
    <mergeCell ref="F2272:H2272"/>
    <mergeCell ref="F2273:H2273"/>
    <mergeCell ref="F2274:H2274"/>
    <mergeCell ref="F2275:G2275"/>
    <mergeCell ref="F2276:H2276"/>
    <mergeCell ref="F2277:H2277"/>
    <mergeCell ref="F2278:H2278"/>
    <mergeCell ref="F2279:G2279"/>
    <mergeCell ref="F2280:G2280"/>
    <mergeCell ref="F2281:H2281"/>
    <mergeCell ref="F2282:H2282"/>
    <mergeCell ref="F2283:G2283"/>
    <mergeCell ref="F2284:H2284"/>
    <mergeCell ref="F2285:H2285"/>
    <mergeCell ref="F2286:G2286"/>
    <mergeCell ref="F2287:H2287"/>
    <mergeCell ref="F2288:G2288"/>
    <mergeCell ref="F2289:H2289"/>
    <mergeCell ref="F2290:H2290"/>
    <mergeCell ref="F2291:H2291"/>
    <mergeCell ref="F2292:H2292"/>
    <mergeCell ref="F2293:H2293"/>
    <mergeCell ref="F2294:H2294"/>
    <mergeCell ref="F2295:H2295"/>
    <mergeCell ref="F2296:H2296"/>
    <mergeCell ref="F2297:H2297"/>
    <mergeCell ref="F2298:H2298"/>
    <mergeCell ref="F2299:H2299"/>
    <mergeCell ref="F2300:H2300"/>
    <mergeCell ref="F2301:H2301"/>
    <mergeCell ref="F2302:G2302"/>
    <mergeCell ref="F2303:H2303"/>
    <mergeCell ref="F2304:H2304"/>
    <mergeCell ref="F2306:G2306"/>
    <mergeCell ref="F2308:G2308"/>
    <mergeCell ref="F2309:G2309"/>
    <mergeCell ref="F2310:H2310"/>
    <mergeCell ref="F2311:H2311"/>
    <mergeCell ref="F2313:G2313"/>
    <mergeCell ref="F2334:H2334"/>
    <mergeCell ref="F2336:G2336"/>
    <mergeCell ref="F2337:H2337"/>
    <mergeCell ref="F2338:H2338"/>
    <mergeCell ref="F2339:G2339"/>
    <mergeCell ref="H2345:I2345"/>
    <mergeCell ref="F2364:G2364"/>
    <mergeCell ref="F2365:G2365"/>
    <mergeCell ref="F2366:G2366"/>
    <mergeCell ref="F2367:G2367"/>
    <mergeCell ref="F2368:G2368"/>
    <mergeCell ref="F2369:G2369"/>
    <mergeCell ref="F2370:H2370"/>
    <mergeCell ref="F2372:G2372"/>
    <mergeCell ref="F2373:G2373"/>
    <mergeCell ref="F2374:G2374"/>
    <mergeCell ref="F2375:G2375"/>
    <mergeCell ref="F2376:G2376"/>
    <mergeCell ref="F2377:G2377"/>
    <mergeCell ref="F2378:G2378"/>
    <mergeCell ref="F2379:G2379"/>
    <mergeCell ref="F2380:G2380"/>
    <mergeCell ref="F2381:G2381"/>
    <mergeCell ref="F2382:G2382"/>
    <mergeCell ref="F2383:G2383"/>
    <mergeCell ref="F2384:G2384"/>
    <mergeCell ref="F2385:G2385"/>
    <mergeCell ref="F2386:G2386"/>
    <mergeCell ref="F2387:G2387"/>
    <mergeCell ref="F2388:G2388"/>
    <mergeCell ref="F2389:G2389"/>
    <mergeCell ref="F2390:G2390"/>
    <mergeCell ref="F2391:G2391"/>
    <mergeCell ref="F2392:G2392"/>
    <mergeCell ref="F2393:G2393"/>
    <mergeCell ref="F2395:H2395"/>
    <mergeCell ref="F2396:H2396"/>
    <mergeCell ref="F2397:G2397"/>
    <mergeCell ref="F2398:G2398"/>
    <mergeCell ref="F2399:H2399"/>
    <mergeCell ref="F2400:H2400"/>
    <mergeCell ref="F2401:H2401"/>
    <mergeCell ref="F2402:H2402"/>
    <mergeCell ref="F2403:G2403"/>
    <mergeCell ref="F2404:H2404"/>
    <mergeCell ref="F2405:G2405"/>
    <mergeCell ref="F2406:G2406"/>
    <mergeCell ref="F2407:G2407"/>
    <mergeCell ref="F2408:G2408"/>
    <mergeCell ref="F2409:G2409"/>
    <mergeCell ref="F2410:G2410"/>
    <mergeCell ref="F2412:H2412"/>
    <mergeCell ref="F1927:H1927"/>
    <mergeCell ref="F1928:G1928"/>
    <mergeCell ref="F1929:G1929"/>
    <mergeCell ref="F1931:H1931"/>
    <mergeCell ref="F1932:H1932"/>
    <mergeCell ref="F1934:H1934"/>
    <mergeCell ref="F1937:H1937"/>
    <mergeCell ref="F1938:H1938"/>
    <mergeCell ref="F1939:H1939"/>
    <mergeCell ref="F1940:G1940"/>
    <mergeCell ref="F1941:G1941"/>
    <mergeCell ref="F1942:H1942"/>
    <mergeCell ref="F1943:H1943"/>
    <mergeCell ref="F1944:H1944"/>
    <mergeCell ref="F1945:G1945"/>
    <mergeCell ref="F1946:G1946"/>
    <mergeCell ref="F1947:G1947"/>
    <mergeCell ref="F1949:H1949"/>
    <mergeCell ref="F1950:H1950"/>
    <mergeCell ref="F1951:H1951"/>
    <mergeCell ref="F1952:G1952"/>
    <mergeCell ref="F1953:H1953"/>
    <mergeCell ref="F1954:H1954"/>
    <mergeCell ref="F1955:H1955"/>
    <mergeCell ref="F1956:G1956"/>
    <mergeCell ref="F1957:H1957"/>
    <mergeCell ref="F1958:G1958"/>
    <mergeCell ref="F1960:H1960"/>
    <mergeCell ref="F1961:H1961"/>
    <mergeCell ref="F1962:H1962"/>
    <mergeCell ref="F1963:H1963"/>
    <mergeCell ref="F1964:H1964"/>
    <mergeCell ref="F1965:H1965"/>
    <mergeCell ref="F1966:G1966"/>
    <mergeCell ref="F1967:G1967"/>
    <mergeCell ref="F1968:G1968"/>
    <mergeCell ref="F1969:G1969"/>
    <mergeCell ref="F1970:G1970"/>
    <mergeCell ref="F1971:G1971"/>
    <mergeCell ref="F1972:H1972"/>
    <mergeCell ref="F1973:H1973"/>
    <mergeCell ref="F1974:H1974"/>
    <mergeCell ref="F1975:H1975"/>
    <mergeCell ref="F1979:G1979"/>
    <mergeCell ref="F1980:G1980"/>
    <mergeCell ref="F1981:G1981"/>
    <mergeCell ref="F1983:H1983"/>
    <mergeCell ref="F1984:H1984"/>
    <mergeCell ref="F1985:H1985"/>
    <mergeCell ref="F2030:H2030"/>
    <mergeCell ref="F2031:H2031"/>
    <mergeCell ref="F2032:H2032"/>
    <mergeCell ref="F2033:H2033"/>
    <mergeCell ref="F2034:H2034"/>
    <mergeCell ref="F2036:H2036"/>
    <mergeCell ref="F2037:H2037"/>
    <mergeCell ref="F2038:H2038"/>
    <mergeCell ref="F2039:H2039"/>
    <mergeCell ref="F2040:H2040"/>
    <mergeCell ref="F2041:H2041"/>
    <mergeCell ref="F2042:H2042"/>
    <mergeCell ref="F2043:H2043"/>
    <mergeCell ref="F2044:H2044"/>
    <mergeCell ref="F2046:H2046"/>
    <mergeCell ref="F2047:H2047"/>
    <mergeCell ref="F2048:H2048"/>
    <mergeCell ref="F2049:H2049"/>
    <mergeCell ref="F2050:H2050"/>
    <mergeCell ref="F2051:H2051"/>
    <mergeCell ref="F2052:H2052"/>
    <mergeCell ref="F2053:H2053"/>
    <mergeCell ref="F2054:H2054"/>
    <mergeCell ref="F2055:H2055"/>
    <mergeCell ref="F2056:H2056"/>
    <mergeCell ref="F2057:G2057"/>
    <mergeCell ref="F2058:G2058"/>
    <mergeCell ref="F2070:H2070"/>
    <mergeCell ref="F1986:H1986"/>
    <mergeCell ref="F1987:H1987"/>
    <mergeCell ref="F1988:H1988"/>
    <mergeCell ref="F1989:H1989"/>
    <mergeCell ref="F1990:H1990"/>
    <mergeCell ref="F1991:H1991"/>
    <mergeCell ref="F1992:H1992"/>
    <mergeCell ref="F1993:H1993"/>
    <mergeCell ref="F1994:G1994"/>
    <mergeCell ref="F1995:G1995"/>
    <mergeCell ref="F1996:H1996"/>
    <mergeCell ref="F1998:G1998"/>
    <mergeCell ref="F1999:H1999"/>
    <mergeCell ref="F2000:H2000"/>
    <mergeCell ref="F2001:H2001"/>
    <mergeCell ref="F2004:H2004"/>
    <mergeCell ref="F2005:H2005"/>
    <mergeCell ref="F2006:G2006"/>
    <mergeCell ref="F2007:H2007"/>
    <mergeCell ref="F2008:H2008"/>
    <mergeCell ref="F2009:H2009"/>
    <mergeCell ref="F2010:H2010"/>
    <mergeCell ref="F2011:H2011"/>
    <mergeCell ref="F2012:H2012"/>
    <mergeCell ref="F2013:H2013"/>
    <mergeCell ref="F2014:H2014"/>
    <mergeCell ref="F2015:H2015"/>
    <mergeCell ref="F2016:H2016"/>
    <mergeCell ref="F2017:H2017"/>
    <mergeCell ref="F2018:G2018"/>
    <mergeCell ref="F2019:G2019"/>
    <mergeCell ref="F2020:H2020"/>
    <mergeCell ref="F2021:H2021"/>
    <mergeCell ref="F2022:G2022"/>
    <mergeCell ref="F2023:H2023"/>
    <mergeCell ref="F2024:G2024"/>
    <mergeCell ref="F2025:H2025"/>
    <mergeCell ref="F2026:H2026"/>
    <mergeCell ref="F2027:H2027"/>
    <mergeCell ref="F2028:H2028"/>
    <mergeCell ref="F2029:H2029"/>
    <mergeCell ref="J2029:K2029"/>
    <mergeCell ref="F2074:H2074"/>
    <mergeCell ref="F2075:G2075"/>
    <mergeCell ref="F2076:G2076"/>
    <mergeCell ref="F2077:G2077"/>
    <mergeCell ref="F2078:G2078"/>
    <mergeCell ref="F2079:G2079"/>
    <mergeCell ref="F2080:G2080"/>
    <mergeCell ref="F2081:G2081"/>
    <mergeCell ref="F2082:G2082"/>
    <mergeCell ref="F2083:G2083"/>
    <mergeCell ref="F2084:G2084"/>
    <mergeCell ref="F2085:G2085"/>
    <mergeCell ref="F2086:G2086"/>
    <mergeCell ref="F2087:G2087"/>
    <mergeCell ref="F2088:G2088"/>
    <mergeCell ref="F2089:G2089"/>
    <mergeCell ref="F2090:G2090"/>
    <mergeCell ref="F2091:G2091"/>
    <mergeCell ref="F2092:G2092"/>
    <mergeCell ref="F2093:G2093"/>
    <mergeCell ref="F2094:G2094"/>
    <mergeCell ref="F2095:G2095"/>
    <mergeCell ref="F2098:H2098"/>
    <mergeCell ref="F2099:G2099"/>
    <mergeCell ref="F2101:H2101"/>
    <mergeCell ref="F2103:H2103"/>
    <mergeCell ref="F2112:H2112"/>
    <mergeCell ref="F2113:H2113"/>
    <mergeCell ref="F2119:G2119"/>
    <mergeCell ref="F2121:H2121"/>
    <mergeCell ref="F2123:G2123"/>
    <mergeCell ref="F2124:H2124"/>
    <mergeCell ref="F2126:H2126"/>
    <mergeCell ref="F2127:H2127"/>
    <mergeCell ref="F2128:H2128"/>
    <mergeCell ref="F2129:G2129"/>
    <mergeCell ref="F2130:G2130"/>
    <mergeCell ref="F2131:G2131"/>
    <mergeCell ref="F2137:H2137"/>
    <mergeCell ref="F2138:H2138"/>
    <mergeCell ref="F2139:H2139"/>
    <mergeCell ref="F2140:H2140"/>
    <mergeCell ref="F2141:H2141"/>
    <mergeCell ref="F2142:G2142"/>
    <mergeCell ref="F2143:G2143"/>
    <mergeCell ref="F2144:H2144"/>
    <mergeCell ref="F2145:H2145"/>
    <mergeCell ref="F2146:H2146"/>
    <mergeCell ref="F2147:G2147"/>
    <mergeCell ref="F2148:G2148"/>
    <mergeCell ref="F2149:G2149"/>
    <mergeCell ref="F2150:H2150"/>
    <mergeCell ref="F2151:H2151"/>
    <mergeCell ref="F2152:H2152"/>
    <mergeCell ref="F2153:H2153"/>
    <mergeCell ref="F2154:H2154"/>
    <mergeCell ref="F2204:H2204"/>
    <mergeCell ref="F2205:H2205"/>
    <mergeCell ref="F2206:H2206"/>
    <mergeCell ref="F2207:H2207"/>
    <mergeCell ref="F2208:H2208"/>
    <mergeCell ref="F2209:H2209"/>
    <mergeCell ref="F2210:H2210"/>
    <mergeCell ref="F2211:H2211"/>
    <mergeCell ref="F2212:H2212"/>
    <mergeCell ref="F2214:G2214"/>
    <mergeCell ref="F2215:H2215"/>
    <mergeCell ref="F2225:G2225"/>
    <mergeCell ref="F2226:H2226"/>
    <mergeCell ref="F2227:H2227"/>
    <mergeCell ref="J2252:K2252"/>
    <mergeCell ref="F2411:G2411"/>
    <mergeCell ref="F2415:G2415"/>
    <mergeCell ref="F2417:H2417"/>
    <mergeCell ref="J2417:K2417"/>
    <mergeCell ref="F2418:G2418"/>
    <mergeCell ref="F2419:G2419"/>
    <mergeCell ref="F2420:G2420"/>
    <mergeCell ref="F2421:G2421"/>
    <mergeCell ref="F2422:G2422"/>
    <mergeCell ref="F2423:G2423"/>
    <mergeCell ref="F2424:G2424"/>
    <mergeCell ref="F2426:G2426"/>
    <mergeCell ref="F2427:G2427"/>
    <mergeCell ref="F2428:H2428"/>
    <mergeCell ref="F2429:H2429"/>
    <mergeCell ref="F2430:G2430"/>
    <mergeCell ref="F2431:G2431"/>
    <mergeCell ref="F2432:G2432"/>
    <mergeCell ref="F2433:G2433"/>
    <mergeCell ref="F2434:G2434"/>
    <mergeCell ref="F2435:G2435"/>
    <mergeCell ref="F2436:G2436"/>
    <mergeCell ref="F2437:G2437"/>
    <mergeCell ref="F2439:H2439"/>
    <mergeCell ref="F2440:H2440"/>
    <mergeCell ref="F2441:H2441"/>
    <mergeCell ref="F2447:H2447"/>
    <mergeCell ref="F2448:H2448"/>
    <mergeCell ref="F2449:H2449"/>
    <mergeCell ref="F2450:H2450"/>
    <mergeCell ref="F2451:G2451"/>
    <mergeCell ref="F2452:G2452"/>
    <mergeCell ref="F2453:H2453"/>
    <mergeCell ref="J2453:K2453"/>
    <mergeCell ref="F2454:H2454"/>
    <mergeCell ref="F2455:H2455"/>
    <mergeCell ref="F2461:H2461"/>
    <mergeCell ref="J2461:K2461"/>
    <mergeCell ref="F2462:G2462"/>
    <mergeCell ref="F2470:G2470"/>
    <mergeCell ref="F2471:G2471"/>
    <mergeCell ref="F2472:G2472"/>
    <mergeCell ref="F2473:H2473"/>
    <mergeCell ref="F2475:H2475"/>
    <mergeCell ref="F2476:G2476"/>
    <mergeCell ref="F2477:G2477"/>
    <mergeCell ref="F2478:H2478"/>
    <mergeCell ref="F2479:G2479"/>
    <mergeCell ref="F2480:G2480"/>
    <mergeCell ref="F2481:G2481"/>
    <mergeCell ref="F2482:G2482"/>
    <mergeCell ref="F2483:H2483"/>
    <mergeCell ref="F2484:H2484"/>
    <mergeCell ref="F2487:H2487"/>
    <mergeCell ref="F2488:H2488"/>
    <mergeCell ref="F2489:H2489"/>
    <mergeCell ref="F2490:H2490"/>
    <mergeCell ref="F2491:H2491"/>
    <mergeCell ref="F2492:G2492"/>
    <mergeCell ref="F2493:H2493"/>
    <mergeCell ref="F2495:H2495"/>
    <mergeCell ref="F2498:H2498"/>
    <mergeCell ref="F2499:G2499"/>
    <mergeCell ref="F2500:H2500"/>
    <mergeCell ref="F2502:G2502"/>
    <mergeCell ref="F2511:H2511"/>
    <mergeCell ref="F2512:H2512"/>
    <mergeCell ref="F2515:G2515"/>
    <mergeCell ref="F2516:G2516"/>
    <mergeCell ref="F2517:H2517"/>
    <mergeCell ref="F2518:G2518"/>
    <mergeCell ref="F2519:G2519"/>
    <mergeCell ref="F2520:G2520"/>
    <mergeCell ref="F2521:G2521"/>
    <mergeCell ref="F2522:G2522"/>
    <mergeCell ref="F2523:G2523"/>
    <mergeCell ref="F2524:G2524"/>
    <mergeCell ref="F2525:G2525"/>
    <mergeCell ref="F2526:G2526"/>
    <mergeCell ref="F2527:G2527"/>
    <mergeCell ref="F2528:G2528"/>
    <mergeCell ref="F2529:G2529"/>
    <mergeCell ref="F2530:G2530"/>
    <mergeCell ref="F2531:G2531"/>
    <mergeCell ref="F2532:G2532"/>
    <mergeCell ref="F2533:G2533"/>
    <mergeCell ref="F2534:H2534"/>
    <mergeCell ref="F2535:H2535"/>
    <mergeCell ref="F2536:H2536"/>
    <mergeCell ref="F2537:H2537"/>
    <mergeCell ref="F2538:H2538"/>
    <mergeCell ref="F2543:G2543"/>
    <mergeCell ref="F2544:G2544"/>
    <mergeCell ref="F2545:G2545"/>
    <mergeCell ref="F2546:G2546"/>
    <mergeCell ref="F2547:G2547"/>
    <mergeCell ref="F2548:G2548"/>
    <mergeCell ref="F2549:G2549"/>
    <mergeCell ref="F2550:G2550"/>
    <mergeCell ref="F2551:G2551"/>
    <mergeCell ref="F2552:G2552"/>
    <mergeCell ref="F2555:H2555"/>
    <mergeCell ref="F2556:H2556"/>
    <mergeCell ref="F2557:H2557"/>
    <mergeCell ref="F2558:H2558"/>
    <mergeCell ref="F2559:H2559"/>
    <mergeCell ref="F2564:G2564"/>
    <mergeCell ref="J2564:K2564"/>
    <mergeCell ref="F2566:H2566"/>
    <mergeCell ref="J2566:K2566"/>
    <mergeCell ref="F2567:H2567"/>
    <mergeCell ref="F2568:H2568"/>
    <mergeCell ref="F2569:H2569"/>
    <mergeCell ref="F2575:H2575"/>
    <mergeCell ref="F2576:H2576"/>
    <mergeCell ref="F2579:H2579"/>
    <mergeCell ref="F2586:G2586"/>
    <mergeCell ref="F2592:H2592"/>
    <mergeCell ref="F2593:H2593"/>
    <mergeCell ref="F2594:H2594"/>
    <mergeCell ref="F2595:H2595"/>
    <mergeCell ref="F2598:H2598"/>
    <mergeCell ref="F2599:G2599"/>
    <mergeCell ref="F2602:H2602"/>
    <mergeCell ref="F2603:H2603"/>
    <mergeCell ref="F2622:H2622"/>
    <mergeCell ref="F2625:H2625"/>
    <mergeCell ref="F2627:H2627"/>
    <mergeCell ref="F2628:H2628"/>
    <mergeCell ref="F2629:H2629"/>
    <mergeCell ref="F2630:H2630"/>
    <mergeCell ref="F2631:H2631"/>
    <mergeCell ref="F2632:G2632"/>
    <mergeCell ref="F2633:G2633"/>
    <mergeCell ref="F2634:G2634"/>
    <mergeCell ref="F2635:G2635"/>
    <mergeCell ref="F2636:H2636"/>
    <mergeCell ref="F2637:H2637"/>
    <mergeCell ref="F2638:G2638"/>
    <mergeCell ref="F2639:H2639"/>
    <mergeCell ref="F2640:H2640"/>
    <mergeCell ref="F2641:G2641"/>
    <mergeCell ref="J2641:K2641"/>
    <mergeCell ref="F2642:H2642"/>
    <mergeCell ref="F2643:H2643"/>
    <mergeCell ref="F2644:H2644"/>
    <mergeCell ref="F2645:G2645"/>
    <mergeCell ref="F2646:G2646"/>
    <mergeCell ref="F2647:G2647"/>
    <mergeCell ref="F2648:G2648"/>
    <mergeCell ref="F2649:G2649"/>
    <mergeCell ref="F2650:G2650"/>
    <mergeCell ref="F2651:G2651"/>
    <mergeCell ref="F2652:G2652"/>
    <mergeCell ref="F2653:G2653"/>
    <mergeCell ref="F2654:G2654"/>
    <mergeCell ref="F2655:G2655"/>
    <mergeCell ref="F2656:G2656"/>
    <mergeCell ref="F2657:G2657"/>
    <mergeCell ref="F2658:G2658"/>
    <mergeCell ref="F2659:G2659"/>
    <mergeCell ref="F2660:G2660"/>
    <mergeCell ref="F2661:G2661"/>
    <mergeCell ref="F2662:G2662"/>
    <mergeCell ref="F2663:G2663"/>
    <mergeCell ref="F2664:G2664"/>
    <mergeCell ref="F2665:G2665"/>
    <mergeCell ref="F2666:H2666"/>
    <mergeCell ref="F2667:H2667"/>
    <mergeCell ref="F2668:H2668"/>
    <mergeCell ref="F2669:H2669"/>
    <mergeCell ref="F2670:G2670"/>
    <mergeCell ref="F2671:G2671"/>
    <mergeCell ref="F2672:G2672"/>
    <mergeCell ref="F2673:G2673"/>
    <mergeCell ref="F2674:G2674"/>
    <mergeCell ref="F2675:G2675"/>
    <mergeCell ref="F2676:G2676"/>
    <mergeCell ref="F2677:G2677"/>
    <mergeCell ref="F2678:G2678"/>
    <mergeCell ref="F2679:G2679"/>
    <mergeCell ref="F2680:G2680"/>
    <mergeCell ref="F2681:G2681"/>
    <mergeCell ref="F2682:G2682"/>
    <mergeCell ref="F2683:G2683"/>
    <mergeCell ref="F2684:G2684"/>
    <mergeCell ref="F2685:G2685"/>
    <mergeCell ref="F2686:G2686"/>
    <mergeCell ref="F2687:G2687"/>
    <mergeCell ref="F2688:G2688"/>
    <mergeCell ref="F2690:G2690"/>
    <mergeCell ref="F2691:G2691"/>
    <mergeCell ref="F2692:G2692"/>
    <mergeCell ref="F2700:G2700"/>
    <mergeCell ref="F2701:G2701"/>
    <mergeCell ref="F2702:G2702"/>
    <mergeCell ref="F2703:H2703"/>
    <mergeCell ref="F2704:G2704"/>
    <mergeCell ref="F2705:H2705"/>
    <mergeCell ref="F2706:H2706"/>
    <mergeCell ref="F2707:H2707"/>
    <mergeCell ref="F2709:G2709"/>
    <mergeCell ref="F2710:G2710"/>
    <mergeCell ref="F2711:H2711"/>
    <mergeCell ref="F2712:G2712"/>
    <mergeCell ref="F2713:G2713"/>
    <mergeCell ref="F2714:G2714"/>
    <mergeCell ref="F2715:G2715"/>
    <mergeCell ref="F2718:G2718"/>
    <mergeCell ref="F2722:H2722"/>
    <mergeCell ref="F2723:H2723"/>
    <mergeCell ref="F2724:H2724"/>
    <mergeCell ref="F2725:H2725"/>
    <mergeCell ref="F2726:H2726"/>
    <mergeCell ref="F2727:H2727"/>
    <mergeCell ref="F2728:H2728"/>
    <mergeCell ref="F2729:H2729"/>
    <mergeCell ref="F2730:H2730"/>
    <mergeCell ref="F2731:H2731"/>
    <mergeCell ref="F2732:H2732"/>
    <mergeCell ref="F2733:H2733"/>
    <mergeCell ref="F2734:H2734"/>
    <mergeCell ref="F2735:G2735"/>
    <mergeCell ref="F2736:G2736"/>
    <mergeCell ref="F2737:G2737"/>
    <mergeCell ref="F2738:G2738"/>
    <mergeCell ref="F2739:G2739"/>
    <mergeCell ref="F2740:H2740"/>
    <mergeCell ref="F2741:G2741"/>
    <mergeCell ref="F2742:G2742"/>
    <mergeCell ref="F2743:G2743"/>
    <mergeCell ref="F2744:G2744"/>
    <mergeCell ref="F2745:G2745"/>
    <mergeCell ref="F2746:G2746"/>
    <mergeCell ref="F2747:G2747"/>
    <mergeCell ref="F2748:G2748"/>
    <mergeCell ref="F2749:G2749"/>
    <mergeCell ref="F2750:G2750"/>
    <mergeCell ref="F2751:G2751"/>
    <mergeCell ref="F2752:G2752"/>
    <mergeCell ref="F2753:G2753"/>
    <mergeCell ref="F2754:G2754"/>
    <mergeCell ref="F2755:G2755"/>
    <mergeCell ref="F2756:G2756"/>
    <mergeCell ref="F2757:G2757"/>
    <mergeCell ref="F2762:G2762"/>
    <mergeCell ref="F2763:G2763"/>
    <mergeCell ref="F2764:G2764"/>
    <mergeCell ref="F2765:G2765"/>
    <mergeCell ref="F2766:G2766"/>
    <mergeCell ref="F2767:G2767"/>
    <mergeCell ref="F2768:G2768"/>
    <mergeCell ref="F2769:G2769"/>
    <mergeCell ref="F2770:G2770"/>
    <mergeCell ref="F2771:H2771"/>
    <mergeCell ref="F2774:H2774"/>
    <mergeCell ref="F2776:G2776"/>
    <mergeCell ref="F2777:G2777"/>
    <mergeCell ref="F2778:G2778"/>
    <mergeCell ref="F2779:G2779"/>
    <mergeCell ref="F2780:G2780"/>
    <mergeCell ref="F2781:G2781"/>
    <mergeCell ref="J2789:K2789"/>
    <mergeCell ref="F2790:H2790"/>
    <mergeCell ref="F2791:H2791"/>
    <mergeCell ref="F2792:G2792"/>
    <mergeCell ref="F2797:H2797"/>
    <mergeCell ref="F2798:H2798"/>
    <mergeCell ref="F2799:G2799"/>
    <mergeCell ref="F2800:G2800"/>
    <mergeCell ref="F2801:G2801"/>
    <mergeCell ref="F2802:G2802"/>
    <mergeCell ref="F2807:G2807"/>
    <mergeCell ref="F2808:G2808"/>
    <mergeCell ref="F2809:G2809"/>
    <mergeCell ref="F2810:G2810"/>
    <mergeCell ref="F2811:G2811"/>
    <mergeCell ref="F2814:G2814"/>
    <mergeCell ref="F2815:G2815"/>
    <mergeCell ref="F2817:H2817"/>
    <mergeCell ref="F2818:H2818"/>
    <mergeCell ref="F2819:G2819"/>
    <mergeCell ref="F2820:G2820"/>
    <mergeCell ref="F2821:H2821"/>
    <mergeCell ref="F2822:H2822"/>
    <mergeCell ref="F2823:H2823"/>
    <mergeCell ref="F2824:G2824"/>
    <mergeCell ref="F2825:G2825"/>
    <mergeCell ref="F2826:G2826"/>
    <mergeCell ref="F2827:G2827"/>
    <mergeCell ref="F2828:G2828"/>
    <mergeCell ref="F2829:G2829"/>
    <mergeCell ref="F2830:H2830"/>
    <mergeCell ref="F2831:H2831"/>
    <mergeCell ref="F2832:H2832"/>
    <mergeCell ref="F2833:H2833"/>
    <mergeCell ref="F2834:H2834"/>
    <mergeCell ref="F2837:H2837"/>
    <mergeCell ref="F2838:H2838"/>
    <mergeCell ref="F2839:H2839"/>
    <mergeCell ref="F2840:H2840"/>
    <mergeCell ref="F2841:H2841"/>
    <mergeCell ref="F2842:G2842"/>
    <mergeCell ref="F2843:G2843"/>
    <mergeCell ref="F2844:G2844"/>
    <mergeCell ref="F2845:G2845"/>
    <mergeCell ref="F2846:H2846"/>
    <mergeCell ref="F2848:H2848"/>
    <mergeCell ref="F2849:H2849"/>
    <mergeCell ref="F2850:H2850"/>
    <mergeCell ref="F2851:H2851"/>
    <mergeCell ref="F2852:H2852"/>
    <mergeCell ref="F2853:H2853"/>
    <mergeCell ref="F2854:H2854"/>
    <mergeCell ref="F2855:H2855"/>
    <mergeCell ref="F2856:H2856"/>
    <mergeCell ref="F2857:H2857"/>
    <mergeCell ref="F2858:G2858"/>
    <mergeCell ref="F2859:G2859"/>
    <mergeCell ref="F2860:G2860"/>
    <mergeCell ref="F2861:G2861"/>
    <mergeCell ref="F2862:G2862"/>
    <mergeCell ref="F2863:G2863"/>
    <mergeCell ref="F2864:G2864"/>
    <mergeCell ref="F2865:H2865"/>
    <mergeCell ref="F2866:H2866"/>
    <mergeCell ref="J2866:K2866"/>
    <mergeCell ref="F2867:H2867"/>
    <mergeCell ref="F2868:H2868"/>
    <mergeCell ref="F2869:H2869"/>
    <mergeCell ref="F2870:H2870"/>
    <mergeCell ref="F2871:H2871"/>
    <mergeCell ref="F2874:H2874"/>
    <mergeCell ref="F2875:H2875"/>
    <mergeCell ref="F2876:H2876"/>
    <mergeCell ref="F2877:H2877"/>
    <mergeCell ref="F2878:H2878"/>
    <mergeCell ref="F2879:H2879"/>
    <mergeCell ref="F2880:H2880"/>
    <mergeCell ref="F2882:G2882"/>
    <mergeCell ref="F2884:G2884"/>
    <mergeCell ref="F2885:G2885"/>
    <mergeCell ref="F2886:G2886"/>
    <mergeCell ref="F2887:G2887"/>
    <mergeCell ref="F2888:G2888"/>
    <mergeCell ref="F2889:G2889"/>
    <mergeCell ref="F2890:G2890"/>
    <mergeCell ref="F2891:G2891"/>
    <mergeCell ref="F2895:G2895"/>
    <mergeCell ref="F2896:G2896"/>
    <mergeCell ref="F2897:G2897"/>
    <mergeCell ref="F2901:H2901"/>
    <mergeCell ref="F2902:G2902"/>
    <mergeCell ref="F2903:H2903"/>
    <mergeCell ref="F2904:G2904"/>
    <mergeCell ref="F2905:G2905"/>
    <mergeCell ref="F2906:G2906"/>
    <mergeCell ref="F2907:G2907"/>
    <mergeCell ref="F2908:G2908"/>
    <mergeCell ref="F2909:G2909"/>
    <mergeCell ref="F2910:G2910"/>
    <mergeCell ref="F2911:G2911"/>
    <mergeCell ref="F2912:G2912"/>
    <mergeCell ref="F2913:G2913"/>
    <mergeCell ref="F2914:G2914"/>
    <mergeCell ref="F2915:G2915"/>
    <mergeCell ref="F2916:G2916"/>
    <mergeCell ref="F2917:G2917"/>
    <mergeCell ref="F2918:G2918"/>
    <mergeCell ref="F2922:G2922"/>
    <mergeCell ref="F2923:G2923"/>
    <mergeCell ref="F2924:G2924"/>
    <mergeCell ref="F2925:G2925"/>
    <mergeCell ref="F2926:G2926"/>
    <mergeCell ref="F2927:G2927"/>
    <mergeCell ref="F2928:G2928"/>
    <mergeCell ref="F2929:G2929"/>
    <mergeCell ref="F2931:H2931"/>
    <mergeCell ref="F2934:G2934"/>
    <mergeCell ref="F2936:H2936"/>
    <mergeCell ref="F2937:G2937"/>
    <mergeCell ref="F2938:G2938"/>
    <mergeCell ref="F2939:H2939"/>
    <mergeCell ref="F2942:H2942"/>
    <mergeCell ref="J2943:K2943"/>
    <mergeCell ref="F2943:H2943"/>
    <mergeCell ref="F2944:G2944"/>
    <mergeCell ref="F2945:G2945"/>
    <mergeCell ref="F2946:G2946"/>
    <mergeCell ref="F2947:G2947"/>
    <mergeCell ref="F2948:G2948"/>
    <mergeCell ref="F2949:G2949"/>
    <mergeCell ref="F3334:H3334"/>
    <mergeCell ref="F3335:H3335"/>
    <mergeCell ref="F3336:H3336"/>
    <mergeCell ref="F3337:G3337"/>
    <mergeCell ref="F3338:G3338"/>
    <mergeCell ref="F3339:G3339"/>
    <mergeCell ref="F3340:G3340"/>
    <mergeCell ref="F3341:G3341"/>
    <mergeCell ref="F3342:G3342"/>
    <mergeCell ref="F3343:G3343"/>
    <mergeCell ref="F3347:G3347"/>
    <mergeCell ref="F3348:G3348"/>
    <mergeCell ref="F3349:G3349"/>
    <mergeCell ref="F3350:G3350"/>
    <mergeCell ref="F3375:H3375"/>
    <mergeCell ref="F3376:H3376"/>
    <mergeCell ref="F3377:H3377"/>
    <mergeCell ref="F3380:H3380"/>
    <mergeCell ref="F3381:H3381"/>
    <mergeCell ref="F3383:H3383"/>
    <mergeCell ref="F3384:H3384"/>
    <mergeCell ref="F3385:G3385"/>
    <mergeCell ref="F3388:G3388"/>
    <mergeCell ref="F3389:H3389"/>
    <mergeCell ref="F3390:H3390"/>
    <mergeCell ref="F3391:H3391"/>
    <mergeCell ref="F3392:H3392"/>
    <mergeCell ref="F3393:G3393"/>
    <mergeCell ref="F3394:G3394"/>
    <mergeCell ref="F3395:G3395"/>
    <mergeCell ref="F3396:G3396"/>
    <mergeCell ref="F3397:G3397"/>
    <mergeCell ref="F3398:G3398"/>
    <mergeCell ref="F3399:G3399"/>
    <mergeCell ref="F3400:H3400"/>
    <mergeCell ref="F3401:G3401"/>
    <mergeCell ref="F3402:H3402"/>
    <mergeCell ref="F3403:H3403"/>
    <mergeCell ref="F3404:H3404"/>
    <mergeCell ref="F3405:H3405"/>
    <mergeCell ref="F3406:H3406"/>
    <mergeCell ref="F3407:H3407"/>
    <mergeCell ref="F3416:H3416"/>
    <mergeCell ref="A3417:R3417"/>
    <mergeCell ref="F3408:H3408"/>
    <mergeCell ref="F3409:G3409"/>
    <mergeCell ref="F3410:G3410"/>
    <mergeCell ref="F3411:G3411"/>
    <mergeCell ref="F3413:G3413"/>
    <mergeCell ref="F3414:H3414"/>
    <mergeCell ref="F3415:H3415"/>
    <mergeCell ref="F3264:G3264"/>
    <mergeCell ref="F3265:G3265"/>
    <mergeCell ref="F3266:H3266"/>
    <mergeCell ref="F3267:G3267"/>
    <mergeCell ref="F3268:H3268"/>
    <mergeCell ref="F3269:G3269"/>
    <mergeCell ref="F3270:G3270"/>
    <mergeCell ref="F3271:G3271"/>
    <mergeCell ref="F3272:G3272"/>
    <mergeCell ref="F3273:G3273"/>
    <mergeCell ref="F3274:G3274"/>
    <mergeCell ref="F3275:G3275"/>
    <mergeCell ref="F3276:H3276"/>
    <mergeCell ref="F3277:H3277"/>
    <mergeCell ref="F3278:H3278"/>
    <mergeCell ref="F3279:H3279"/>
    <mergeCell ref="F3280:H3280"/>
    <mergeCell ref="F3281:H3281"/>
    <mergeCell ref="F3282:H3282"/>
    <mergeCell ref="F3283:H3283"/>
    <mergeCell ref="F3284:H3284"/>
    <mergeCell ref="F3289:G3289"/>
    <mergeCell ref="F3290:G3290"/>
    <mergeCell ref="F3291:G3291"/>
    <mergeCell ref="F3292:G3292"/>
    <mergeCell ref="F3293:G3293"/>
    <mergeCell ref="F3294:G3294"/>
    <mergeCell ref="F3295:H3295"/>
    <mergeCell ref="F3296:G3296"/>
    <mergeCell ref="F3297:G3297"/>
    <mergeCell ref="F3319:H3319"/>
    <mergeCell ref="F3320:G3320"/>
    <mergeCell ref="F3321:H3321"/>
    <mergeCell ref="F3325:H3325"/>
    <mergeCell ref="F3326:H3326"/>
    <mergeCell ref="F3327:H3327"/>
    <mergeCell ref="F3328:H3328"/>
    <mergeCell ref="F3329:G3329"/>
    <mergeCell ref="F3330:H3330"/>
    <mergeCell ref="F3331:H3331"/>
    <mergeCell ref="F3332:H3332"/>
    <mergeCell ref="F3333:H3333"/>
    <mergeCell ref="F3352:G3352"/>
    <mergeCell ref="F3353:H3353"/>
    <mergeCell ref="F3354:H3354"/>
    <mergeCell ref="F3356:H3356"/>
    <mergeCell ref="F3357:H3357"/>
    <mergeCell ref="F3358:H3358"/>
    <mergeCell ref="F3359:H3359"/>
    <mergeCell ref="F2950:G2950"/>
    <mergeCell ref="F2951:G2951"/>
    <mergeCell ref="F2952:G2952"/>
    <mergeCell ref="F2953:G2953"/>
    <mergeCell ref="F2954:G2954"/>
    <mergeCell ref="F2955:G2955"/>
    <mergeCell ref="F2956:G2956"/>
    <mergeCell ref="F2957:G2957"/>
    <mergeCell ref="F2958:G2958"/>
    <mergeCell ref="F2959:G2959"/>
    <mergeCell ref="F2960:G2960"/>
    <mergeCell ref="F2963:G2963"/>
    <mergeCell ref="F2964:H2964"/>
    <mergeCell ref="F2966:H2966"/>
    <mergeCell ref="F2965:G2965"/>
    <mergeCell ref="F2969:G2969"/>
    <mergeCell ref="F2970:G2970"/>
    <mergeCell ref="F2971:G2971"/>
    <mergeCell ref="F2972:G2972"/>
    <mergeCell ref="F2973:G2973"/>
    <mergeCell ref="F2974:G2974"/>
    <mergeCell ref="F2975:G2975"/>
    <mergeCell ref="F2976:G2976"/>
    <mergeCell ref="F2977:G2977"/>
    <mergeCell ref="F2978:G2978"/>
    <mergeCell ref="F2979:G2979"/>
    <mergeCell ref="F2981:G2981"/>
    <mergeCell ref="F2982:G2982"/>
    <mergeCell ref="F2983:G2983"/>
    <mergeCell ref="F2984:G2984"/>
    <mergeCell ref="M2989:N2989"/>
    <mergeCell ref="M2990:N2990"/>
    <mergeCell ref="M2992:N2992"/>
    <mergeCell ref="M2995:N2995"/>
    <mergeCell ref="M2997:N2997"/>
    <mergeCell ref="M2998:N2998"/>
    <mergeCell ref="M3000:N3000"/>
    <mergeCell ref="M3002:N3002"/>
    <mergeCell ref="M3003:N3003"/>
    <mergeCell ref="M3004:N3004"/>
    <mergeCell ref="M3005:N3005"/>
    <mergeCell ref="M3006:N3006"/>
    <mergeCell ref="M3007:N3007"/>
    <mergeCell ref="M3008:N3008"/>
    <mergeCell ref="M3009:N3009"/>
    <mergeCell ref="M3011:N3011"/>
    <mergeCell ref="M3012:N3012"/>
    <mergeCell ref="M3013:N3013"/>
    <mergeCell ref="M3014:N3014"/>
    <mergeCell ref="M3015:N3015"/>
    <mergeCell ref="M3016:N3016"/>
    <mergeCell ref="M3017:N3017"/>
    <mergeCell ref="M3019:N3019"/>
    <mergeCell ref="M3021:N3021"/>
    <mergeCell ref="M3022:N3022"/>
    <mergeCell ref="M3023:N3023"/>
    <mergeCell ref="M3024:N3024"/>
    <mergeCell ref="M3027:N3027"/>
    <mergeCell ref="F3028:H3028"/>
    <mergeCell ref="F3029:G3029"/>
    <mergeCell ref="F3030:G3030"/>
    <mergeCell ref="F3031:G3031"/>
    <mergeCell ref="F3032:G3032"/>
    <mergeCell ref="F3033:G3033"/>
    <mergeCell ref="F3034:G3034"/>
    <mergeCell ref="F3035:G3035"/>
    <mergeCell ref="F3036:G3036"/>
    <mergeCell ref="F3037:G3037"/>
    <mergeCell ref="F3038:G3038"/>
    <mergeCell ref="F3039:G3039"/>
    <mergeCell ref="F3040:G3040"/>
    <mergeCell ref="F3041:G3041"/>
    <mergeCell ref="F3042:G3042"/>
    <mergeCell ref="F3043:G3043"/>
    <mergeCell ref="F3044:G3044"/>
    <mergeCell ref="F3045:G3045"/>
    <mergeCell ref="F3046:G3046"/>
    <mergeCell ref="F3047:G3047"/>
    <mergeCell ref="F3048:G3048"/>
    <mergeCell ref="F3049:G3049"/>
    <mergeCell ref="F3050:G3050"/>
    <mergeCell ref="F3051:G3051"/>
    <mergeCell ref="F3052:G3052"/>
    <mergeCell ref="F3053:G3053"/>
    <mergeCell ref="F3054:G3054"/>
    <mergeCell ref="F3055:G3055"/>
    <mergeCell ref="F3056:G3056"/>
    <mergeCell ref="F3057:G3057"/>
    <mergeCell ref="F3058:G3058"/>
    <mergeCell ref="F3059:G3059"/>
    <mergeCell ref="F3060:H3060"/>
    <mergeCell ref="F3077:G3077"/>
    <mergeCell ref="F3078:G3078"/>
    <mergeCell ref="F3061:H3061"/>
    <mergeCell ref="F3062:H3062"/>
    <mergeCell ref="F3063:H3063"/>
    <mergeCell ref="F3064:H3064"/>
    <mergeCell ref="F3065:H3065"/>
    <mergeCell ref="F3066:H3066"/>
    <mergeCell ref="F3067:H3067"/>
    <mergeCell ref="F3068:G3068"/>
    <mergeCell ref="F3069:G3069"/>
    <mergeCell ref="F3070:G3070"/>
    <mergeCell ref="F3071:H3071"/>
    <mergeCell ref="F3072:G3072"/>
    <mergeCell ref="F3073:G3073"/>
    <mergeCell ref="F3074:G3074"/>
    <mergeCell ref="F3083:G3083"/>
    <mergeCell ref="F3084:G3084"/>
    <mergeCell ref="F3088:G3088"/>
    <mergeCell ref="F3090:H3090"/>
    <mergeCell ref="F3093:H3093"/>
    <mergeCell ref="F3094:H3094"/>
    <mergeCell ref="F3098:G3098"/>
    <mergeCell ref="F3099:G3099"/>
    <mergeCell ref="F3100:H3100"/>
    <mergeCell ref="F3104:G3104"/>
    <mergeCell ref="F3105:G3105"/>
    <mergeCell ref="F3106:G3106"/>
    <mergeCell ref="F3107:H3107"/>
    <mergeCell ref="F3108:H3108"/>
    <mergeCell ref="F3109:H3109"/>
    <mergeCell ref="F3110:H3110"/>
    <mergeCell ref="J3110:K3110"/>
    <mergeCell ref="F3111:G3111"/>
    <mergeCell ref="F3112:G3112"/>
    <mergeCell ref="F3113:H3113"/>
    <mergeCell ref="J3114:K3114"/>
    <mergeCell ref="F3114:H3114"/>
    <mergeCell ref="F3115:G3115"/>
    <mergeCell ref="F3116:G3116"/>
    <mergeCell ref="F3117:G3117"/>
    <mergeCell ref="F3118:G3118"/>
    <mergeCell ref="F3119:G3119"/>
    <mergeCell ref="F3120:G3120"/>
    <mergeCell ref="F3121:G3121"/>
    <mergeCell ref="F3122:G3122"/>
    <mergeCell ref="F3123:G3123"/>
    <mergeCell ref="F3124:G3124"/>
    <mergeCell ref="F3125:G3125"/>
    <mergeCell ref="F3126:G3126"/>
    <mergeCell ref="F3127:G3127"/>
    <mergeCell ref="F3128:G3128"/>
    <mergeCell ref="F3129:G3129"/>
    <mergeCell ref="F3130:G3130"/>
    <mergeCell ref="F3131:G3131"/>
    <mergeCell ref="F3132:G3132"/>
    <mergeCell ref="F3133:H3133"/>
    <mergeCell ref="J3133:K3133"/>
    <mergeCell ref="F3136:H3136"/>
    <mergeCell ref="F3137:G3137"/>
    <mergeCell ref="F3138:G3138"/>
    <mergeCell ref="F3139:H3139"/>
    <mergeCell ref="F3141:G3141"/>
    <mergeCell ref="F3142:G3142"/>
    <mergeCell ref="F3143:G3143"/>
    <mergeCell ref="F3144:G3144"/>
    <mergeCell ref="F3145:G3145"/>
    <mergeCell ref="F3146:G3146"/>
    <mergeCell ref="F3147:G3147"/>
    <mergeCell ref="F3148:G3148"/>
    <mergeCell ref="F3149:G3149"/>
    <mergeCell ref="F3150:G3150"/>
    <mergeCell ref="F3151:G3151"/>
    <mergeCell ref="F3152:G3152"/>
    <mergeCell ref="F3153:G3153"/>
    <mergeCell ref="F3154:H3154"/>
    <mergeCell ref="F3155:H3155"/>
    <mergeCell ref="F3164:G3164"/>
    <mergeCell ref="F3165:G3165"/>
    <mergeCell ref="F3166:G3166"/>
    <mergeCell ref="F3167:G3167"/>
    <mergeCell ref="F3168:G3168"/>
    <mergeCell ref="F3169:G3169"/>
    <mergeCell ref="F3170:H3170"/>
    <mergeCell ref="F3171:G3171"/>
    <mergeCell ref="F3172:G3172"/>
    <mergeCell ref="F3173:G3173"/>
    <mergeCell ref="F3174:G3174"/>
    <mergeCell ref="F3175:G3175"/>
    <mergeCell ref="F3176:G3176"/>
    <mergeCell ref="F3177:G3177"/>
    <mergeCell ref="F3178:G3178"/>
    <mergeCell ref="F3179:G3179"/>
    <mergeCell ref="F3180:G3180"/>
    <mergeCell ref="F3181:G3181"/>
    <mergeCell ref="F3182:G3182"/>
    <mergeCell ref="F3183:G3183"/>
    <mergeCell ref="F3184:G3184"/>
    <mergeCell ref="F3185:G3185"/>
    <mergeCell ref="F3186:G3186"/>
    <mergeCell ref="F3242:H3242"/>
    <mergeCell ref="F3243:H3243"/>
    <mergeCell ref="F3244:H3244"/>
    <mergeCell ref="F3246:H3246"/>
    <mergeCell ref="F3247:H3247"/>
    <mergeCell ref="F3248:H3248"/>
    <mergeCell ref="F3249:G3249"/>
    <mergeCell ref="F3250:G3250"/>
    <mergeCell ref="F3251:H3251"/>
    <mergeCell ref="F3252:G3252"/>
    <mergeCell ref="F3253:G3253"/>
    <mergeCell ref="F3254:G3254"/>
    <mergeCell ref="F3255:G3255"/>
    <mergeCell ref="F3256:G3256"/>
    <mergeCell ref="F3191:G3191"/>
    <mergeCell ref="F3192:G3192"/>
    <mergeCell ref="F3193:H3193"/>
    <mergeCell ref="F3194:G3194"/>
    <mergeCell ref="F3195:G3195"/>
    <mergeCell ref="F3196:H3196"/>
    <mergeCell ref="F3197:H3197"/>
    <mergeCell ref="F3200:H3200"/>
    <mergeCell ref="F3201:G3201"/>
    <mergeCell ref="F3202:G3202"/>
    <mergeCell ref="F3203:G3203"/>
    <mergeCell ref="F3204:G3204"/>
    <mergeCell ref="F3205:G3205"/>
    <mergeCell ref="F3206:G3206"/>
    <mergeCell ref="F3207:H3207"/>
    <mergeCell ref="F3208:H3208"/>
    <mergeCell ref="F3209:H3209"/>
    <mergeCell ref="F3210:H3210"/>
    <mergeCell ref="F3211:H3211"/>
    <mergeCell ref="F3212:G3212"/>
    <mergeCell ref="F3213:G3213"/>
    <mergeCell ref="F3215:H3215"/>
    <mergeCell ref="F3216:H3216"/>
    <mergeCell ref="F3218:H3218"/>
    <mergeCell ref="F3219:G3219"/>
    <mergeCell ref="F3220:G3220"/>
    <mergeCell ref="F3221:H3221"/>
    <mergeCell ref="F3222:H3222"/>
    <mergeCell ref="F3223:H3223"/>
    <mergeCell ref="F3227:G3227"/>
    <mergeCell ref="F3228:G3228"/>
    <mergeCell ref="F3230:G3230"/>
    <mergeCell ref="F3231:H3231"/>
    <mergeCell ref="F3233:G3233"/>
    <mergeCell ref="F3234:G3234"/>
    <mergeCell ref="F3235:G3235"/>
    <mergeCell ref="F3236:G3236"/>
    <mergeCell ref="F3237:H3237"/>
    <mergeCell ref="F3238:H3238"/>
    <mergeCell ref="F3239:H3239"/>
    <mergeCell ref="F3240:H3240"/>
    <mergeCell ref="F3241:H3241"/>
    <mergeCell ref="F3257:G3257"/>
    <mergeCell ref="F3258:G3258"/>
    <mergeCell ref="F3259:G3259"/>
    <mergeCell ref="F3260:G3260"/>
    <mergeCell ref="F3261:G3261"/>
    <mergeCell ref="F3262:G3262"/>
    <mergeCell ref="F3263:G3263"/>
    <mergeCell ref="F3367:H3367"/>
    <mergeCell ref="F3368:G3368"/>
    <mergeCell ref="F3369:G3369"/>
    <mergeCell ref="J3414:K3414"/>
    <mergeCell ref="J3415:K3415"/>
    <mergeCell ref="J3416:K3416"/>
    <mergeCell ref="F3360:H3360"/>
    <mergeCell ref="F3361:H3361"/>
    <mergeCell ref="F3362:H3362"/>
    <mergeCell ref="F3363:G3363"/>
    <mergeCell ref="F3364:G3364"/>
    <mergeCell ref="F3365:H3365"/>
    <mergeCell ref="F3366:H3366"/>
    <mergeCell ref="F122:G122"/>
    <mergeCell ref="F123:G123"/>
    <mergeCell ref="F124:G124"/>
    <mergeCell ref="F125:G125"/>
    <mergeCell ref="F126:G126"/>
    <mergeCell ref="F127:G127"/>
    <mergeCell ref="F128:G128"/>
    <mergeCell ref="F129:G129"/>
    <mergeCell ref="F130:G130"/>
    <mergeCell ref="F131:G131"/>
    <mergeCell ref="F132:G132"/>
    <mergeCell ref="F133:G133"/>
    <mergeCell ref="F134:G134"/>
    <mergeCell ref="F135:G135"/>
    <mergeCell ref="F136:G136"/>
    <mergeCell ref="F137:G137"/>
    <mergeCell ref="F138:G138"/>
    <mergeCell ref="F139:G139"/>
    <mergeCell ref="F140:G140"/>
    <mergeCell ref="F141:G141"/>
    <mergeCell ref="F142:G142"/>
    <mergeCell ref="F143:G143"/>
    <mergeCell ref="F144:G144"/>
    <mergeCell ref="F145:G145"/>
    <mergeCell ref="F146:H146"/>
    <mergeCell ref="F148:G148"/>
    <mergeCell ref="F149:G149"/>
    <mergeCell ref="F150:G150"/>
    <mergeCell ref="F151:G151"/>
    <mergeCell ref="F152:G152"/>
    <mergeCell ref="F153:G153"/>
    <mergeCell ref="F154:G154"/>
    <mergeCell ref="F155:G155"/>
    <mergeCell ref="F156:G156"/>
    <mergeCell ref="F157:G157"/>
    <mergeCell ref="F158:G158"/>
    <mergeCell ref="F159:G159"/>
    <mergeCell ref="F160:G160"/>
    <mergeCell ref="F161:G161"/>
    <mergeCell ref="F162:G162"/>
    <mergeCell ref="F163:G163"/>
    <mergeCell ref="F164:G164"/>
    <mergeCell ref="F165:G165"/>
    <mergeCell ref="F166:G166"/>
    <mergeCell ref="F167:G167"/>
    <mergeCell ref="F168:G168"/>
    <mergeCell ref="F169:G169"/>
    <mergeCell ref="F170:G170"/>
    <mergeCell ref="F171:G171"/>
    <mergeCell ref="F172:G172"/>
    <mergeCell ref="F173:G173"/>
    <mergeCell ref="F174:G174"/>
    <mergeCell ref="F175:G175"/>
    <mergeCell ref="F176:G176"/>
    <mergeCell ref="F177:G177"/>
    <mergeCell ref="F178:G178"/>
    <mergeCell ref="F179:G179"/>
    <mergeCell ref="F180:G180"/>
    <mergeCell ref="F181:G181"/>
    <mergeCell ref="F182:G182"/>
    <mergeCell ref="F183:G183"/>
    <mergeCell ref="F184:G184"/>
    <mergeCell ref="F185:G185"/>
    <mergeCell ref="F186:G186"/>
    <mergeCell ref="F187:G187"/>
    <mergeCell ref="F188:G188"/>
    <mergeCell ref="F189:G189"/>
    <mergeCell ref="F190:G190"/>
    <mergeCell ref="F191:G191"/>
    <mergeCell ref="F192:G192"/>
    <mergeCell ref="F193:G193"/>
    <mergeCell ref="F194:G194"/>
    <mergeCell ref="F195:G195"/>
    <mergeCell ref="F196:G196"/>
    <mergeCell ref="F197:G197"/>
    <mergeCell ref="F198:G198"/>
    <mergeCell ref="F199:G199"/>
    <mergeCell ref="F200:G200"/>
    <mergeCell ref="F201:G201"/>
    <mergeCell ref="F202:G202"/>
    <mergeCell ref="F203:G203"/>
    <mergeCell ref="F205:G205"/>
    <mergeCell ref="F206:G206"/>
    <mergeCell ref="F207:G207"/>
    <mergeCell ref="F208:G208"/>
    <mergeCell ref="F209:G209"/>
    <mergeCell ref="F210:G210"/>
    <mergeCell ref="F211:G211"/>
    <mergeCell ref="F212:G212"/>
    <mergeCell ref="F213:G213"/>
    <mergeCell ref="F214:G214"/>
    <mergeCell ref="F215:G215"/>
    <mergeCell ref="F216:G216"/>
    <mergeCell ref="F217:G217"/>
    <mergeCell ref="F218:G218"/>
    <mergeCell ref="F219:G219"/>
    <mergeCell ref="F220:G220"/>
    <mergeCell ref="F221:G221"/>
    <mergeCell ref="F222:G222"/>
    <mergeCell ref="F223:G223"/>
    <mergeCell ref="F224:G224"/>
    <mergeCell ref="F225:G225"/>
    <mergeCell ref="F226:G226"/>
    <mergeCell ref="F227:G227"/>
    <mergeCell ref="F228:G228"/>
    <mergeCell ref="F229:G229"/>
    <mergeCell ref="F230:G230"/>
    <mergeCell ref="F231:G231"/>
    <mergeCell ref="F232:G232"/>
    <mergeCell ref="F233:G233"/>
    <mergeCell ref="F234:G234"/>
    <mergeCell ref="F235:G235"/>
    <mergeCell ref="F236:G236"/>
    <mergeCell ref="F237:G237"/>
    <mergeCell ref="F238:G238"/>
    <mergeCell ref="F239:G239"/>
    <mergeCell ref="F240:G240"/>
    <mergeCell ref="F241:G241"/>
    <mergeCell ref="F242:G242"/>
    <mergeCell ref="F243:G243"/>
    <mergeCell ref="F244:G244"/>
    <mergeCell ref="F245:G245"/>
    <mergeCell ref="F246:G246"/>
    <mergeCell ref="F247:G247"/>
    <mergeCell ref="F248:G248"/>
    <mergeCell ref="F249:G249"/>
    <mergeCell ref="F250:G250"/>
    <mergeCell ref="F251:G251"/>
    <mergeCell ref="F252:G252"/>
    <mergeCell ref="F253:G253"/>
    <mergeCell ref="F254:G254"/>
    <mergeCell ref="F255:G255"/>
    <mergeCell ref="F256:G256"/>
    <mergeCell ref="F257:G257"/>
    <mergeCell ref="F258:G258"/>
    <mergeCell ref="F259:G259"/>
    <mergeCell ref="F260:G260"/>
    <mergeCell ref="F261:G261"/>
    <mergeCell ref="F262:G262"/>
    <mergeCell ref="F263:G263"/>
    <mergeCell ref="F264:G264"/>
    <mergeCell ref="F265:G265"/>
    <mergeCell ref="F266:G266"/>
    <mergeCell ref="F267:G267"/>
    <mergeCell ref="F268:G268"/>
    <mergeCell ref="F269:G269"/>
    <mergeCell ref="F270:G270"/>
    <mergeCell ref="F271:G271"/>
    <mergeCell ref="F272:G272"/>
    <mergeCell ref="F273:G273"/>
    <mergeCell ref="F274:G274"/>
    <mergeCell ref="F275:G275"/>
    <mergeCell ref="F276:G276"/>
    <mergeCell ref="F277:G277"/>
    <mergeCell ref="F278:G278"/>
    <mergeCell ref="F279:G279"/>
    <mergeCell ref="F280:G280"/>
    <mergeCell ref="F281:G281"/>
    <mergeCell ref="F282:G282"/>
    <mergeCell ref="F283:G283"/>
    <mergeCell ref="F284:G284"/>
    <mergeCell ref="F285:G285"/>
    <mergeCell ref="F286:G286"/>
    <mergeCell ref="F287:G287"/>
    <mergeCell ref="F288:G288"/>
    <mergeCell ref="F289:G289"/>
    <mergeCell ref="F290:G290"/>
    <mergeCell ref="F291:G291"/>
    <mergeCell ref="F292:G292"/>
    <mergeCell ref="F293:G293"/>
    <mergeCell ref="F294:G294"/>
    <mergeCell ref="F295:G295"/>
    <mergeCell ref="F296:G296"/>
    <mergeCell ref="F297:G297"/>
    <mergeCell ref="F298:G298"/>
    <mergeCell ref="F299:G299"/>
    <mergeCell ref="F301:G301"/>
    <mergeCell ref="F302:G302"/>
    <mergeCell ref="F303:G303"/>
    <mergeCell ref="F304:G304"/>
    <mergeCell ref="F305:G305"/>
    <mergeCell ref="F306:G306"/>
    <mergeCell ref="F307:G307"/>
    <mergeCell ref="F308:G308"/>
    <mergeCell ref="F309:G309"/>
    <mergeCell ref="F310:G310"/>
    <mergeCell ref="F311:G311"/>
    <mergeCell ref="F312:G312"/>
    <mergeCell ref="F313:G313"/>
    <mergeCell ref="F314:G314"/>
    <mergeCell ref="F315:G315"/>
    <mergeCell ref="F316:G316"/>
    <mergeCell ref="F317:G317"/>
    <mergeCell ref="F318:G318"/>
    <mergeCell ref="F319:G319"/>
    <mergeCell ref="F320:G320"/>
    <mergeCell ref="F321:G321"/>
    <mergeCell ref="F322:G322"/>
    <mergeCell ref="F323:G323"/>
    <mergeCell ref="F324:G324"/>
    <mergeCell ref="F325:G325"/>
    <mergeCell ref="F327:G327"/>
    <mergeCell ref="F328:G328"/>
    <mergeCell ref="F329:G329"/>
    <mergeCell ref="F330:G330"/>
    <mergeCell ref="F331:G331"/>
    <mergeCell ref="F332:G332"/>
    <mergeCell ref="F333:G333"/>
    <mergeCell ref="F334:G334"/>
    <mergeCell ref="F335:G335"/>
    <mergeCell ref="F336:G336"/>
    <mergeCell ref="F337:G337"/>
    <mergeCell ref="F338:G338"/>
    <mergeCell ref="F339:G339"/>
    <mergeCell ref="F340:G340"/>
    <mergeCell ref="F341:G341"/>
    <mergeCell ref="F342:G342"/>
    <mergeCell ref="F343:G343"/>
    <mergeCell ref="F344:G344"/>
    <mergeCell ref="F345:G345"/>
    <mergeCell ref="F347:G347"/>
    <mergeCell ref="F349:G349"/>
    <mergeCell ref="F350:G350"/>
    <mergeCell ref="F351:G351"/>
    <mergeCell ref="F352:G352"/>
    <mergeCell ref="F353:G353"/>
    <mergeCell ref="F354:G354"/>
    <mergeCell ref="F355:G355"/>
    <mergeCell ref="F356:G356"/>
    <mergeCell ref="F357:G357"/>
    <mergeCell ref="F358:G358"/>
    <mergeCell ref="F359:G359"/>
    <mergeCell ref="F360:G360"/>
    <mergeCell ref="F361:G361"/>
    <mergeCell ref="F362:G362"/>
    <mergeCell ref="F363:G363"/>
    <mergeCell ref="F364:G364"/>
    <mergeCell ref="F365:G365"/>
    <mergeCell ref="F367:G367"/>
    <mergeCell ref="F368:G368"/>
    <mergeCell ref="F369:G369"/>
    <mergeCell ref="F370:G370"/>
    <mergeCell ref="F371:G371"/>
    <mergeCell ref="F372:G372"/>
    <mergeCell ref="F373:G373"/>
    <mergeCell ref="F374:G374"/>
    <mergeCell ref="F375:G375"/>
    <mergeCell ref="F376:G376"/>
    <mergeCell ref="F377:G377"/>
    <mergeCell ref="F378:G378"/>
    <mergeCell ref="F379:G379"/>
    <mergeCell ref="F380:G380"/>
    <mergeCell ref="F381:G381"/>
    <mergeCell ref="F382:G382"/>
    <mergeCell ref="F383:G383"/>
    <mergeCell ref="F384:G384"/>
    <mergeCell ref="F385:G385"/>
    <mergeCell ref="F386:G386"/>
    <mergeCell ref="F387:G387"/>
    <mergeCell ref="F388:G388"/>
    <mergeCell ref="F389:G389"/>
    <mergeCell ref="F390:G390"/>
    <mergeCell ref="F391:G391"/>
    <mergeCell ref="F392:G392"/>
    <mergeCell ref="F393:G393"/>
    <mergeCell ref="F394:G394"/>
    <mergeCell ref="F395:G395"/>
    <mergeCell ref="F396:G396"/>
    <mergeCell ref="F397:G397"/>
    <mergeCell ref="F398:G398"/>
    <mergeCell ref="F399:G399"/>
    <mergeCell ref="F400:G400"/>
    <mergeCell ref="F401:G401"/>
    <mergeCell ref="F402:G402"/>
    <mergeCell ref="F403:G403"/>
    <mergeCell ref="F404:G404"/>
    <mergeCell ref="F405:G405"/>
    <mergeCell ref="F406:G406"/>
    <mergeCell ref="F407:G407"/>
    <mergeCell ref="F408:G408"/>
    <mergeCell ref="F409:G409"/>
    <mergeCell ref="F410:G410"/>
    <mergeCell ref="F411:G411"/>
    <mergeCell ref="F412:G412"/>
    <mergeCell ref="F413:G413"/>
    <mergeCell ref="F414:G414"/>
    <mergeCell ref="F415:G415"/>
    <mergeCell ref="F416:G416"/>
    <mergeCell ref="F417:G417"/>
    <mergeCell ref="F418:G418"/>
    <mergeCell ref="F419:G419"/>
    <mergeCell ref="F420:G420"/>
    <mergeCell ref="F421:G421"/>
    <mergeCell ref="F422:G422"/>
    <mergeCell ref="F423:G423"/>
    <mergeCell ref="F424:G424"/>
    <mergeCell ref="F425:G425"/>
    <mergeCell ref="F426:G426"/>
    <mergeCell ref="F427:G427"/>
    <mergeCell ref="F428:G428"/>
    <mergeCell ref="F429:G429"/>
    <mergeCell ref="F430:G430"/>
    <mergeCell ref="F431:G431"/>
    <mergeCell ref="F432:G432"/>
    <mergeCell ref="F433:G433"/>
    <mergeCell ref="F434:G434"/>
    <mergeCell ref="F435:G435"/>
    <mergeCell ref="F436:G436"/>
    <mergeCell ref="F437:G437"/>
    <mergeCell ref="F438:G438"/>
    <mergeCell ref="F439:G439"/>
    <mergeCell ref="F440:G440"/>
    <mergeCell ref="F441:G441"/>
    <mergeCell ref="F442:G442"/>
    <mergeCell ref="F443:G443"/>
    <mergeCell ref="F444:G444"/>
    <mergeCell ref="F445:G445"/>
    <mergeCell ref="F446:G446"/>
    <mergeCell ref="F447:G447"/>
    <mergeCell ref="F448:G448"/>
    <mergeCell ref="F449:G449"/>
    <mergeCell ref="F450:G450"/>
    <mergeCell ref="F451:G451"/>
    <mergeCell ref="F452:G452"/>
    <mergeCell ref="F453:G453"/>
    <mergeCell ref="F455:G455"/>
    <mergeCell ref="F456:G456"/>
    <mergeCell ref="F457:G457"/>
    <mergeCell ref="F458:G458"/>
    <mergeCell ref="F459:G459"/>
    <mergeCell ref="F460:G460"/>
    <mergeCell ref="F461:G461"/>
    <mergeCell ref="F462:G462"/>
    <mergeCell ref="F463:G463"/>
    <mergeCell ref="F464:G464"/>
    <mergeCell ref="F465:G465"/>
    <mergeCell ref="F466:G466"/>
    <mergeCell ref="F467:G467"/>
    <mergeCell ref="F468:G468"/>
    <mergeCell ref="F469:G469"/>
    <mergeCell ref="F470:G470"/>
    <mergeCell ref="F471:G471"/>
    <mergeCell ref="F472:G472"/>
    <mergeCell ref="F473:G473"/>
    <mergeCell ref="F474:G474"/>
    <mergeCell ref="F475:G475"/>
    <mergeCell ref="F476:G476"/>
    <mergeCell ref="F477:G477"/>
    <mergeCell ref="F478:G478"/>
    <mergeCell ref="F479:G479"/>
    <mergeCell ref="F480:G480"/>
    <mergeCell ref="F481:G481"/>
    <mergeCell ref="F485:G485"/>
    <mergeCell ref="F486:G486"/>
    <mergeCell ref="F487:G487"/>
    <mergeCell ref="F488:G488"/>
    <mergeCell ref="F489:G489"/>
    <mergeCell ref="F490:G490"/>
    <mergeCell ref="F491:G491"/>
    <mergeCell ref="F501:G501"/>
    <mergeCell ref="F502:G502"/>
    <mergeCell ref="F503:G503"/>
    <mergeCell ref="F504:G504"/>
    <mergeCell ref="F505:G505"/>
    <mergeCell ref="F506:G506"/>
    <mergeCell ref="F507:G507"/>
    <mergeCell ref="F508:G508"/>
    <mergeCell ref="F511:G511"/>
    <mergeCell ref="F514:G514"/>
    <mergeCell ref="F515:G515"/>
    <mergeCell ref="F516:G516"/>
    <mergeCell ref="F517:G517"/>
    <mergeCell ref="F518:G518"/>
    <mergeCell ref="F519:G519"/>
    <mergeCell ref="F520:G520"/>
    <mergeCell ref="F521:G521"/>
    <mergeCell ref="F524:G524"/>
    <mergeCell ref="F526:G526"/>
    <mergeCell ref="F527:G527"/>
    <mergeCell ref="F528:G528"/>
    <mergeCell ref="F530:G530"/>
    <mergeCell ref="F531:G531"/>
    <mergeCell ref="F532:G532"/>
    <mergeCell ref="F533:G533"/>
    <mergeCell ref="F534:G534"/>
    <mergeCell ref="F535:G535"/>
    <mergeCell ref="F536:G536"/>
    <mergeCell ref="F537:G537"/>
    <mergeCell ref="F538:G538"/>
    <mergeCell ref="F539:G539"/>
    <mergeCell ref="F540:G540"/>
    <mergeCell ref="F541:G541"/>
    <mergeCell ref="F621:G621"/>
    <mergeCell ref="F622:G622"/>
    <mergeCell ref="F623:G623"/>
    <mergeCell ref="F624:G624"/>
    <mergeCell ref="F625:G625"/>
    <mergeCell ref="F626:G626"/>
    <mergeCell ref="F627:G627"/>
    <mergeCell ref="F635:G635"/>
    <mergeCell ref="F636:G636"/>
    <mergeCell ref="F628:G628"/>
    <mergeCell ref="F629:G629"/>
    <mergeCell ref="F630:G630"/>
    <mergeCell ref="F631:G631"/>
    <mergeCell ref="F632:G632"/>
    <mergeCell ref="F633:G633"/>
    <mergeCell ref="F634:G634"/>
    <mergeCell ref="M568:N568"/>
    <mergeCell ref="M569:N569"/>
    <mergeCell ref="M571:N571"/>
    <mergeCell ref="M572:N572"/>
    <mergeCell ref="M573:N573"/>
    <mergeCell ref="M574:N574"/>
    <mergeCell ref="M576:N576"/>
    <mergeCell ref="M577:N577"/>
    <mergeCell ref="M578:N578"/>
    <mergeCell ref="M580:N580"/>
    <mergeCell ref="M581:N581"/>
    <mergeCell ref="M582:N582"/>
    <mergeCell ref="M583:N583"/>
    <mergeCell ref="M584:N584"/>
    <mergeCell ref="M585:N585"/>
    <mergeCell ref="M586:N586"/>
    <mergeCell ref="M587:N587"/>
    <mergeCell ref="M588:N588"/>
    <mergeCell ref="M589:N589"/>
    <mergeCell ref="M591:N591"/>
    <mergeCell ref="M592:N592"/>
    <mergeCell ref="M593:N593"/>
    <mergeCell ref="M594:N594"/>
    <mergeCell ref="M595:N595"/>
    <mergeCell ref="M596:N596"/>
    <mergeCell ref="M597:N597"/>
    <mergeCell ref="M598:N598"/>
    <mergeCell ref="M601:N601"/>
    <mergeCell ref="M602:N602"/>
    <mergeCell ref="M603:N603"/>
    <mergeCell ref="M604:N604"/>
    <mergeCell ref="M605:N605"/>
    <mergeCell ref="M606:N606"/>
    <mergeCell ref="M607:N607"/>
    <mergeCell ref="M608:N608"/>
    <mergeCell ref="M609:N609"/>
    <mergeCell ref="M610:N610"/>
    <mergeCell ref="M611:N611"/>
    <mergeCell ref="M612:N612"/>
    <mergeCell ref="M614:N614"/>
    <mergeCell ref="M615:N615"/>
    <mergeCell ref="M617:N617"/>
    <mergeCell ref="M618:N618"/>
    <mergeCell ref="M619:N619"/>
    <mergeCell ref="M620:N620"/>
    <mergeCell ref="M621:N621"/>
    <mergeCell ref="M622:N622"/>
    <mergeCell ref="M623:N623"/>
    <mergeCell ref="M624:N624"/>
    <mergeCell ref="M674:N674"/>
    <mergeCell ref="M675:N675"/>
    <mergeCell ref="M676:N676"/>
    <mergeCell ref="M677:N677"/>
    <mergeCell ref="M678:N678"/>
    <mergeCell ref="M679:N679"/>
    <mergeCell ref="M680:N680"/>
    <mergeCell ref="M767:N767"/>
    <mergeCell ref="M768:N768"/>
    <mergeCell ref="M1134:N1134"/>
    <mergeCell ref="M681:N681"/>
    <mergeCell ref="M682:N682"/>
    <mergeCell ref="M683:N683"/>
    <mergeCell ref="M684:N684"/>
    <mergeCell ref="M685:N685"/>
    <mergeCell ref="M686:N686"/>
    <mergeCell ref="M687:N687"/>
    <mergeCell ref="M625:N625"/>
    <mergeCell ref="M626:N626"/>
    <mergeCell ref="M627:N627"/>
    <mergeCell ref="M628:N628"/>
    <mergeCell ref="M629:N629"/>
    <mergeCell ref="M630:N630"/>
    <mergeCell ref="M631:N631"/>
    <mergeCell ref="M632:N632"/>
    <mergeCell ref="M633:N633"/>
    <mergeCell ref="M634:N634"/>
    <mergeCell ref="M635:N635"/>
    <mergeCell ref="M636:N636"/>
    <mergeCell ref="M637:N637"/>
    <mergeCell ref="M638:N638"/>
    <mergeCell ref="M639:N639"/>
    <mergeCell ref="M640:N640"/>
    <mergeCell ref="M641:N641"/>
    <mergeCell ref="M642:N642"/>
    <mergeCell ref="M643:N643"/>
    <mergeCell ref="M644:N644"/>
    <mergeCell ref="M645:N645"/>
    <mergeCell ref="M646:N646"/>
    <mergeCell ref="M647:N647"/>
    <mergeCell ref="M648:N648"/>
    <mergeCell ref="M649:N649"/>
    <mergeCell ref="M650:N650"/>
    <mergeCell ref="M651:N651"/>
    <mergeCell ref="M652:N652"/>
    <mergeCell ref="M653:N653"/>
    <mergeCell ref="M654:N654"/>
    <mergeCell ref="M655:N655"/>
    <mergeCell ref="M656:N656"/>
    <mergeCell ref="M657:N657"/>
    <mergeCell ref="M658:N658"/>
    <mergeCell ref="M659:N659"/>
    <mergeCell ref="M660:N660"/>
    <mergeCell ref="M661:N661"/>
    <mergeCell ref="M662:N662"/>
    <mergeCell ref="M663:N663"/>
    <mergeCell ref="M664:N664"/>
    <mergeCell ref="M665:N665"/>
    <mergeCell ref="M666:N666"/>
    <mergeCell ref="M667:N667"/>
    <mergeCell ref="M668:N668"/>
    <mergeCell ref="M669:N669"/>
    <mergeCell ref="M670:N670"/>
    <mergeCell ref="M671:N671"/>
    <mergeCell ref="M672:N672"/>
    <mergeCell ref="M673:N673"/>
    <mergeCell ref="A1:R1"/>
    <mergeCell ref="F3:G3"/>
    <mergeCell ref="M3:N3"/>
    <mergeCell ref="F4:G4"/>
    <mergeCell ref="M4:N4"/>
    <mergeCell ref="H5:I5"/>
    <mergeCell ref="F6:G6"/>
    <mergeCell ref="F7:G7"/>
    <mergeCell ref="F8:G8"/>
    <mergeCell ref="M8:N8"/>
    <mergeCell ref="F9:G9"/>
    <mergeCell ref="F10:G10"/>
    <mergeCell ref="F11:G11"/>
    <mergeCell ref="M11:N11"/>
    <mergeCell ref="F13:G13"/>
    <mergeCell ref="F14:G14"/>
    <mergeCell ref="M14:N14"/>
    <mergeCell ref="F15:G15"/>
    <mergeCell ref="M15:N15"/>
    <mergeCell ref="F16:G16"/>
    <mergeCell ref="F17:G17"/>
    <mergeCell ref="F18:G18"/>
    <mergeCell ref="F19:G19"/>
    <mergeCell ref="F20:G20"/>
    <mergeCell ref="F21:G21"/>
    <mergeCell ref="F22:G22"/>
    <mergeCell ref="F23:G23"/>
    <mergeCell ref="F24:G24"/>
    <mergeCell ref="M30:N30"/>
    <mergeCell ref="M31:N31"/>
    <mergeCell ref="M36:N36"/>
    <mergeCell ref="M38:N38"/>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 ref="F45:G45"/>
    <mergeCell ref="F46:G46"/>
    <mergeCell ref="F47:G47"/>
    <mergeCell ref="F48:G48"/>
    <mergeCell ref="M48:N48"/>
    <mergeCell ref="M49:N49"/>
    <mergeCell ref="M50:N50"/>
    <mergeCell ref="M51:N51"/>
    <mergeCell ref="F49:G49"/>
    <mergeCell ref="F50:G50"/>
    <mergeCell ref="F51:G51"/>
    <mergeCell ref="F52:G52"/>
    <mergeCell ref="F53:G53"/>
    <mergeCell ref="F54:G54"/>
    <mergeCell ref="F56:G56"/>
    <mergeCell ref="F57:G57"/>
    <mergeCell ref="F58:G58"/>
    <mergeCell ref="F59:G59"/>
    <mergeCell ref="F60:G60"/>
    <mergeCell ref="F61:G61"/>
    <mergeCell ref="F62:G62"/>
    <mergeCell ref="F63:G63"/>
    <mergeCell ref="F71:G71"/>
    <mergeCell ref="F72:G72"/>
    <mergeCell ref="M72:N72"/>
    <mergeCell ref="F64:G64"/>
    <mergeCell ref="F65:G65"/>
    <mergeCell ref="F66:G66"/>
    <mergeCell ref="F67:G67"/>
    <mergeCell ref="F68:G68"/>
    <mergeCell ref="F69:G69"/>
    <mergeCell ref="F70:G70"/>
    <mergeCell ref="M53:N53"/>
    <mergeCell ref="M54:N54"/>
    <mergeCell ref="M58:N58"/>
    <mergeCell ref="M60:N60"/>
    <mergeCell ref="M63:N63"/>
    <mergeCell ref="M76:N76"/>
    <mergeCell ref="M77:N77"/>
    <mergeCell ref="F73:G73"/>
    <mergeCell ref="F74:G74"/>
    <mergeCell ref="F75:G75"/>
    <mergeCell ref="F76:G76"/>
    <mergeCell ref="F77:G77"/>
    <mergeCell ref="F78:G78"/>
    <mergeCell ref="F79:G79"/>
    <mergeCell ref="F80:G80"/>
    <mergeCell ref="F81:G81"/>
    <mergeCell ref="F82:G82"/>
    <mergeCell ref="F83:G83"/>
    <mergeCell ref="F84:G84"/>
    <mergeCell ref="F85:G85"/>
    <mergeCell ref="F86:G86"/>
    <mergeCell ref="F87:G87"/>
    <mergeCell ref="F88:G88"/>
    <mergeCell ref="F89:G89"/>
    <mergeCell ref="F90:G90"/>
    <mergeCell ref="F91:G91"/>
    <mergeCell ref="F92:G92"/>
    <mergeCell ref="F93:G93"/>
    <mergeCell ref="F94:G94"/>
    <mergeCell ref="F95:G95"/>
    <mergeCell ref="F96:G96"/>
    <mergeCell ref="F97:G97"/>
    <mergeCell ref="F98:G98"/>
    <mergeCell ref="F99:G99"/>
    <mergeCell ref="F100:G100"/>
    <mergeCell ref="F101:G101"/>
    <mergeCell ref="F102:G102"/>
    <mergeCell ref="F103:G103"/>
    <mergeCell ref="F104:G104"/>
    <mergeCell ref="F105:G105"/>
    <mergeCell ref="F106:G106"/>
    <mergeCell ref="F107:G107"/>
    <mergeCell ref="F108:G108"/>
    <mergeCell ref="F109:G109"/>
    <mergeCell ref="F110:G110"/>
    <mergeCell ref="F111:G111"/>
    <mergeCell ref="F112:G112"/>
    <mergeCell ref="F113:G113"/>
    <mergeCell ref="F114:G114"/>
    <mergeCell ref="F115:G115"/>
    <mergeCell ref="F116:G116"/>
    <mergeCell ref="F117:G117"/>
    <mergeCell ref="F118:G118"/>
    <mergeCell ref="F119:G119"/>
    <mergeCell ref="F120:G120"/>
    <mergeCell ref="F121:G121"/>
    <mergeCell ref="M81:N81"/>
    <mergeCell ref="M82:N82"/>
    <mergeCell ref="M87:N87"/>
    <mergeCell ref="M89:N89"/>
    <mergeCell ref="M90:N90"/>
    <mergeCell ref="M95:N95"/>
    <mergeCell ref="M96:N96"/>
    <mergeCell ref="M97:N97"/>
    <mergeCell ref="M101:N101"/>
    <mergeCell ref="M106:N106"/>
    <mergeCell ref="M109:N109"/>
    <mergeCell ref="M111:N111"/>
    <mergeCell ref="M112:N112"/>
    <mergeCell ref="M113:N113"/>
    <mergeCell ref="M120:N120"/>
    <mergeCell ref="M121:N121"/>
    <mergeCell ref="M128:N128"/>
    <mergeCell ref="M129:N129"/>
    <mergeCell ref="M130:N130"/>
    <mergeCell ref="M131:N131"/>
    <mergeCell ref="M132:N132"/>
    <mergeCell ref="M133:N133"/>
    <mergeCell ref="M134:N134"/>
    <mergeCell ref="M135:N135"/>
    <mergeCell ref="M137:N137"/>
    <mergeCell ref="M138:N138"/>
    <mergeCell ref="M141:N141"/>
    <mergeCell ref="M144:N144"/>
    <mergeCell ref="M145:N145"/>
    <mergeCell ref="M146:N146"/>
    <mergeCell ref="M147:N147"/>
    <mergeCell ref="M148:N148"/>
    <mergeCell ref="M149:N149"/>
    <mergeCell ref="M150:N150"/>
    <mergeCell ref="M151:N151"/>
    <mergeCell ref="M153:N153"/>
    <mergeCell ref="M154:N154"/>
    <mergeCell ref="M155:N155"/>
    <mergeCell ref="M160:N160"/>
    <mergeCell ref="M161:N161"/>
    <mergeCell ref="M162:N162"/>
    <mergeCell ref="M163:N163"/>
    <mergeCell ref="M164:N164"/>
    <mergeCell ref="M169:N169"/>
    <mergeCell ref="M170:N170"/>
    <mergeCell ref="M173:N173"/>
    <mergeCell ref="M183:N183"/>
    <mergeCell ref="M186:N186"/>
    <mergeCell ref="M189:N189"/>
    <mergeCell ref="M192:N192"/>
    <mergeCell ref="M203:N203"/>
    <mergeCell ref="M206:N206"/>
    <mergeCell ref="M207:N207"/>
    <mergeCell ref="M209:N209"/>
    <mergeCell ref="M211:N211"/>
    <mergeCell ref="M219:N219"/>
    <mergeCell ref="M220:N220"/>
    <mergeCell ref="M221:N221"/>
    <mergeCell ref="M223:N223"/>
    <mergeCell ref="M224:N224"/>
    <mergeCell ref="M231:N231"/>
    <mergeCell ref="M234:N234"/>
    <mergeCell ref="M239:N239"/>
    <mergeCell ref="M260:N260"/>
    <mergeCell ref="M268:N268"/>
    <mergeCell ref="M272:N272"/>
    <mergeCell ref="M274:N274"/>
    <mergeCell ref="M277:N277"/>
    <mergeCell ref="M288:N288"/>
    <mergeCell ref="M296:N296"/>
    <mergeCell ref="M308:N308"/>
    <mergeCell ref="M312:N312"/>
    <mergeCell ref="M316:N316"/>
    <mergeCell ref="M318:N318"/>
    <mergeCell ref="M327:N327"/>
    <mergeCell ref="M333:N333"/>
    <mergeCell ref="M336:N336"/>
    <mergeCell ref="M337:N337"/>
    <mergeCell ref="M340:N340"/>
    <mergeCell ref="M343:N343"/>
    <mergeCell ref="M344:N344"/>
    <mergeCell ref="M345:N345"/>
    <mergeCell ref="M347:N347"/>
    <mergeCell ref="M350:N350"/>
    <mergeCell ref="M352:N352"/>
    <mergeCell ref="M355:N355"/>
    <mergeCell ref="M361:N361"/>
    <mergeCell ref="M362:N362"/>
    <mergeCell ref="M363:N363"/>
    <mergeCell ref="M365:N365"/>
    <mergeCell ref="M367:N367"/>
    <mergeCell ref="M368:N368"/>
    <mergeCell ref="M370:N370"/>
    <mergeCell ref="M371:N371"/>
    <mergeCell ref="M382:N382"/>
    <mergeCell ref="M385:N385"/>
    <mergeCell ref="M386:N386"/>
    <mergeCell ref="M387:N387"/>
    <mergeCell ref="F300:H300"/>
    <mergeCell ref="F346:H346"/>
    <mergeCell ref="F348:H348"/>
    <mergeCell ref="F483:H483"/>
    <mergeCell ref="F484:H484"/>
    <mergeCell ref="H489:I489"/>
    <mergeCell ref="H490:I490"/>
    <mergeCell ref="H491:I491"/>
    <mergeCell ref="H513:I513"/>
    <mergeCell ref="F492:H492"/>
    <mergeCell ref="F493:H493"/>
    <mergeCell ref="F495:H495"/>
    <mergeCell ref="F496:H496"/>
    <mergeCell ref="F497:H497"/>
    <mergeCell ref="F498:H498"/>
    <mergeCell ref="F499:H499"/>
    <mergeCell ref="F529:H529"/>
    <mergeCell ref="F553:H553"/>
    <mergeCell ref="F554:H554"/>
    <mergeCell ref="F555:H555"/>
    <mergeCell ref="F557:H557"/>
    <mergeCell ref="F569:H569"/>
    <mergeCell ref="F574:H574"/>
    <mergeCell ref="F611:H611"/>
    <mergeCell ref="F615:H615"/>
    <mergeCell ref="F616:H616"/>
    <mergeCell ref="F586:H586"/>
    <mergeCell ref="F587:H587"/>
    <mergeCell ref="F594:H594"/>
    <mergeCell ref="F595:H595"/>
    <mergeCell ref="F608:H608"/>
    <mergeCell ref="F609:H609"/>
    <mergeCell ref="F610:H610"/>
    <mergeCell ref="M388:N388"/>
    <mergeCell ref="M389:N389"/>
    <mergeCell ref="M393:N393"/>
    <mergeCell ref="M394:N394"/>
    <mergeCell ref="M398:N398"/>
    <mergeCell ref="M399:N399"/>
    <mergeCell ref="M402:N402"/>
    <mergeCell ref="M403:N403"/>
    <mergeCell ref="M404:N404"/>
    <mergeCell ref="M406:N406"/>
    <mergeCell ref="M408:N408"/>
    <mergeCell ref="M410:N410"/>
    <mergeCell ref="M416:N416"/>
    <mergeCell ref="M418:N418"/>
    <mergeCell ref="M419:N419"/>
    <mergeCell ref="M420:N420"/>
    <mergeCell ref="M421:N421"/>
    <mergeCell ref="M422:N422"/>
    <mergeCell ref="M429:N429"/>
    <mergeCell ref="M431:N431"/>
    <mergeCell ref="M443:N443"/>
    <mergeCell ref="M453:N453"/>
    <mergeCell ref="M456:N456"/>
    <mergeCell ref="M459:N459"/>
    <mergeCell ref="M464:N464"/>
    <mergeCell ref="M466:N466"/>
    <mergeCell ref="M470:N470"/>
    <mergeCell ref="M472:N472"/>
    <mergeCell ref="M473:N473"/>
    <mergeCell ref="M475:N475"/>
    <mergeCell ref="M478:N478"/>
    <mergeCell ref="M537:N537"/>
    <mergeCell ref="M538:N538"/>
    <mergeCell ref="M539:N539"/>
    <mergeCell ref="M540:N540"/>
    <mergeCell ref="M541:N541"/>
    <mergeCell ref="M542:N542"/>
    <mergeCell ref="M543:N543"/>
    <mergeCell ref="M544:N544"/>
    <mergeCell ref="M545:N545"/>
    <mergeCell ref="M546:N546"/>
    <mergeCell ref="M547:N547"/>
    <mergeCell ref="M553:N553"/>
    <mergeCell ref="M554:N554"/>
    <mergeCell ref="M555:N555"/>
    <mergeCell ref="M560:N560"/>
    <mergeCell ref="M562:N562"/>
    <mergeCell ref="M563:N563"/>
    <mergeCell ref="M566:N566"/>
    <mergeCell ref="F542:G542"/>
    <mergeCell ref="F543:G543"/>
    <mergeCell ref="F544:G544"/>
    <mergeCell ref="F545:G545"/>
    <mergeCell ref="F546:G546"/>
    <mergeCell ref="F547:G547"/>
    <mergeCell ref="F548:G548"/>
    <mergeCell ref="F549:G549"/>
    <mergeCell ref="F550:G550"/>
    <mergeCell ref="F551:G551"/>
    <mergeCell ref="F552:G552"/>
    <mergeCell ref="F556:G556"/>
    <mergeCell ref="F558:G558"/>
    <mergeCell ref="F559:G559"/>
    <mergeCell ref="F560:G560"/>
    <mergeCell ref="F561:G561"/>
    <mergeCell ref="F562:G562"/>
    <mergeCell ref="F563:G563"/>
    <mergeCell ref="F564:G564"/>
    <mergeCell ref="F565:G565"/>
    <mergeCell ref="F566:G566"/>
    <mergeCell ref="F567:G567"/>
    <mergeCell ref="F568:G568"/>
    <mergeCell ref="F570:G570"/>
    <mergeCell ref="F571:G571"/>
    <mergeCell ref="F572:G572"/>
    <mergeCell ref="F573:G573"/>
    <mergeCell ref="F575:G575"/>
    <mergeCell ref="F576:G576"/>
    <mergeCell ref="F577:G577"/>
    <mergeCell ref="F578:G578"/>
    <mergeCell ref="F579:G579"/>
    <mergeCell ref="F580:G580"/>
    <mergeCell ref="F581:G581"/>
    <mergeCell ref="F582:G582"/>
    <mergeCell ref="F583:G583"/>
    <mergeCell ref="F584:G584"/>
    <mergeCell ref="F585:G585"/>
    <mergeCell ref="F588:G588"/>
    <mergeCell ref="F589:G589"/>
    <mergeCell ref="F590:G590"/>
    <mergeCell ref="F591:G591"/>
    <mergeCell ref="F612:G612"/>
    <mergeCell ref="F613:G613"/>
    <mergeCell ref="F614:G614"/>
    <mergeCell ref="F617:G617"/>
    <mergeCell ref="F618:G618"/>
    <mergeCell ref="F619:G619"/>
    <mergeCell ref="F620:G620"/>
    <mergeCell ref="F592:G592"/>
    <mergeCell ref="F593:G593"/>
    <mergeCell ref="F596:G596"/>
    <mergeCell ref="F597:G597"/>
    <mergeCell ref="F598:G598"/>
    <mergeCell ref="F599:G599"/>
    <mergeCell ref="F600:G600"/>
    <mergeCell ref="F601:G601"/>
    <mergeCell ref="F602:G602"/>
    <mergeCell ref="F603:G603"/>
    <mergeCell ref="F604:G604"/>
    <mergeCell ref="F605:G605"/>
    <mergeCell ref="F606:G606"/>
    <mergeCell ref="F607:G607"/>
    <mergeCell ref="F637:H637"/>
    <mergeCell ref="F638:G638"/>
    <mergeCell ref="F639:G639"/>
    <mergeCell ref="F640:G640"/>
    <mergeCell ref="F641:G641"/>
    <mergeCell ref="F642:H642"/>
    <mergeCell ref="F643:G643"/>
    <mergeCell ref="F644:H644"/>
    <mergeCell ref="F645:H645"/>
    <mergeCell ref="F646:G646"/>
    <mergeCell ref="F647:G647"/>
    <mergeCell ref="H647:I647"/>
    <mergeCell ref="F648:G648"/>
    <mergeCell ref="H648:I648"/>
    <mergeCell ref="F649:H649"/>
    <mergeCell ref="F650:H650"/>
    <mergeCell ref="F651:G651"/>
    <mergeCell ref="F652:H652"/>
    <mergeCell ref="F653:G653"/>
    <mergeCell ref="F654:G654"/>
    <mergeCell ref="F655:G655"/>
    <mergeCell ref="F656:H656"/>
    <mergeCell ref="F657:H657"/>
    <mergeCell ref="F658:G658"/>
    <mergeCell ref="F659:H659"/>
    <mergeCell ref="F660:H660"/>
    <mergeCell ref="F661:G661"/>
    <mergeCell ref="F662:G662"/>
    <mergeCell ref="F663:G663"/>
    <mergeCell ref="F664:G664"/>
    <mergeCell ref="F665:H665"/>
    <mergeCell ref="F666:G666"/>
    <mergeCell ref="F667:G667"/>
    <mergeCell ref="F668:G668"/>
    <mergeCell ref="F669:G669"/>
    <mergeCell ref="F670:G670"/>
    <mergeCell ref="F671:G671"/>
    <mergeCell ref="F672:G672"/>
    <mergeCell ref="F673:G673"/>
    <mergeCell ref="F674:G674"/>
    <mergeCell ref="F675:G675"/>
    <mergeCell ref="F676:G676"/>
    <mergeCell ref="F677:H677"/>
    <mergeCell ref="F678:H678"/>
    <mergeCell ref="F679:G679"/>
    <mergeCell ref="F680:G680"/>
    <mergeCell ref="F681:G681"/>
    <mergeCell ref="F682:G682"/>
    <mergeCell ref="F683:G683"/>
    <mergeCell ref="F684:G684"/>
    <mergeCell ref="F685:G685"/>
    <mergeCell ref="F686:G686"/>
    <mergeCell ref="F687:G687"/>
    <mergeCell ref="F688:G688"/>
    <mergeCell ref="F689:G689"/>
    <mergeCell ref="F690:G690"/>
    <mergeCell ref="F691:G691"/>
    <mergeCell ref="F692:G692"/>
    <mergeCell ref="F693:H693"/>
    <mergeCell ref="F694:G694"/>
    <mergeCell ref="F695:G695"/>
    <mergeCell ref="F696:G696"/>
    <mergeCell ref="F697:G697"/>
    <mergeCell ref="F698:H698"/>
    <mergeCell ref="F700:H700"/>
    <mergeCell ref="F701:G701"/>
    <mergeCell ref="F702:G702"/>
    <mergeCell ref="F703:G703"/>
    <mergeCell ref="F704:G704"/>
    <mergeCell ref="F706:G706"/>
    <mergeCell ref="F707:G707"/>
    <mergeCell ref="F708:G708"/>
    <mergeCell ref="F709:H709"/>
    <mergeCell ref="F710:G710"/>
    <mergeCell ref="F711:G711"/>
    <mergeCell ref="F712:G712"/>
    <mergeCell ref="F713:G713"/>
    <mergeCell ref="F714:G714"/>
    <mergeCell ref="F715:G715"/>
    <mergeCell ref="F716:G716"/>
    <mergeCell ref="F717:G717"/>
    <mergeCell ref="F719:G719"/>
    <mergeCell ref="F720:G720"/>
    <mergeCell ref="F721:G721"/>
    <mergeCell ref="F722:G722"/>
    <mergeCell ref="F723:G723"/>
    <mergeCell ref="F724:G724"/>
    <mergeCell ref="F725:G725"/>
    <mergeCell ref="F726:G726"/>
    <mergeCell ref="F727:G727"/>
    <mergeCell ref="F728:H728"/>
    <mergeCell ref="F729:H729"/>
    <mergeCell ref="F730:H730"/>
    <mergeCell ref="F731:G731"/>
    <mergeCell ref="F732:G732"/>
    <mergeCell ref="F733:G733"/>
    <mergeCell ref="F734:H734"/>
    <mergeCell ref="F735:G735"/>
    <mergeCell ref="F736:G736"/>
    <mergeCell ref="F737:G737"/>
    <mergeCell ref="F738:G738"/>
    <mergeCell ref="H739:I739"/>
    <mergeCell ref="F740:G740"/>
    <mergeCell ref="F741:G741"/>
    <mergeCell ref="F742:G742"/>
    <mergeCell ref="F743:H743"/>
    <mergeCell ref="F744:H744"/>
    <mergeCell ref="F745:G745"/>
    <mergeCell ref="F746:H746"/>
    <mergeCell ref="F747:G747"/>
    <mergeCell ref="F749:H749"/>
    <mergeCell ref="F750:G750"/>
    <mergeCell ref="F758:H758"/>
    <mergeCell ref="J758:K758"/>
    <mergeCell ref="J759:K759"/>
    <mergeCell ref="F751:G751"/>
    <mergeCell ref="F752:H752"/>
    <mergeCell ref="F753:G753"/>
    <mergeCell ref="F754:G754"/>
    <mergeCell ref="F755:G755"/>
    <mergeCell ref="F756:G756"/>
    <mergeCell ref="F757:G757"/>
    <mergeCell ref="F759:H759"/>
    <mergeCell ref="F760:G760"/>
    <mergeCell ref="F762:G762"/>
    <mergeCell ref="F763:H763"/>
    <mergeCell ref="F764:G764"/>
    <mergeCell ref="F765:G765"/>
    <mergeCell ref="F766:G766"/>
    <mergeCell ref="F815:H815"/>
    <mergeCell ref="F816:H816"/>
    <mergeCell ref="F817:H817"/>
    <mergeCell ref="F818:H818"/>
    <mergeCell ref="F819:G819"/>
    <mergeCell ref="F820:G820"/>
    <mergeCell ref="F821:G821"/>
    <mergeCell ref="F822:G822"/>
    <mergeCell ref="F823:G823"/>
    <mergeCell ref="F824:G824"/>
    <mergeCell ref="F825:G825"/>
    <mergeCell ref="F826:G826"/>
    <mergeCell ref="F827:H827"/>
    <mergeCell ref="F829:G829"/>
    <mergeCell ref="F769:H769"/>
    <mergeCell ref="F770:H770"/>
    <mergeCell ref="J770:K770"/>
    <mergeCell ref="F771:G771"/>
    <mergeCell ref="F772:G772"/>
    <mergeCell ref="F773:G773"/>
    <mergeCell ref="F778:G778"/>
    <mergeCell ref="F779:G779"/>
    <mergeCell ref="F781:H781"/>
    <mergeCell ref="F782:G782"/>
    <mergeCell ref="F783:G783"/>
    <mergeCell ref="F784:G784"/>
    <mergeCell ref="F785:G785"/>
    <mergeCell ref="F786:G786"/>
    <mergeCell ref="F787:G787"/>
    <mergeCell ref="F788:G788"/>
    <mergeCell ref="F789:G789"/>
    <mergeCell ref="F790:G790"/>
    <mergeCell ref="F791:G791"/>
    <mergeCell ref="F792:G792"/>
    <mergeCell ref="F793:G793"/>
    <mergeCell ref="F794:H794"/>
    <mergeCell ref="F795:H795"/>
    <mergeCell ref="F796:H796"/>
    <mergeCell ref="F797:G797"/>
    <mergeCell ref="F798:G798"/>
    <mergeCell ref="F799:G799"/>
    <mergeCell ref="F800:G800"/>
    <mergeCell ref="F801:G801"/>
    <mergeCell ref="F802:G802"/>
    <mergeCell ref="F803:G803"/>
    <mergeCell ref="F804:G804"/>
    <mergeCell ref="F805:G805"/>
    <mergeCell ref="F806:G806"/>
    <mergeCell ref="F807:G807"/>
    <mergeCell ref="F808:H808"/>
    <mergeCell ref="F809:G809"/>
    <mergeCell ref="F810:G810"/>
    <mergeCell ref="F811:G811"/>
    <mergeCell ref="F812:G812"/>
    <mergeCell ref="F813:G813"/>
    <mergeCell ref="F814:G814"/>
    <mergeCell ref="F830:G830"/>
    <mergeCell ref="F834:G834"/>
    <mergeCell ref="F835:G835"/>
    <mergeCell ref="F836:G836"/>
    <mergeCell ref="F837:G837"/>
    <mergeCell ref="F839:G839"/>
    <mergeCell ref="F840:G840"/>
    <mergeCell ref="J849:K849"/>
    <mergeCell ref="J850:K850"/>
    <mergeCell ref="F841:G841"/>
    <mergeCell ref="F845:H845"/>
    <mergeCell ref="F846:H846"/>
    <mergeCell ref="J846:K846"/>
    <mergeCell ref="F848:H848"/>
    <mergeCell ref="F849:H849"/>
    <mergeCell ref="F850:H850"/>
    <mergeCell ref="F851:H851"/>
    <mergeCell ref="J851:K851"/>
    <mergeCell ref="F852:G852"/>
    <mergeCell ref="F853:G853"/>
    <mergeCell ref="F854:G854"/>
    <mergeCell ref="F855:H855"/>
    <mergeCell ref="F856:H856"/>
    <mergeCell ref="F857:G857"/>
    <mergeCell ref="F858:G858"/>
    <mergeCell ref="F859:H859"/>
    <mergeCell ref="F861:G861"/>
    <mergeCell ref="F862:H862"/>
    <mergeCell ref="F863:H863"/>
    <mergeCell ref="F864:G864"/>
    <mergeCell ref="F865:G865"/>
    <mergeCell ref="F866:H866"/>
    <mergeCell ref="J866:K866"/>
    <mergeCell ref="F867:H867"/>
    <mergeCell ref="F868:G868"/>
    <mergeCell ref="F869:H869"/>
    <mergeCell ref="J869:K869"/>
    <mergeCell ref="F870:H870"/>
    <mergeCell ref="F871:H871"/>
    <mergeCell ref="F872:G872"/>
    <mergeCell ref="F873:G873"/>
    <mergeCell ref="F874:G874"/>
    <mergeCell ref="F875:G875"/>
    <mergeCell ref="F876:G876"/>
    <mergeCell ref="F877:G877"/>
    <mergeCell ref="F878:G878"/>
    <mergeCell ref="F879:G879"/>
    <mergeCell ref="F880:G880"/>
    <mergeCell ref="F881:G881"/>
    <mergeCell ref="F882:G882"/>
    <mergeCell ref="F883:G883"/>
    <mergeCell ref="F884:G884"/>
    <mergeCell ref="F885:G885"/>
    <mergeCell ref="F886:G886"/>
    <mergeCell ref="F887:G887"/>
    <mergeCell ref="F888:G888"/>
    <mergeCell ref="F889:H889"/>
    <mergeCell ref="F890:H890"/>
    <mergeCell ref="F891:G891"/>
    <mergeCell ref="F892:H892"/>
    <mergeCell ref="F893:G893"/>
    <mergeCell ref="F894:G894"/>
    <mergeCell ref="F895:H895"/>
    <mergeCell ref="F896:H896"/>
    <mergeCell ref="F897:G897"/>
    <mergeCell ref="F898:G898"/>
    <mergeCell ref="F899:G899"/>
    <mergeCell ref="F900:H900"/>
    <mergeCell ref="F901:H901"/>
    <mergeCell ref="F906:G906"/>
    <mergeCell ref="F907:G907"/>
    <mergeCell ref="F908:H908"/>
    <mergeCell ref="F909:G909"/>
    <mergeCell ref="F910:G910"/>
    <mergeCell ref="F911:G911"/>
    <mergeCell ref="F912:G912"/>
    <mergeCell ref="F913:G913"/>
    <mergeCell ref="F914:G914"/>
    <mergeCell ref="F915:G915"/>
    <mergeCell ref="F916:G916"/>
    <mergeCell ref="F917:G917"/>
    <mergeCell ref="F918:G918"/>
    <mergeCell ref="F919:G919"/>
    <mergeCell ref="F920:G920"/>
    <mergeCell ref="F921:H921"/>
    <mergeCell ref="F922:G922"/>
    <mergeCell ref="F923:G923"/>
    <mergeCell ref="F924:G924"/>
    <mergeCell ref="F925:H925"/>
    <mergeCell ref="F926:H926"/>
    <mergeCell ref="F927:G927"/>
    <mergeCell ref="F928:G928"/>
    <mergeCell ref="J928:K928"/>
    <mergeCell ref="F947:H947"/>
    <mergeCell ref="J947:K947"/>
    <mergeCell ref="F929:H929"/>
    <mergeCell ref="F934:H934"/>
    <mergeCell ref="F935:G935"/>
    <mergeCell ref="F936:H936"/>
    <mergeCell ref="F937:H937"/>
    <mergeCell ref="F938:H938"/>
    <mergeCell ref="F939:H939"/>
    <mergeCell ref="F940:H940"/>
    <mergeCell ref="F941:G941"/>
    <mergeCell ref="F942:G942"/>
    <mergeCell ref="F943:G943"/>
    <mergeCell ref="F944:H944"/>
    <mergeCell ref="F945:H945"/>
    <mergeCell ref="F946:H946"/>
    <mergeCell ref="F949:G949"/>
    <mergeCell ref="F950:G950"/>
    <mergeCell ref="F951:G951"/>
    <mergeCell ref="F952:G952"/>
    <mergeCell ref="F953:G953"/>
    <mergeCell ref="F954:G954"/>
    <mergeCell ref="F955:H955"/>
    <mergeCell ref="F956:G956"/>
    <mergeCell ref="F957:G957"/>
    <mergeCell ref="F958:G958"/>
    <mergeCell ref="F959:H959"/>
    <mergeCell ref="F960:G960"/>
    <mergeCell ref="F961:G961"/>
    <mergeCell ref="F962:G962"/>
    <mergeCell ref="F963:G963"/>
    <mergeCell ref="F964:G964"/>
    <mergeCell ref="F965:G965"/>
    <mergeCell ref="F966:G966"/>
    <mergeCell ref="F967:G967"/>
    <mergeCell ref="F968:G968"/>
    <mergeCell ref="F969:G969"/>
    <mergeCell ref="F970:G970"/>
    <mergeCell ref="F971:G971"/>
    <mergeCell ref="F972:G972"/>
    <mergeCell ref="F973:G973"/>
    <mergeCell ref="F974:G974"/>
    <mergeCell ref="F975:G975"/>
    <mergeCell ref="F976:G976"/>
    <mergeCell ref="F977:G977"/>
    <mergeCell ref="F978:G978"/>
    <mergeCell ref="F979:G979"/>
    <mergeCell ref="F980:G980"/>
    <mergeCell ref="F981:G981"/>
    <mergeCell ref="F982:G982"/>
    <mergeCell ref="F983:G983"/>
    <mergeCell ref="F1030:H1030"/>
    <mergeCell ref="F1031:H1031"/>
    <mergeCell ref="F1032:H1032"/>
    <mergeCell ref="F1033:H1033"/>
    <mergeCell ref="F1034:H1034"/>
    <mergeCell ref="F1035:H1035"/>
    <mergeCell ref="F1036:G1036"/>
    <mergeCell ref="F1037:G1037"/>
    <mergeCell ref="F1038:H1038"/>
    <mergeCell ref="F1039:H1039"/>
    <mergeCell ref="F1041:H1041"/>
    <mergeCell ref="F1042:G1042"/>
    <mergeCell ref="F1045:H1045"/>
    <mergeCell ref="F1047:G1047"/>
    <mergeCell ref="F984:G984"/>
    <mergeCell ref="F985:G985"/>
    <mergeCell ref="F986:G986"/>
    <mergeCell ref="F987:G987"/>
    <mergeCell ref="F988:G988"/>
    <mergeCell ref="F989:G989"/>
    <mergeCell ref="F990:G990"/>
    <mergeCell ref="F991:G991"/>
    <mergeCell ref="F992:G992"/>
    <mergeCell ref="F993:G993"/>
    <mergeCell ref="F994:G994"/>
    <mergeCell ref="F995:G995"/>
    <mergeCell ref="F996:G996"/>
    <mergeCell ref="F997:G997"/>
    <mergeCell ref="F998:H998"/>
    <mergeCell ref="F999:G999"/>
    <mergeCell ref="F1001:G1001"/>
    <mergeCell ref="F1003:G1003"/>
    <mergeCell ref="F1004:G1004"/>
    <mergeCell ref="J1004:K1004"/>
    <mergeCell ref="F1005:G1005"/>
    <mergeCell ref="F1006:H1006"/>
    <mergeCell ref="F1007:G1007"/>
    <mergeCell ref="F1008:G1008"/>
    <mergeCell ref="F1009:G1009"/>
    <mergeCell ref="F1010:G1010"/>
    <mergeCell ref="F1011:G1011"/>
    <mergeCell ref="F1012:H1012"/>
    <mergeCell ref="F1016:G1016"/>
    <mergeCell ref="F1017:G1017"/>
    <mergeCell ref="F1018:G1018"/>
    <mergeCell ref="F1019:G1019"/>
    <mergeCell ref="F1020:G1020"/>
    <mergeCell ref="F1021:G1021"/>
    <mergeCell ref="F1022:G1022"/>
    <mergeCell ref="F1023:H1023"/>
    <mergeCell ref="F1024:G1024"/>
    <mergeCell ref="F1025:G1025"/>
    <mergeCell ref="F1026:H1026"/>
    <mergeCell ref="F1027:H1027"/>
    <mergeCell ref="F1028:H1028"/>
    <mergeCell ref="F1029:H1029"/>
    <mergeCell ref="F1048:G1048"/>
    <mergeCell ref="F1049:G1049"/>
    <mergeCell ref="F1050:G1050"/>
    <mergeCell ref="F1051:G1051"/>
    <mergeCell ref="F1052:G1052"/>
    <mergeCell ref="F1053:G1053"/>
    <mergeCell ref="F1054:G1054"/>
    <mergeCell ref="F1055:G1055"/>
    <mergeCell ref="F1056:G1056"/>
    <mergeCell ref="F1057:G1057"/>
    <mergeCell ref="F1058:G1058"/>
    <mergeCell ref="F1059:G1059"/>
    <mergeCell ref="F1060:G1060"/>
    <mergeCell ref="F1061:G1061"/>
    <mergeCell ref="F1062:G1062"/>
    <mergeCell ref="F1063:G1063"/>
    <mergeCell ref="F1064:G1064"/>
    <mergeCell ref="F1065:G1065"/>
    <mergeCell ref="F1066:G1066"/>
    <mergeCell ref="F1067:G1067"/>
    <mergeCell ref="F1068:G1068"/>
    <mergeCell ref="F1069:G1069"/>
    <mergeCell ref="F1070:G1070"/>
    <mergeCell ref="F1071:H1071"/>
    <mergeCell ref="F1072:H1072"/>
    <mergeCell ref="F1073:G1073"/>
    <mergeCell ref="F1074:G1074"/>
    <mergeCell ref="F1077:G1077"/>
    <mergeCell ref="F1078:G1078"/>
    <mergeCell ref="F1080:H1080"/>
    <mergeCell ref="J1080:K1080"/>
    <mergeCell ref="F1081:H1081"/>
    <mergeCell ref="F1082:G1082"/>
    <mergeCell ref="F1085:G1085"/>
    <mergeCell ref="F1086:G1086"/>
    <mergeCell ref="F1087:G1087"/>
    <mergeCell ref="F1088:G1088"/>
    <mergeCell ref="F1089:G1089"/>
    <mergeCell ref="F1090:G1090"/>
    <mergeCell ref="F1091:G1091"/>
    <mergeCell ref="F1092:G1092"/>
    <mergeCell ref="F1093:G1093"/>
    <mergeCell ref="F1094:G1094"/>
    <mergeCell ref="F1095:G1095"/>
    <mergeCell ref="F1096:G1096"/>
    <mergeCell ref="F1097:G1097"/>
    <mergeCell ref="F1098:G1098"/>
    <mergeCell ref="F1099:G1099"/>
    <mergeCell ref="F1100:G1100"/>
    <mergeCell ref="F1101:G1101"/>
    <mergeCell ref="F1102:G1102"/>
    <mergeCell ref="F1103:G1103"/>
    <mergeCell ref="F1104:G1104"/>
    <mergeCell ref="F1105:G1105"/>
    <mergeCell ref="F1106:G1106"/>
    <mergeCell ref="F1107:G1107"/>
    <mergeCell ref="F1108:G1108"/>
    <mergeCell ref="F1109:G1109"/>
    <mergeCell ref="F1110:H1110"/>
    <mergeCell ref="F1111:G1111"/>
    <mergeCell ref="F1112:H1112"/>
    <mergeCell ref="F1113:H1113"/>
    <mergeCell ref="F1115:H1115"/>
    <mergeCell ref="F1116:H1116"/>
    <mergeCell ref="F1117:H1117"/>
    <mergeCell ref="F1118:G1118"/>
    <mergeCell ref="F1119:H1119"/>
    <mergeCell ref="F1120:H1120"/>
    <mergeCell ref="F1121:H1121"/>
    <mergeCell ref="F1122:H1122"/>
    <mergeCell ref="F1123:H1123"/>
    <mergeCell ref="F1124:G1124"/>
    <mergeCell ref="F1125:G1125"/>
    <mergeCell ref="F1126:G1126"/>
    <mergeCell ref="F1128:H1128"/>
    <mergeCell ref="F1129:H1129"/>
    <mergeCell ref="F1131:H1131"/>
    <mergeCell ref="F1132:H1132"/>
    <mergeCell ref="F1134:G1134"/>
    <mergeCell ref="F1135:H1135"/>
    <mergeCell ref="F1136:H1136"/>
    <mergeCell ref="F1137:H1137"/>
    <mergeCell ref="F1138:H1138"/>
    <mergeCell ref="F1139:H1139"/>
    <mergeCell ref="F1140:H1140"/>
    <mergeCell ref="F1141:H1141"/>
    <mergeCell ref="F1142:H1142"/>
    <mergeCell ref="F1143:H1143"/>
    <mergeCell ref="F1144:H1144"/>
    <mergeCell ref="F1145:H1145"/>
    <mergeCell ref="F1146:H1146"/>
    <mergeCell ref="F1147:H1147"/>
    <mergeCell ref="F1148:H1148"/>
    <mergeCell ref="F1149:H1149"/>
    <mergeCell ref="F1150:H1150"/>
    <mergeCell ref="F1151:H1151"/>
    <mergeCell ref="J1151:K1151"/>
    <mergeCell ref="F1152:G1152"/>
    <mergeCell ref="F1153:H1153"/>
    <mergeCell ref="F1154:H1154"/>
    <mergeCell ref="F1156:H1156"/>
    <mergeCell ref="F1157:H1157"/>
    <mergeCell ref="F1158:H1158"/>
    <mergeCell ref="F1159:H1159"/>
    <mergeCell ref="F1160:H1160"/>
    <mergeCell ref="F1161:H1161"/>
    <mergeCell ref="F1162:H1162"/>
    <mergeCell ref="F1163:H1163"/>
    <mergeCell ref="F1164:H1164"/>
    <mergeCell ref="F1165:H1165"/>
    <mergeCell ref="F1166:H1166"/>
    <mergeCell ref="F1167:H1167"/>
    <mergeCell ref="F1168:H1168"/>
    <mergeCell ref="F1169:H1169"/>
    <mergeCell ref="F1170:H1170"/>
    <mergeCell ref="F1171:H1171"/>
    <mergeCell ref="F1172:H1172"/>
    <mergeCell ref="F1175:H1175"/>
    <mergeCell ref="F1176:H1176"/>
    <mergeCell ref="F1177:G1177"/>
    <mergeCell ref="F1178:G1178"/>
    <mergeCell ref="F1179:G1179"/>
    <mergeCell ref="F1181:G1181"/>
    <mergeCell ref="F1182:H1182"/>
    <mergeCell ref="F1183:H1183"/>
    <mergeCell ref="F1184:H1184"/>
    <mergeCell ref="F1185:H1185"/>
    <mergeCell ref="F1186:H1186"/>
    <mergeCell ref="F1188:H1188"/>
    <mergeCell ref="F1189:H1189"/>
    <mergeCell ref="F1190:H1190"/>
    <mergeCell ref="F1191:G1191"/>
    <mergeCell ref="F1192:G1192"/>
    <mergeCell ref="F1193:G1193"/>
    <mergeCell ref="F1195:G1195"/>
    <mergeCell ref="F1200:H1200"/>
    <mergeCell ref="F1201:H1201"/>
    <mergeCell ref="F1202:H1202"/>
    <mergeCell ref="F1203:H1203"/>
    <mergeCell ref="F1204:H1204"/>
    <mergeCell ref="F1205:H1205"/>
    <mergeCell ref="F1206:G1206"/>
    <mergeCell ref="J1206:K1206"/>
    <mergeCell ref="F1207:G1207"/>
    <mergeCell ref="F1208:H1208"/>
    <mergeCell ref="F1209:H1209"/>
    <mergeCell ref="J1209:K1209"/>
    <mergeCell ref="F1210:H1210"/>
    <mergeCell ref="F1212:G1212"/>
    <mergeCell ref="F1213:H1213"/>
    <mergeCell ref="F1215:H1215"/>
    <mergeCell ref="F1216:G1216"/>
    <mergeCell ref="F1218:H1218"/>
    <mergeCell ref="F1219:H1219"/>
    <mergeCell ref="F2228:G2228"/>
    <mergeCell ref="F2229:G2229"/>
    <mergeCell ref="F2230:G2230"/>
    <mergeCell ref="F2231:G2231"/>
    <mergeCell ref="F2232:G2232"/>
    <mergeCell ref="F2233:G2233"/>
    <mergeCell ref="F2234:G2234"/>
    <mergeCell ref="F2235:G2235"/>
    <mergeCell ref="F2236:G2236"/>
    <mergeCell ref="F2237:G2237"/>
    <mergeCell ref="F2238:G2238"/>
    <mergeCell ref="F2239:G2239"/>
    <mergeCell ref="F2251:H2251"/>
    <mergeCell ref="F2252:H2252"/>
    <mergeCell ref="F2155:H2155"/>
    <mergeCell ref="F2156:H2156"/>
    <mergeCell ref="F2157:H2157"/>
    <mergeCell ref="F2158:G2158"/>
    <mergeCell ref="F2159:G2159"/>
    <mergeCell ref="F2160:H2160"/>
    <mergeCell ref="F2161:H2161"/>
    <mergeCell ref="F2162:H2162"/>
    <mergeCell ref="F2163:H2163"/>
    <mergeCell ref="F2164:H2164"/>
    <mergeCell ref="F2165:H2165"/>
    <mergeCell ref="F2166:H2166"/>
    <mergeCell ref="F2168:G2168"/>
    <mergeCell ref="F2171:H2171"/>
    <mergeCell ref="F2173:H2173"/>
    <mergeCell ref="F2174:H2174"/>
    <mergeCell ref="F2175:H2175"/>
    <mergeCell ref="F2176:H2176"/>
    <mergeCell ref="F2177:H2177"/>
    <mergeCell ref="F2178:H2178"/>
    <mergeCell ref="F2179:H2179"/>
    <mergeCell ref="F2180:H2180"/>
    <mergeCell ref="F2181:H2181"/>
    <mergeCell ref="F2182:G2182"/>
    <mergeCell ref="F2183:H2183"/>
    <mergeCell ref="F2184:H2184"/>
    <mergeCell ref="F2185:H2185"/>
    <mergeCell ref="F2186:H2186"/>
    <mergeCell ref="F2187:H2187"/>
    <mergeCell ref="F2188:G2188"/>
    <mergeCell ref="F2189:H2189"/>
    <mergeCell ref="F2190:H2190"/>
    <mergeCell ref="F2191:H2191"/>
    <mergeCell ref="F2192:H2192"/>
    <mergeCell ref="F2193:H2193"/>
    <mergeCell ref="F2194:H2194"/>
    <mergeCell ref="F2197:H2197"/>
    <mergeCell ref="F2199:H2199"/>
    <mergeCell ref="F2200:H2200"/>
    <mergeCell ref="F2201:G2201"/>
    <mergeCell ref="F2202:G2202"/>
    <mergeCell ref="F2203:G2203"/>
    <mergeCell ref="F2257:G2257"/>
    <mergeCell ref="F2258:G2258"/>
    <mergeCell ref="F2260:H2260"/>
    <mergeCell ref="F2261:H2261"/>
    <mergeCell ref="F2262:H2262"/>
    <mergeCell ref="F2263:H2263"/>
    <mergeCell ref="F2264:H2264"/>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57"/>
  </cols>
  <sheetData>
    <row r="1">
      <c r="A1" s="1" t="s">
        <v>27</v>
      </c>
    </row>
    <row r="2">
      <c r="A2" s="3" t="s">
        <v>34</v>
      </c>
    </row>
    <row r="3">
      <c r="A3" s="3" t="s">
        <v>43</v>
      </c>
    </row>
    <row r="4">
      <c r="A4" s="3" t="s">
        <v>44</v>
      </c>
    </row>
    <row r="5">
      <c r="A5" s="3" t="s">
        <v>46</v>
      </c>
    </row>
    <row r="6">
      <c r="A6" s="3" t="s">
        <v>47</v>
      </c>
    </row>
    <row r="7">
      <c r="A7" s="3" t="s">
        <v>48</v>
      </c>
    </row>
    <row r="8">
      <c r="A8" s="3" t="s">
        <v>50</v>
      </c>
    </row>
    <row r="9">
      <c r="A9" s="3" t="s">
        <v>52</v>
      </c>
    </row>
    <row r="10">
      <c r="A10" s="3" t="s">
        <v>55</v>
      </c>
    </row>
    <row r="11">
      <c r="A11" s="3" t="s">
        <v>60</v>
      </c>
    </row>
    <row r="12">
      <c r="A12" s="3" t="s">
        <v>63</v>
      </c>
    </row>
    <row r="13">
      <c r="A13" s="3" t="s">
        <v>64</v>
      </c>
    </row>
    <row r="14">
      <c r="A14" s="3" t="s">
        <v>67</v>
      </c>
    </row>
    <row r="15">
      <c r="A15" s="3" t="s">
        <v>71</v>
      </c>
    </row>
    <row r="16">
      <c r="A16" s="3" t="s">
        <v>74</v>
      </c>
    </row>
    <row r="17">
      <c r="A17" s="3" t="s">
        <v>77</v>
      </c>
    </row>
    <row r="18">
      <c r="A18" s="3" t="s">
        <v>78</v>
      </c>
    </row>
    <row r="19">
      <c r="A19" s="3" t="s">
        <v>80</v>
      </c>
    </row>
    <row r="20">
      <c r="A20" s="3" t="s">
        <v>82</v>
      </c>
    </row>
    <row r="21">
      <c r="A21" s="3" t="s">
        <v>86</v>
      </c>
    </row>
    <row r="22">
      <c r="A22" s="3" t="s">
        <v>89</v>
      </c>
    </row>
    <row r="23">
      <c r="A23" s="3" t="s">
        <v>92</v>
      </c>
    </row>
    <row r="24">
      <c r="A24" s="3" t="s">
        <v>93</v>
      </c>
    </row>
    <row r="25">
      <c r="A25" s="3" t="s">
        <v>95</v>
      </c>
    </row>
    <row r="26">
      <c r="A26" s="3" t="s">
        <v>98</v>
      </c>
    </row>
    <row r="27">
      <c r="A27" s="3" t="s">
        <v>100</v>
      </c>
    </row>
    <row r="28">
      <c r="A28" s="3" t="s">
        <v>104</v>
      </c>
    </row>
    <row r="29">
      <c r="A29" s="3" t="s">
        <v>105</v>
      </c>
    </row>
    <row r="30">
      <c r="A30" s="3" t="s">
        <v>107</v>
      </c>
    </row>
    <row r="31">
      <c r="A31" s="3" t="s">
        <v>110</v>
      </c>
    </row>
    <row r="32">
      <c r="A32" s="3" t="s">
        <v>113</v>
      </c>
    </row>
    <row r="33">
      <c r="A33" s="3" t="s">
        <v>115</v>
      </c>
    </row>
    <row r="34">
      <c r="A34" s="3" t="s">
        <v>117</v>
      </c>
    </row>
    <row r="35">
      <c r="A35" s="3" t="s">
        <v>120</v>
      </c>
    </row>
    <row r="36">
      <c r="A36" s="3" t="s">
        <v>61</v>
      </c>
    </row>
    <row r="37">
      <c r="A37" s="3" t="s">
        <v>76</v>
      </c>
    </row>
    <row r="38">
      <c r="A38" s="3" t="s">
        <v>124</v>
      </c>
    </row>
    <row r="39">
      <c r="A39" s="3" t="s">
        <v>126</v>
      </c>
    </row>
    <row r="40">
      <c r="A40" s="3" t="s">
        <v>128</v>
      </c>
    </row>
    <row r="41">
      <c r="A41" s="3" t="s">
        <v>130</v>
      </c>
    </row>
    <row r="42">
      <c r="A42" s="3" t="s">
        <v>91</v>
      </c>
    </row>
    <row r="43">
      <c r="A43" s="3" t="s">
        <v>132</v>
      </c>
    </row>
    <row r="44">
      <c r="A44" s="3" t="s">
        <v>133</v>
      </c>
    </row>
    <row r="45">
      <c r="A45" s="3" t="s">
        <v>135</v>
      </c>
    </row>
    <row r="46">
      <c r="A46" s="3" t="s">
        <v>137</v>
      </c>
    </row>
    <row r="47">
      <c r="A47" s="3" t="s">
        <v>139</v>
      </c>
    </row>
    <row r="48">
      <c r="A48" s="3" t="s">
        <v>116</v>
      </c>
    </row>
    <row r="49">
      <c r="A49" s="3" t="s">
        <v>143</v>
      </c>
    </row>
    <row r="50">
      <c r="A50" s="3" t="s">
        <v>144</v>
      </c>
    </row>
    <row r="51">
      <c r="A51" s="3" t="s">
        <v>146</v>
      </c>
    </row>
    <row r="52">
      <c r="A52" s="3" t="s">
        <v>70</v>
      </c>
    </row>
    <row r="53">
      <c r="A53" s="3" t="s">
        <v>149</v>
      </c>
    </row>
    <row r="54">
      <c r="A54" s="3" t="s">
        <v>151</v>
      </c>
    </row>
    <row r="55">
      <c r="A55" s="3" t="s">
        <v>153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7.14"/>
    <col customWidth="1" min="2" max="2" width="18.43"/>
    <col customWidth="1" min="16" max="16" width="18.14"/>
  </cols>
  <sheetData>
    <row r="1">
      <c r="A1" s="1" t="s">
        <v>1</v>
      </c>
      <c r="B1" s="1" t="s">
        <v>4</v>
      </c>
      <c r="C1" s="1" t="s">
        <v>5</v>
      </c>
      <c r="D1" s="1" t="s">
        <v>7</v>
      </c>
      <c r="E1" s="1" t="s">
        <v>9</v>
      </c>
      <c r="F1" s="1" t="s">
        <v>11</v>
      </c>
      <c r="G1" s="1" t="s">
        <v>10</v>
      </c>
      <c r="H1" s="1" t="s">
        <v>15</v>
      </c>
      <c r="I1" s="1" t="s">
        <v>17</v>
      </c>
      <c r="J1" s="1" t="s">
        <v>19</v>
      </c>
      <c r="K1" s="1" t="s">
        <v>21</v>
      </c>
      <c r="L1" s="1" t="s">
        <v>24</v>
      </c>
      <c r="M1" s="1" t="s">
        <v>25</v>
      </c>
      <c r="N1" s="1" t="s">
        <v>29</v>
      </c>
      <c r="O1" s="1" t="s">
        <v>12</v>
      </c>
      <c r="P1" s="1" t="s">
        <v>30</v>
      </c>
      <c r="Q1" s="1" t="s">
        <v>31</v>
      </c>
      <c r="R1" s="1" t="s">
        <v>33</v>
      </c>
      <c r="S1" s="1" t="s">
        <v>35</v>
      </c>
      <c r="T1" s="1" t="s">
        <v>36</v>
      </c>
      <c r="U1" s="1" t="s">
        <v>37</v>
      </c>
      <c r="V1" s="1" t="s">
        <v>38</v>
      </c>
      <c r="W1" s="1" t="s">
        <v>39</v>
      </c>
      <c r="X1" s="1" t="s">
        <v>40</v>
      </c>
      <c r="Y1" s="1" t="s">
        <v>41</v>
      </c>
      <c r="Z1" s="1" t="s">
        <v>23</v>
      </c>
      <c r="AA1" s="1" t="s">
        <v>42</v>
      </c>
    </row>
    <row r="2">
      <c r="A2" s="5" t="s">
        <v>45</v>
      </c>
      <c r="B2" s="7">
        <v>46212.98214869213</v>
      </c>
      <c r="C2" s="5" t="s">
        <v>51</v>
      </c>
      <c r="E2" s="5">
        <v>1.0</v>
      </c>
      <c r="F2" s="5" t="s">
        <v>54</v>
      </c>
      <c r="G2" s="5" t="s">
        <v>56</v>
      </c>
      <c r="H2" s="5" t="s">
        <v>59</v>
      </c>
      <c r="I2" s="5" t="s">
        <v>61</v>
      </c>
      <c r="K2" s="5" t="s">
        <v>62</v>
      </c>
    </row>
    <row r="3">
      <c r="A3" s="5" t="s">
        <v>65</v>
      </c>
      <c r="B3" s="7">
        <v>46212.98298277778</v>
      </c>
      <c r="C3" s="5" t="s">
        <v>69</v>
      </c>
      <c r="E3" s="5">
        <v>1.0</v>
      </c>
      <c r="F3" s="5" t="s">
        <v>73</v>
      </c>
      <c r="G3" s="5" t="s">
        <v>56</v>
      </c>
      <c r="H3" s="5" t="s">
        <v>59</v>
      </c>
      <c r="I3" s="5" t="s">
        <v>76</v>
      </c>
      <c r="K3" s="5" t="s">
        <v>62</v>
      </c>
    </row>
    <row r="4">
      <c r="A4" s="5" t="s">
        <v>81</v>
      </c>
      <c r="B4" s="7">
        <v>46212.990691099534</v>
      </c>
      <c r="C4" s="5" t="s">
        <v>83</v>
      </c>
      <c r="E4" s="5">
        <v>1.0</v>
      </c>
      <c r="F4" s="5" t="s">
        <v>85</v>
      </c>
      <c r="G4" s="5" t="s">
        <v>87</v>
      </c>
      <c r="H4" s="5" t="s">
        <v>88</v>
      </c>
      <c r="I4" s="5" t="s">
        <v>91</v>
      </c>
      <c r="K4" s="5" t="s">
        <v>62</v>
      </c>
    </row>
    <row r="5">
      <c r="A5" s="5" t="s">
        <v>94</v>
      </c>
      <c r="B5" s="7">
        <v>46213.20284024306</v>
      </c>
      <c r="C5" s="5" t="s">
        <v>97</v>
      </c>
      <c r="E5" s="5">
        <v>10.0</v>
      </c>
      <c r="F5" s="5" t="s">
        <v>99</v>
      </c>
      <c r="G5" s="5" t="s">
        <v>87</v>
      </c>
      <c r="H5" s="5" t="s">
        <v>102</v>
      </c>
      <c r="I5" s="5" t="s">
        <v>91</v>
      </c>
      <c r="K5" s="5" t="s">
        <v>62</v>
      </c>
      <c r="O5" s="5" t="s">
        <v>103</v>
      </c>
    </row>
    <row r="6">
      <c r="A6" s="5" t="s">
        <v>106</v>
      </c>
      <c r="B6" s="7">
        <v>46216.14595826389</v>
      </c>
      <c r="C6" s="5" t="s">
        <v>109</v>
      </c>
      <c r="D6" s="5" t="s">
        <v>111</v>
      </c>
      <c r="E6" s="5">
        <v>12.0</v>
      </c>
      <c r="F6" s="5" t="s">
        <v>112</v>
      </c>
      <c r="G6" s="5" t="s">
        <v>56</v>
      </c>
      <c r="H6" s="5" t="s">
        <v>59</v>
      </c>
      <c r="I6" s="5" t="s">
        <v>116</v>
      </c>
      <c r="K6" s="5" t="s">
        <v>62</v>
      </c>
      <c r="O6" s="5" t="s">
        <v>103</v>
      </c>
      <c r="P6" s="5" t="s">
        <v>118</v>
      </c>
      <c r="Q6" s="5" t="s">
        <v>121</v>
      </c>
      <c r="R6" s="5" t="s">
        <v>111</v>
      </c>
      <c r="S6" s="5" t="s">
        <v>122</v>
      </c>
      <c r="Y6" s="5" t="s">
        <v>123</v>
      </c>
      <c r="Z6" s="5" t="s">
        <v>56</v>
      </c>
      <c r="AA6" s="5"/>
    </row>
    <row r="7">
      <c r="A7" s="5" t="s">
        <v>125</v>
      </c>
      <c r="B7" s="7">
        <v>46216.18670472222</v>
      </c>
      <c r="C7" s="5" t="s">
        <v>127</v>
      </c>
      <c r="E7" s="5">
        <v>12.0</v>
      </c>
      <c r="F7" s="5" t="s">
        <v>129</v>
      </c>
      <c r="G7" s="5" t="s">
        <v>56</v>
      </c>
      <c r="H7" s="5" t="s">
        <v>59</v>
      </c>
      <c r="I7" s="5" t="s">
        <v>116</v>
      </c>
      <c r="K7" s="5" t="s">
        <v>62</v>
      </c>
      <c r="O7" s="5" t="s">
        <v>103</v>
      </c>
      <c r="P7" s="5" t="s">
        <v>131</v>
      </c>
      <c r="Q7" s="5" t="s">
        <v>121</v>
      </c>
      <c r="R7" s="5" t="s">
        <v>111</v>
      </c>
      <c r="S7" s="5" t="s">
        <v>122</v>
      </c>
      <c r="Y7" s="5" t="s">
        <v>134</v>
      </c>
      <c r="Z7" s="5" t="s">
        <v>56</v>
      </c>
      <c r="AA7" s="5"/>
    </row>
    <row r="8">
      <c r="A8" s="5" t="s">
        <v>136</v>
      </c>
      <c r="B8" s="7">
        <v>46216.382533958335</v>
      </c>
      <c r="C8" s="5" t="s">
        <v>138</v>
      </c>
      <c r="D8" s="5" t="s">
        <v>140</v>
      </c>
      <c r="E8" s="5">
        <v>12.0</v>
      </c>
      <c r="F8" s="5" t="s">
        <v>141</v>
      </c>
      <c r="G8" s="5" t="s">
        <v>56</v>
      </c>
      <c r="H8" s="5" t="s">
        <v>142</v>
      </c>
      <c r="I8" s="5" t="s">
        <v>116</v>
      </c>
      <c r="K8" s="5" t="s">
        <v>62</v>
      </c>
      <c r="O8" s="5" t="s">
        <v>103</v>
      </c>
      <c r="P8" s="5" t="s">
        <v>145</v>
      </c>
      <c r="Q8" s="5" t="s">
        <v>121</v>
      </c>
      <c r="R8" s="5" t="s">
        <v>111</v>
      </c>
      <c r="S8" s="5" t="s">
        <v>122</v>
      </c>
      <c r="Y8" s="5" t="s">
        <v>147</v>
      </c>
      <c r="Z8" s="5" t="s">
        <v>56</v>
      </c>
      <c r="AA8" s="5"/>
    </row>
    <row r="9">
      <c r="A9" s="5" t="s">
        <v>148</v>
      </c>
      <c r="B9" s="7">
        <v>46216.407944861116</v>
      </c>
      <c r="C9" s="5" t="s">
        <v>101</v>
      </c>
      <c r="D9" s="5" t="s">
        <v>150</v>
      </c>
      <c r="E9" s="5">
        <v>20.0</v>
      </c>
      <c r="F9" s="5" t="s">
        <v>152</v>
      </c>
      <c r="G9" s="5" t="s">
        <v>56</v>
      </c>
      <c r="H9" s="5" t="s">
        <v>154</v>
      </c>
      <c r="I9" s="5" t="s">
        <v>116</v>
      </c>
      <c r="K9" s="5" t="s">
        <v>62</v>
      </c>
      <c r="O9" s="5" t="s">
        <v>103</v>
      </c>
      <c r="P9" s="5" t="s">
        <v>96</v>
      </c>
      <c r="Q9" s="5" t="s">
        <v>121</v>
      </c>
      <c r="R9" s="5" t="s">
        <v>155</v>
      </c>
      <c r="S9" s="5" t="s">
        <v>156</v>
      </c>
      <c r="Y9" s="5" t="s">
        <v>157</v>
      </c>
      <c r="Z9" s="5" t="s">
        <v>56</v>
      </c>
      <c r="AA9"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43"/>
    <col customWidth="1" min="3" max="3" width="10.14"/>
    <col customWidth="1" min="4" max="4" width="23.0"/>
    <col customWidth="1" min="5" max="5" width="43.0"/>
    <col customWidth="1" min="6" max="7" width="8.71"/>
    <col customWidth="1" min="8" max="8" width="28.71"/>
    <col customWidth="1" min="9" max="9" width="14.43"/>
    <col customWidth="1" min="10" max="10" width="43.0"/>
    <col customWidth="1" min="11" max="11" width="11.57"/>
    <col customWidth="1" min="12" max="12" width="14.43"/>
    <col customWidth="1" min="13" max="13" width="25.86"/>
    <col customWidth="1" min="14" max="14" width="23.0"/>
    <col customWidth="1" min="15" max="15" width="13.0"/>
    <col customWidth="1" min="16" max="17" width="14.43"/>
    <col customWidth="1" min="18" max="18" width="28.71"/>
    <col customWidth="1" min="19" max="19" width="25.86"/>
  </cols>
  <sheetData>
    <row r="1">
      <c r="A1" s="1" t="s">
        <v>0</v>
      </c>
      <c r="B1" s="1" t="s">
        <v>2</v>
      </c>
      <c r="C1" s="1" t="s">
        <v>3</v>
      </c>
      <c r="D1" s="1" t="s">
        <v>6</v>
      </c>
      <c r="E1" s="1" t="s">
        <v>8</v>
      </c>
      <c r="F1" s="1" t="s">
        <v>10</v>
      </c>
      <c r="G1" s="1" t="s">
        <v>12</v>
      </c>
      <c r="H1" s="1" t="s">
        <v>13</v>
      </c>
      <c r="I1" s="1" t="s">
        <v>14</v>
      </c>
      <c r="J1" s="1" t="s">
        <v>16</v>
      </c>
      <c r="K1" s="1" t="s">
        <v>18</v>
      </c>
      <c r="L1" s="1" t="s">
        <v>20</v>
      </c>
      <c r="M1" s="1" t="s">
        <v>22</v>
      </c>
      <c r="N1" s="1" t="s">
        <v>23</v>
      </c>
      <c r="O1" s="1" t="s">
        <v>21</v>
      </c>
      <c r="P1" s="1" t="s">
        <v>26</v>
      </c>
      <c r="Q1" s="1" t="s">
        <v>28</v>
      </c>
      <c r="R1" s="1" t="s">
        <v>19</v>
      </c>
      <c r="S1" s="1" t="s">
        <v>4</v>
      </c>
    </row>
    <row r="2">
      <c r="A2" s="2" t="s">
        <v>32</v>
      </c>
      <c r="B2" s="4">
        <v>46272.0</v>
      </c>
      <c r="C2" s="6">
        <v>0.7479166666666667</v>
      </c>
      <c r="D2" s="8" t="s">
        <v>49</v>
      </c>
      <c r="E2" s="2" t="s">
        <v>53</v>
      </c>
      <c r="F2" s="2" t="s">
        <v>57</v>
      </c>
      <c r="G2" s="2" t="s">
        <v>58</v>
      </c>
      <c r="H2" s="9"/>
      <c r="I2" s="10">
        <v>1.0</v>
      </c>
      <c r="J2" s="2" t="s">
        <v>66</v>
      </c>
      <c r="K2" s="2" t="s">
        <v>68</v>
      </c>
      <c r="L2" s="9"/>
      <c r="M2" s="2" t="s">
        <v>70</v>
      </c>
      <c r="N2" s="2" t="s">
        <v>72</v>
      </c>
      <c r="O2" s="11" t="s">
        <v>75</v>
      </c>
      <c r="P2" s="9"/>
      <c r="Q2" s="9"/>
      <c r="R2" s="9"/>
      <c r="S2" s="2" t="s">
        <v>79</v>
      </c>
    </row>
    <row r="3">
      <c r="A3" s="12" t="s">
        <v>84</v>
      </c>
      <c r="B3" s="12" t="s">
        <v>90</v>
      </c>
      <c r="C3" s="13">
        <v>0.3388888888888889</v>
      </c>
      <c r="D3" s="14" t="s">
        <v>96</v>
      </c>
      <c r="E3" s="12" t="s">
        <v>101</v>
      </c>
      <c r="F3" s="12" t="s">
        <v>56</v>
      </c>
      <c r="G3" s="12" t="s">
        <v>103</v>
      </c>
      <c r="H3" s="15"/>
      <c r="I3" s="16">
        <v>1.0</v>
      </c>
      <c r="J3" s="12" t="s">
        <v>108</v>
      </c>
      <c r="K3" s="12" t="s">
        <v>68</v>
      </c>
      <c r="L3" s="15"/>
      <c r="M3" s="12" t="s">
        <v>61</v>
      </c>
      <c r="N3" s="12" t="s">
        <v>114</v>
      </c>
      <c r="O3" s="17" t="s">
        <v>75</v>
      </c>
      <c r="P3" s="15"/>
      <c r="Q3" s="15"/>
      <c r="R3" s="15"/>
      <c r="S3" s="12" t="s">
        <v>119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8.0"/>
    <col customWidth="1" min="2" max="2" width="50.0"/>
    <col customWidth="1" min="3" max="4" width="8.0"/>
    <col customWidth="1" min="5" max="5" width="16.0"/>
    <col customWidth="1" min="6" max="6" width="14.0"/>
    <col customWidth="1" min="7" max="7" width="16.0"/>
    <col customWidth="1" min="8" max="10" width="14.0"/>
    <col customWidth="1" min="11" max="11" width="16.0"/>
    <col customWidth="1" min="12" max="12" width="28.0"/>
    <col customWidth="1" min="13" max="13" width="20.0"/>
    <col customWidth="1" min="14" max="26" width="8.71"/>
  </cols>
  <sheetData>
    <row r="1" ht="30.0" customHeight="1">
      <c r="A1" s="18" t="s">
        <v>158</v>
      </c>
      <c r="B1" s="19"/>
      <c r="C1" s="19"/>
      <c r="D1" s="19"/>
      <c r="E1" s="19"/>
      <c r="F1" s="19"/>
      <c r="G1" s="19"/>
      <c r="H1" s="19"/>
      <c r="I1" s="19"/>
      <c r="J1" s="19"/>
      <c r="K1" s="19"/>
      <c r="L1" s="19"/>
      <c r="M1" s="20"/>
    </row>
    <row r="2" ht="27.75" customHeight="1">
      <c r="A2" s="21" t="s">
        <v>159</v>
      </c>
      <c r="B2" s="19"/>
      <c r="C2" s="19"/>
      <c r="D2" s="19"/>
      <c r="E2" s="19"/>
      <c r="F2" s="19"/>
      <c r="G2" s="19"/>
      <c r="H2" s="19"/>
      <c r="I2" s="19"/>
      <c r="J2" s="19"/>
      <c r="K2" s="19"/>
      <c r="L2" s="19"/>
      <c r="M2" s="20"/>
    </row>
    <row r="3" ht="42.0" customHeight="1">
      <c r="A3" s="22" t="s">
        <v>6</v>
      </c>
      <c r="B3" s="22" t="s">
        <v>8</v>
      </c>
      <c r="C3" s="22" t="s">
        <v>10</v>
      </c>
      <c r="D3" s="22" t="s">
        <v>12</v>
      </c>
      <c r="E3" s="22" t="s">
        <v>160</v>
      </c>
      <c r="F3" s="22" t="s">
        <v>161</v>
      </c>
      <c r="G3" s="22" t="s">
        <v>162</v>
      </c>
      <c r="H3" s="22" t="s">
        <v>163</v>
      </c>
      <c r="I3" s="22" t="s">
        <v>164</v>
      </c>
      <c r="J3" s="22" t="s">
        <v>165</v>
      </c>
      <c r="K3" s="22" t="s">
        <v>166</v>
      </c>
      <c r="L3" s="22" t="s">
        <v>13</v>
      </c>
      <c r="M3" s="22" t="s">
        <v>19</v>
      </c>
    </row>
    <row r="4" ht="19.5" customHeight="1">
      <c r="A4" s="23" t="s">
        <v>167</v>
      </c>
      <c r="B4" s="24" t="str">
        <f>IFERROR(VLOOKUP(A4,'1. Master Item List'!A:C,3,0),"")</f>
        <v>375.1% -Carboxylate -1.5 Mmol/g</v>
      </c>
      <c r="C4" s="25" t="str">
        <f>IFERROR(VLOOKUP(A4,'1. Master Item List'!A:D,4,0),"")</f>
        <v>RD</v>
      </c>
      <c r="D4" s="25" t="str">
        <f>IFERROR(VLOOKUP(A4,'1. Master Item List'!A:I,9,0),"")</f>
        <v>ul</v>
      </c>
      <c r="E4" s="26">
        <v>14350.0</v>
      </c>
      <c r="F4" s="27" t="str">
        <f>SUMPRODUCT((('2. Adjustment Log'!D$4:D$1997=A4)*('2. Adjustment Log'!K$4:K$1997="+Add")*IF(ISNUMBER('2. Adjustment Log'!J$4:J$1997),'2. Adjustment Log'!J$4:J$1997,0)))</f>
        <v>#NAME?</v>
      </c>
      <c r="G4" s="28" t="str">
        <f>SUMPRODUCT((('2. Adjustment Log'!D$4:D$1997=A4)*('2. Adjustment Log'!K$4:K$1997="-Deduct")*IF(ISNUMBER('2. Adjustment Log'!J$4:J$1997),'2. Adjustment Log'!J$4:J$1997,0)))</f>
        <v>#NAME?</v>
      </c>
      <c r="H4" s="29" t="str">
        <f t="shared" ref="H4:H11" si="1">E4+F4-G4</f>
        <v>#NAME?</v>
      </c>
      <c r="I4" s="30">
        <f>IFERROR(VLOOKUP(A4,'1. Master Item List'!A:L,12,0)+0,0)</f>
        <v>0</v>
      </c>
      <c r="J4" s="31" t="str">
        <f t="shared" ref="J4:J11" si="2">IF(I4=0,"🟢 OK",IF(H4&lt;=I4*0.5,"🔴 Critical",IF(H4&lt;=I4,"🟡 Low","🟢 OK")))</f>
        <v>🟢 OK</v>
      </c>
      <c r="K4" s="25">
        <f>IFERROR(maxifs('2. Adjustment Log'!B$4:B$1997,'2. Adjustment Log'!D$4:D$1997,A4),"No entries")</f>
        <v>46241</v>
      </c>
      <c r="L4" s="24" t="str">
        <f>IFERROR(VLOOKUP(A4,'1. Master Item List'!A:M,13,0),"")</f>
        <v>2-8 Fridge R_D Section</v>
      </c>
      <c r="M4" s="32"/>
    </row>
    <row r="5" ht="19.5" customHeight="1">
      <c r="A5" s="33" t="s">
        <v>168</v>
      </c>
      <c r="B5" s="34" t="str">
        <f>IFERROR(VLOOKUP(A5,'1. Master Item List'!A:C,3,0),"")</f>
        <v>Chikungunya IGM ELISA - MicroLisa</v>
      </c>
      <c r="C5" s="35" t="str">
        <f>IFERROR(VLOOKUP(A5,'1. Master Item List'!A:D,4,0),"")</f>
        <v>RD</v>
      </c>
      <c r="D5" s="35" t="str">
        <f>IFERROR(VLOOKUP(A5,'1. Master Item List'!A:I,9,0),"")</f>
        <v>Test</v>
      </c>
      <c r="E5" s="36">
        <v>0.0</v>
      </c>
      <c r="F5" s="37" t="str">
        <f>SUMPRODUCT((('2. Adjustment Log'!D$4:D$1997=A5)*('2. Adjustment Log'!K$4:K$1997="+Add")*IF(ISNUMBER('2. Adjustment Log'!J$4:J$1997),'2. Adjustment Log'!J$4:J$1997,0)))</f>
        <v>#NAME?</v>
      </c>
      <c r="G5" s="38" t="str">
        <f>SUMPRODUCT((('2. Adjustment Log'!D$4:D$1997=A5)*('2. Adjustment Log'!K$4:K$1997="-Deduct")*IF(ISNUMBER('2. Adjustment Log'!J$4:J$1997),'2. Adjustment Log'!J$4:J$1997,0)))</f>
        <v>#NAME?</v>
      </c>
      <c r="H5" s="29" t="str">
        <f t="shared" si="1"/>
        <v>#NAME?</v>
      </c>
      <c r="I5" s="39">
        <f>IFERROR(VLOOKUP(A5,'1. Master Item List'!A:L,12,0)+0,0)</f>
        <v>0</v>
      </c>
      <c r="J5" s="40" t="str">
        <f t="shared" si="2"/>
        <v>🟢 OK</v>
      </c>
      <c r="K5" s="35">
        <f>IFERROR(maxifs('2. Adjustment Log'!B$4:B$1997,'2. Adjustment Log'!D$4:D$1997,A5),"No entries")</f>
        <v>46241</v>
      </c>
      <c r="L5" s="34" t="str">
        <f>IFERROR(VLOOKUP(A5,'1. Master Item List'!A:M,13,0),"")</f>
        <v>2-8 Fridge R_D Section</v>
      </c>
      <c r="M5" s="41"/>
    </row>
    <row r="6" ht="19.5" customHeight="1">
      <c r="A6" s="23" t="s">
        <v>169</v>
      </c>
      <c r="B6" s="24" t="str">
        <f>IFERROR(VLOOKUP(A6,'1. Master Item List'!A:C,3,0),"")</f>
        <v>CORSAIR DDR5 5200 MHZ 16GB DDR5</v>
      </c>
      <c r="C6" s="25" t="str">
        <f>IFERROR(VLOOKUP(A6,'1. Master Item List'!A:D,4,0),"")</f>
        <v>EN</v>
      </c>
      <c r="D6" s="25" t="str">
        <f>IFERROR(VLOOKUP(A6,'1. Master Item List'!A:I,9,0),"")</f>
        <v>pcs</v>
      </c>
      <c r="E6" s="26">
        <v>0.0</v>
      </c>
      <c r="F6" s="27" t="str">
        <f>SUMPRODUCT((('2. Adjustment Log'!D$4:D$1997=A6)*('2. Adjustment Log'!K$4:K$1997="+Add")*IF(ISNUMBER('2. Adjustment Log'!J$4:J$1997),'2. Adjustment Log'!J$4:J$1997,0)))</f>
        <v>#NAME?</v>
      </c>
      <c r="G6" s="28" t="str">
        <f>SUMPRODUCT((('2. Adjustment Log'!D$4:D$1997=A6)*('2. Adjustment Log'!K$4:K$1997="-Deduct")*IF(ISNUMBER('2. Adjustment Log'!J$4:J$1997),'2. Adjustment Log'!J$4:J$1997,0)))</f>
        <v>#NAME?</v>
      </c>
      <c r="H6" s="29" t="str">
        <f t="shared" si="1"/>
        <v>#NAME?</v>
      </c>
      <c r="I6" s="30">
        <f>IFERROR(VLOOKUP(A6,'1. Master Item List'!A:L,12,0)+0,0)</f>
        <v>0</v>
      </c>
      <c r="J6" s="31" t="str">
        <f t="shared" si="2"/>
        <v>🟢 OK</v>
      </c>
      <c r="K6" s="25">
        <f>IFERROR(maxifs('2. Adjustment Log'!B$4:B$1997,'2. Adjustment Log'!D$4:D$1997,A6),"No entries")</f>
        <v>0</v>
      </c>
      <c r="L6" s="24" t="str">
        <f>IFERROR(VLOOKUP(A6,'1. Master Item List'!A:M,13,0),"")</f>
        <v/>
      </c>
      <c r="M6" s="32"/>
    </row>
    <row r="7" ht="19.5" customHeight="1">
      <c r="A7" s="33" t="s">
        <v>170</v>
      </c>
      <c r="B7" s="34" t="str">
        <f>IFERROR(VLOOKUP(A7,'1. Master Item List'!A:C,3,0),"")</f>
        <v>A1653-ALBUMIN FROM HUMAN SERUM</v>
      </c>
      <c r="C7" s="35" t="str">
        <f>IFERROR(VLOOKUP(A7,'1. Master Item List'!A:D,4,0),"")</f>
        <v>RD</v>
      </c>
      <c r="D7" s="35" t="str">
        <f>IFERROR(VLOOKUP(A7,'1. Master Item List'!A:I,9,0),"")</f>
        <v>ug</v>
      </c>
      <c r="E7" s="36">
        <v>0.0</v>
      </c>
      <c r="F7" s="37" t="str">
        <f>SUMPRODUCT((('2. Adjustment Log'!D$4:D$1997=A7)*('2. Adjustment Log'!K$4:K$1997="+Add")*IF(ISNUMBER('2. Adjustment Log'!J$4:J$1997),'2. Adjustment Log'!J$4:J$1997,0)))</f>
        <v>#NAME?</v>
      </c>
      <c r="G7" s="38" t="str">
        <f>SUMPRODUCT((('2. Adjustment Log'!D$4:D$1997=A7)*('2. Adjustment Log'!K$4:K$1997="-Deduct")*IF(ISNUMBER('2. Adjustment Log'!J$4:J$1997),'2. Adjustment Log'!J$4:J$1997,0)))</f>
        <v>#NAME?</v>
      </c>
      <c r="H7" s="29" t="str">
        <f t="shared" si="1"/>
        <v>#NAME?</v>
      </c>
      <c r="I7" s="39">
        <f>IFERROR(VLOOKUP(A7,'1. Master Item List'!A:L,12,0)+0,0)</f>
        <v>0</v>
      </c>
      <c r="J7" s="40" t="str">
        <f t="shared" si="2"/>
        <v>🟢 OK</v>
      </c>
      <c r="K7" s="35">
        <f>IFERROR(maxifs('2. Adjustment Log'!B$4:B$1997,'2. Adjustment Log'!D$4:D$1997,A7),"No entries")</f>
        <v>46272</v>
      </c>
      <c r="L7" s="34" t="str">
        <f>IFERROR(VLOOKUP(A7,'1. Master Item List'!A:M,13,0),"")</f>
        <v>2-8 Fridge R_D Section</v>
      </c>
      <c r="M7" s="41"/>
    </row>
    <row r="8" ht="19.5" customHeight="1">
      <c r="A8" s="23" t="s">
        <v>173</v>
      </c>
      <c r="B8" s="24" t="str">
        <f>IFERROR(VLOOKUP(A8,'1. Master Item List'!A:C,3,0),"")</f>
        <v>2FSH2 F2 Anti FSH Beta Chain</v>
      </c>
      <c r="C8" s="25" t="str">
        <f>IFERROR(VLOOKUP(A8,'1. Master Item List'!A:D,4,0),"")</f>
        <v>RD</v>
      </c>
      <c r="D8" s="25" t="str">
        <f>IFERROR(VLOOKUP(A8,'1. Master Item List'!A:I,9,0),"")</f>
        <v>ug</v>
      </c>
      <c r="E8" s="26">
        <v>50000.0</v>
      </c>
      <c r="F8" s="27" t="str">
        <f>SUMPRODUCT((('2. Adjustment Log'!D$4:D$1997=A8)*('2. Adjustment Log'!K$4:K$1997="+Add")*IF(ISNUMBER('2. Adjustment Log'!J$4:J$1997),'2. Adjustment Log'!J$4:J$1997,0)))</f>
        <v>#NAME?</v>
      </c>
      <c r="G8" s="28" t="str">
        <f>SUMPRODUCT((('2. Adjustment Log'!D$4:D$1997=A8)*('2. Adjustment Log'!K$4:K$1997="-Deduct")*IF(ISNUMBER('2. Adjustment Log'!J$4:J$1997),'2. Adjustment Log'!J$4:J$1997,0)))</f>
        <v>#NAME?</v>
      </c>
      <c r="H8" s="29" t="str">
        <f t="shared" si="1"/>
        <v>#NAME?</v>
      </c>
      <c r="I8" s="30">
        <f>IFERROR(VLOOKUP(A8,'1. Master Item List'!A:L,12,0)+0,0)</f>
        <v>0</v>
      </c>
      <c r="J8" s="31" t="str">
        <f t="shared" si="2"/>
        <v>🟢 OK</v>
      </c>
      <c r="K8" s="25">
        <f>IFERROR(maxifs('2. Adjustment Log'!B$4:B$1997,'2. Adjustment Log'!D$4:D$1997,A8),"No entries")</f>
        <v>46302</v>
      </c>
      <c r="L8" s="24" t="str">
        <f>IFERROR(VLOOKUP(A8,'1. Master Item List'!A:M,13,0),"")</f>
        <v>2-8 Fridge R_D Section</v>
      </c>
      <c r="M8" s="32"/>
    </row>
    <row r="9" ht="19.5" customHeight="1">
      <c r="A9" s="33" t="s">
        <v>190</v>
      </c>
      <c r="B9" s="34" t="str">
        <f>IFERROR(VLOOKUP(A9,'1. Master Item List'!A:C,3,0),"")</f>
        <v>SM01-0050-Assay Diluent - Protein Free</v>
      </c>
      <c r="C9" s="35" t="str">
        <f>IFERROR(VLOOKUP(A9,'1. Master Item List'!A:D,4,0),"")</f>
        <v>RD</v>
      </c>
      <c r="D9" s="35" t="str">
        <f>IFERROR(VLOOKUP(A9,'1. Master Item List'!A:I,9,0),"")</f>
        <v/>
      </c>
      <c r="E9" s="36">
        <v>5000.0</v>
      </c>
      <c r="F9" s="37" t="str">
        <f>SUMPRODUCT((('2. Adjustment Log'!D$4:D$1997=A9)*('2. Adjustment Log'!K$4:K$1997="+Add")*IF(ISNUMBER('2. Adjustment Log'!J$4:J$1997),'2. Adjustment Log'!J$4:J$1997,0)))</f>
        <v>#NAME?</v>
      </c>
      <c r="G9" s="38" t="str">
        <f>SUMPRODUCT((('2. Adjustment Log'!D$4:D$1997=A9)*('2. Adjustment Log'!K$4:K$1997="-Deduct")*IF(ISNUMBER('2. Adjustment Log'!J$4:J$1997),'2. Adjustment Log'!J$4:J$1997,0)))</f>
        <v>#NAME?</v>
      </c>
      <c r="H9" s="29" t="str">
        <f t="shared" si="1"/>
        <v>#NAME?</v>
      </c>
      <c r="I9" s="39">
        <f>IFERROR(VLOOKUP(A9,'1. Master Item List'!A:L,12,0)+0,0)</f>
        <v>0</v>
      </c>
      <c r="J9" s="40" t="str">
        <f t="shared" si="2"/>
        <v>🟢 OK</v>
      </c>
      <c r="K9" s="35">
        <f>IFERROR(maxifs('2. Adjustment Log'!B$4:B$1997,'2. Adjustment Log'!D$4:D$1997,A9),"No entries")</f>
        <v>0</v>
      </c>
      <c r="L9" s="34" t="str">
        <f>IFERROR(VLOOKUP(A9,'1. Master Item List'!A:M,13,0),"")</f>
        <v>2-8 Fridge R_D Section</v>
      </c>
      <c r="M9" s="41"/>
    </row>
    <row r="10" ht="19.5" customHeight="1">
      <c r="A10" s="23" t="s">
        <v>223</v>
      </c>
      <c r="B10" s="24" t="str">
        <f>IFERROR(VLOOKUP(A10,'1. Master Item List'!A:C,3,0),"")</f>
        <v>A3699-Acrylamide/bis-Acrylamide</v>
      </c>
      <c r="C10" s="25" t="str">
        <f>IFERROR(VLOOKUP(A10,'1. Master Item List'!A:D,4,0),"")</f>
        <v>RD</v>
      </c>
      <c r="D10" s="25" t="str">
        <f>IFERROR(VLOOKUP(A10,'1. Master Item List'!A:I,9,0),"")</f>
        <v>ul</v>
      </c>
      <c r="E10" s="26">
        <v>0.0</v>
      </c>
      <c r="F10" s="27" t="str">
        <f>SUMPRODUCT((('2. Adjustment Log'!D$4:D$1997=A10)*('2. Adjustment Log'!K$4:K$1997="+Add")*IF(ISNUMBER('2. Adjustment Log'!J$4:J$1997),'2. Adjustment Log'!J$4:J$1997,0)))</f>
        <v>#NAME?</v>
      </c>
      <c r="G10" s="28" t="str">
        <f>SUMPRODUCT((('2. Adjustment Log'!D$4:D$1997=A10)*('2. Adjustment Log'!K$4:K$1997="-Deduct")*IF(ISNUMBER('2. Adjustment Log'!J$4:J$1997),'2. Adjustment Log'!J$4:J$1997,0)))</f>
        <v>#NAME?</v>
      </c>
      <c r="H10" s="29" t="str">
        <f t="shared" si="1"/>
        <v>#NAME?</v>
      </c>
      <c r="I10" s="30">
        <f>IFERROR(VLOOKUP(A10,'1. Master Item List'!A:L,12,0)+0,0)</f>
        <v>0</v>
      </c>
      <c r="J10" s="31" t="str">
        <f t="shared" si="2"/>
        <v>🟢 OK</v>
      </c>
      <c r="K10" s="25">
        <f>IFERROR(maxifs('2. Adjustment Log'!B$4:B$1997,'2. Adjustment Log'!D$4:D$1997,A10),"No entries")</f>
        <v>0</v>
      </c>
      <c r="L10" s="24" t="str">
        <f>IFERROR(VLOOKUP(A10,'1. Master Item List'!A:M,13,0),"")</f>
        <v>2-8 Fridge R_D Section</v>
      </c>
      <c r="M10" s="32"/>
    </row>
    <row r="11" ht="19.5" customHeight="1">
      <c r="A11" s="33" t="s">
        <v>296</v>
      </c>
      <c r="B11" s="34" t="str">
        <f>IFERROR(VLOOKUP(A11,'1. Master Item List'!A:C,3,0),"")</f>
        <v>100022-Anti-H LH-5304-SP-5</v>
      </c>
      <c r="C11" s="35" t="str">
        <f>IFERROR(VLOOKUP(A11,'1. Master Item List'!A:D,4,0),"")</f>
        <v>RD</v>
      </c>
      <c r="D11" s="35" t="str">
        <f>IFERROR(VLOOKUP(A11,'1. Master Item List'!A:I,9,0),"")</f>
        <v>ug</v>
      </c>
      <c r="E11" s="36">
        <v>2600.0</v>
      </c>
      <c r="F11" s="37" t="str">
        <f>SUMPRODUCT((('2. Adjustment Log'!D$4:D$1997=A11)*('2. Adjustment Log'!K$4:K$1997="+Add")*IF(ISNUMBER('2. Adjustment Log'!J$4:J$1997),'2. Adjustment Log'!J$4:J$1997,0)))</f>
        <v>#NAME?</v>
      </c>
      <c r="G11" s="38" t="str">
        <f>SUMPRODUCT((('2. Adjustment Log'!D$4:D$1997=A11)*('2. Adjustment Log'!K$4:K$1997="-Deduct")*IF(ISNUMBER('2. Adjustment Log'!J$4:J$1997),'2. Adjustment Log'!J$4:J$1997,0)))</f>
        <v>#NAME?</v>
      </c>
      <c r="H11" s="29" t="str">
        <f t="shared" si="1"/>
        <v>#NAME?</v>
      </c>
      <c r="I11" s="39">
        <f>IFERROR(VLOOKUP(A11,'1. Master Item List'!A:L,12,0)+0,0)</f>
        <v>0</v>
      </c>
      <c r="J11" s="40" t="str">
        <f t="shared" si="2"/>
        <v>🟢 OK</v>
      </c>
      <c r="K11" s="35">
        <f>IFERROR(maxifs('2. Adjustment Log'!B$4:B$1997,'2. Adjustment Log'!D$4:D$1997,A11),"No entries")</f>
        <v>0</v>
      </c>
      <c r="L11" s="34" t="str">
        <f>IFERROR(VLOOKUP(A11,'1. Master Item List'!A:M,13,0),"")</f>
        <v>2-8 Fridge R_D Section</v>
      </c>
      <c r="M11" s="41"/>
    </row>
    <row r="13">
      <c r="A13" s="62" t="s">
        <v>302</v>
      </c>
      <c r="B13" s="19"/>
      <c r="C13" s="19"/>
      <c r="D13" s="19"/>
      <c r="E13" s="19"/>
      <c r="F13" s="19"/>
      <c r="G13" s="19"/>
      <c r="H13" s="19"/>
      <c r="I13" s="19"/>
      <c r="J13" s="19"/>
      <c r="K13" s="19"/>
      <c r="L13" s="19"/>
      <c r="M13" s="2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M1"/>
    <mergeCell ref="A2:M2"/>
    <mergeCell ref="A13:M1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cols>
    <col customWidth="1" min="1" max="1" width="12.0"/>
    <col customWidth="1" min="2" max="2" width="13.0"/>
    <col customWidth="1" min="3" max="3" width="8.0"/>
    <col customWidth="1" min="4" max="4" width="18.0"/>
    <col customWidth="1" min="5" max="5" width="40.0"/>
    <col customWidth="1" min="6" max="7" width="8.0"/>
    <col customWidth="1" min="8" max="8" width="24.0"/>
    <col customWidth="1" min="9" max="9" width="16.0"/>
    <col customWidth="1" min="10" max="11" width="10.0"/>
    <col customWidth="1" min="12" max="12" width="14.0"/>
    <col customWidth="1" min="13" max="13" width="40.0"/>
    <col customWidth="1" min="14" max="16" width="18.0"/>
    <col customWidth="1" min="17" max="17" width="12.0"/>
    <col customWidth="1" min="18" max="18" width="16.0"/>
    <col customWidth="1" min="19" max="19" width="14.0"/>
    <col customWidth="1" min="20" max="20" width="20.0"/>
    <col customWidth="1" min="21" max="28" width="8.71"/>
  </cols>
  <sheetData>
    <row r="1" ht="30.0" customHeight="1">
      <c r="A1" s="18" t="s">
        <v>171</v>
      </c>
      <c r="B1" s="42"/>
      <c r="C1" s="42"/>
      <c r="D1" s="42"/>
      <c r="E1" s="42"/>
      <c r="F1" s="42"/>
      <c r="G1" s="42"/>
      <c r="H1" s="42"/>
      <c r="I1" s="42"/>
      <c r="J1" s="42"/>
      <c r="K1" s="42"/>
      <c r="L1" s="42"/>
      <c r="M1" s="42"/>
      <c r="N1" s="42"/>
      <c r="O1" s="42"/>
      <c r="P1" s="42"/>
      <c r="Q1" s="42"/>
      <c r="R1" s="42"/>
      <c r="S1" s="42"/>
      <c r="T1" s="43"/>
    </row>
    <row r="2" ht="27.75" customHeight="1">
      <c r="A2" s="21" t="s">
        <v>172</v>
      </c>
      <c r="B2" s="44"/>
      <c r="C2" s="44"/>
      <c r="D2" s="44"/>
      <c r="E2" s="44"/>
      <c r="F2" s="44"/>
      <c r="G2" s="44"/>
      <c r="H2" s="44"/>
      <c r="I2" s="44"/>
      <c r="J2" s="44"/>
      <c r="K2" s="44"/>
      <c r="L2" s="44"/>
      <c r="M2" s="44"/>
      <c r="N2" s="44"/>
      <c r="O2" s="44"/>
      <c r="P2" s="44"/>
      <c r="Q2" s="44"/>
      <c r="R2" s="44"/>
      <c r="S2" s="44"/>
      <c r="T2" s="45"/>
    </row>
    <row r="3" ht="42.0" customHeight="1">
      <c r="A3" s="46" t="s">
        <v>28</v>
      </c>
      <c r="B3" s="46" t="s">
        <v>2</v>
      </c>
      <c r="C3" s="46" t="s">
        <v>3</v>
      </c>
      <c r="D3" s="46" t="s">
        <v>6</v>
      </c>
      <c r="E3" s="46" t="s">
        <v>174</v>
      </c>
      <c r="F3" s="46" t="s">
        <v>10</v>
      </c>
      <c r="G3" s="46" t="s">
        <v>175</v>
      </c>
      <c r="H3" s="46" t="s">
        <v>13</v>
      </c>
      <c r="I3" s="46" t="s">
        <v>176</v>
      </c>
      <c r="J3" s="46" t="s">
        <v>177</v>
      </c>
      <c r="K3" s="46" t="s">
        <v>178</v>
      </c>
      <c r="L3" s="47" t="s">
        <v>11</v>
      </c>
      <c r="M3" s="46" t="s">
        <v>179</v>
      </c>
      <c r="N3" s="47" t="s">
        <v>180</v>
      </c>
      <c r="O3" s="47" t="s">
        <v>181</v>
      </c>
      <c r="P3" s="47" t="s">
        <v>182</v>
      </c>
      <c r="Q3" s="46" t="s">
        <v>21</v>
      </c>
      <c r="R3" s="46" t="s">
        <v>183</v>
      </c>
      <c r="S3" s="46" t="s">
        <v>184</v>
      </c>
      <c r="T3" s="46" t="s">
        <v>185</v>
      </c>
    </row>
    <row r="4" ht="19.5" customHeight="1">
      <c r="A4" s="48" t="s">
        <v>186</v>
      </c>
      <c r="B4" s="48" t="s">
        <v>187</v>
      </c>
      <c r="C4" s="48" t="s">
        <v>188</v>
      </c>
      <c r="D4" s="48" t="s">
        <v>170</v>
      </c>
      <c r="E4" s="50" t="str">
        <f>IFERROR(VLOOKUP(D4,'1. Master Item List'!A:C,3,0),"")</f>
        <v>A1653-ALBUMIN FROM HUMAN SERUM</v>
      </c>
      <c r="F4" s="50" t="str">
        <f>IFERROR(VLOOKUP(D4,'1. Master Item List'!A:D,4,0),"")</f>
        <v>RD</v>
      </c>
      <c r="G4" s="50" t="str">
        <f>IFERROR(VLOOKUP(D4,'1. Master Item List'!A:I,9,0),"")</f>
        <v>ug</v>
      </c>
      <c r="H4" s="48" t="s">
        <v>200</v>
      </c>
      <c r="I4" s="48" t="s">
        <v>197</v>
      </c>
      <c r="J4" s="48" t="s">
        <v>227</v>
      </c>
      <c r="K4" s="48" t="s">
        <v>198</v>
      </c>
      <c r="L4" s="48" t="s">
        <v>246</v>
      </c>
      <c r="M4" s="48" t="s">
        <v>247</v>
      </c>
      <c r="N4" s="48"/>
      <c r="O4" s="48"/>
      <c r="P4" s="48" t="s">
        <v>251</v>
      </c>
      <c r="Q4" s="48" t="s">
        <v>62</v>
      </c>
      <c r="R4" s="48" t="s">
        <v>255</v>
      </c>
      <c r="S4" s="48" t="s">
        <v>199</v>
      </c>
      <c r="T4" s="48"/>
    </row>
    <row r="5" ht="19.5" customHeight="1">
      <c r="A5" s="56" t="s">
        <v>266</v>
      </c>
      <c r="B5" s="56" t="s">
        <v>187</v>
      </c>
      <c r="C5" s="56" t="s">
        <v>272</v>
      </c>
      <c r="D5" s="56" t="s">
        <v>274</v>
      </c>
      <c r="E5" s="58" t="str">
        <f>IFERROR(VLOOKUP(D5,'1. Master Item List'!A:C,3,0),"")</f>
        <v>Valve Retainer</v>
      </c>
      <c r="F5" s="58" t="str">
        <f>IFERROR(VLOOKUP(D5,'1. Master Item List'!A:D,4,0),"")</f>
        <v>MF</v>
      </c>
      <c r="G5" s="58" t="str">
        <f>IFERROR(VLOOKUP(D5,'1. Master Item List'!A:I,9,0),"")</f>
        <v>pcs</v>
      </c>
      <c r="H5" s="56" t="s">
        <v>205</v>
      </c>
      <c r="I5" s="56" t="s">
        <v>202</v>
      </c>
      <c r="J5" s="56" t="s">
        <v>297</v>
      </c>
      <c r="K5" s="56" t="s">
        <v>203</v>
      </c>
      <c r="L5" s="56"/>
      <c r="M5" s="56" t="s">
        <v>298</v>
      </c>
      <c r="N5" s="56"/>
      <c r="O5" s="56"/>
      <c r="P5" s="56" t="s">
        <v>251</v>
      </c>
      <c r="Q5" s="56" t="s">
        <v>75</v>
      </c>
      <c r="R5" s="56"/>
      <c r="S5" s="56" t="s">
        <v>199</v>
      </c>
      <c r="T5" s="56" t="s">
        <v>299</v>
      </c>
    </row>
    <row r="6" ht="19.5" customHeight="1">
      <c r="A6" s="48" t="s">
        <v>300</v>
      </c>
      <c r="B6" s="48"/>
      <c r="C6" s="48"/>
      <c r="D6" s="59"/>
      <c r="E6" s="48"/>
      <c r="F6" s="48"/>
      <c r="G6" s="48"/>
      <c r="H6" s="48"/>
      <c r="I6" s="59"/>
      <c r="J6" s="59"/>
      <c r="K6" s="48"/>
      <c r="L6" s="48"/>
      <c r="M6" s="48"/>
      <c r="N6" s="59"/>
      <c r="O6" s="59"/>
      <c r="P6" s="59"/>
      <c r="Q6" s="48"/>
      <c r="R6" s="48"/>
      <c r="S6" s="48"/>
      <c r="T6" s="48"/>
    </row>
    <row r="7">
      <c r="A7" s="12" t="s">
        <v>301</v>
      </c>
      <c r="B7" s="60">
        <v>46241.0</v>
      </c>
      <c r="C7" s="13">
        <v>0.7402777777777778</v>
      </c>
      <c r="D7" s="61" t="s">
        <v>168</v>
      </c>
      <c r="E7" s="12" t="s">
        <v>303</v>
      </c>
      <c r="F7" s="12" t="s">
        <v>87</v>
      </c>
      <c r="G7" s="15"/>
      <c r="H7" s="12" t="s">
        <v>200</v>
      </c>
      <c r="I7" s="63" t="s">
        <v>304</v>
      </c>
      <c r="J7" s="64">
        <v>1.0</v>
      </c>
      <c r="K7" s="65" t="s">
        <v>203</v>
      </c>
      <c r="L7" s="15"/>
      <c r="M7" s="12" t="s">
        <v>305</v>
      </c>
      <c r="N7" s="66"/>
      <c r="O7" s="66"/>
      <c r="P7" s="67" t="s">
        <v>306</v>
      </c>
      <c r="Q7" s="68" t="s">
        <v>305</v>
      </c>
      <c r="R7" s="12" t="s">
        <v>201</v>
      </c>
      <c r="S7" s="17" t="s">
        <v>75</v>
      </c>
      <c r="T7" s="15"/>
      <c r="U7" s="69" t="s">
        <v>199</v>
      </c>
      <c r="V7" s="12" t="s">
        <v>307</v>
      </c>
    </row>
    <row r="8">
      <c r="A8" s="2" t="s">
        <v>308</v>
      </c>
      <c r="B8" s="4">
        <v>46241.0</v>
      </c>
      <c r="C8" s="6">
        <v>0.8402777777777778</v>
      </c>
      <c r="D8" s="70" t="s">
        <v>173</v>
      </c>
      <c r="E8" s="2" t="s">
        <v>303</v>
      </c>
      <c r="F8" s="2" t="s">
        <v>87</v>
      </c>
      <c r="G8" s="9"/>
      <c r="H8" s="2" t="s">
        <v>200</v>
      </c>
      <c r="I8" s="71" t="s">
        <v>304</v>
      </c>
      <c r="J8" s="72">
        <v>1.0</v>
      </c>
      <c r="K8" s="73" t="s">
        <v>203</v>
      </c>
      <c r="L8" s="9"/>
      <c r="M8" s="2" t="s">
        <v>309</v>
      </c>
      <c r="N8" s="74"/>
      <c r="O8" s="74"/>
      <c r="P8" s="75" t="s">
        <v>310</v>
      </c>
      <c r="Q8" s="76" t="s">
        <v>311</v>
      </c>
      <c r="R8" s="2" t="s">
        <v>74</v>
      </c>
      <c r="S8" s="11" t="s">
        <v>75</v>
      </c>
      <c r="T8" s="9"/>
      <c r="U8" s="77" t="s">
        <v>199</v>
      </c>
      <c r="V8" s="2" t="s">
        <v>312</v>
      </c>
    </row>
    <row r="9">
      <c r="A9" s="12" t="s">
        <v>313</v>
      </c>
      <c r="B9" s="60">
        <v>46241.0</v>
      </c>
      <c r="C9" s="13">
        <v>0.9847222222222223</v>
      </c>
      <c r="D9" s="61" t="s">
        <v>167</v>
      </c>
      <c r="E9" s="12" t="s">
        <v>314</v>
      </c>
      <c r="F9" s="12" t="s">
        <v>87</v>
      </c>
      <c r="G9" s="12" t="s">
        <v>315</v>
      </c>
      <c r="H9" s="12" t="s">
        <v>200</v>
      </c>
      <c r="I9" s="63" t="s">
        <v>304</v>
      </c>
      <c r="J9" s="64">
        <v>1.0</v>
      </c>
      <c r="K9" s="65" t="s">
        <v>203</v>
      </c>
      <c r="L9" s="15"/>
      <c r="M9" s="12" t="s">
        <v>316</v>
      </c>
      <c r="N9" s="66" t="s">
        <v>306</v>
      </c>
      <c r="O9" s="78" t="s">
        <v>317</v>
      </c>
      <c r="P9" s="63" t="s">
        <v>74</v>
      </c>
      <c r="Q9" s="17" t="s">
        <v>75</v>
      </c>
      <c r="R9" s="15"/>
      <c r="S9" s="69" t="s">
        <v>199</v>
      </c>
      <c r="T9" s="12" t="s">
        <v>318</v>
      </c>
    </row>
    <row r="10">
      <c r="A10" s="2" t="s">
        <v>319</v>
      </c>
      <c r="B10" s="4">
        <v>46272.0</v>
      </c>
      <c r="C10" s="6">
        <v>0.43194444444444446</v>
      </c>
      <c r="D10" s="70" t="s">
        <v>320</v>
      </c>
      <c r="E10" s="2" t="s">
        <v>321</v>
      </c>
      <c r="F10" s="2" t="s">
        <v>262</v>
      </c>
      <c r="G10" s="2" t="s">
        <v>58</v>
      </c>
      <c r="H10" s="2" t="s">
        <v>210</v>
      </c>
      <c r="I10" s="71" t="s">
        <v>304</v>
      </c>
      <c r="J10" s="72">
        <v>1.0</v>
      </c>
      <c r="K10" s="73" t="s">
        <v>203</v>
      </c>
      <c r="L10" s="9"/>
      <c r="M10" s="2" t="s">
        <v>322</v>
      </c>
      <c r="N10" s="74" t="s">
        <v>306</v>
      </c>
      <c r="O10" s="79" t="s">
        <v>305</v>
      </c>
      <c r="P10" s="71" t="s">
        <v>74</v>
      </c>
      <c r="Q10" s="11" t="s">
        <v>75</v>
      </c>
      <c r="R10" s="9"/>
      <c r="S10" s="77" t="s">
        <v>199</v>
      </c>
      <c r="T10" s="2" t="s">
        <v>323</v>
      </c>
    </row>
    <row r="11">
      <c r="A11" s="12" t="s">
        <v>324</v>
      </c>
      <c r="B11" s="60">
        <v>46272.0</v>
      </c>
      <c r="C11" s="13">
        <v>0.5319444444444444</v>
      </c>
      <c r="D11" s="61" t="s">
        <v>325</v>
      </c>
      <c r="E11" s="12" t="s">
        <v>326</v>
      </c>
      <c r="F11" s="12" t="s">
        <v>87</v>
      </c>
      <c r="G11" s="12" t="s">
        <v>327</v>
      </c>
      <c r="H11" s="12" t="s">
        <v>200</v>
      </c>
      <c r="I11" s="63" t="s">
        <v>304</v>
      </c>
      <c r="J11" s="64">
        <v>1.0</v>
      </c>
      <c r="K11" s="65" t="s">
        <v>203</v>
      </c>
      <c r="L11" s="15"/>
      <c r="M11" s="12" t="s">
        <v>328</v>
      </c>
      <c r="N11" s="66" t="s">
        <v>329</v>
      </c>
      <c r="O11" s="78" t="s">
        <v>330</v>
      </c>
      <c r="P11" s="63" t="s">
        <v>331</v>
      </c>
      <c r="Q11" s="17" t="s">
        <v>75</v>
      </c>
      <c r="R11" s="15"/>
      <c r="S11" s="69" t="s">
        <v>199</v>
      </c>
      <c r="T11" s="12" t="s">
        <v>332</v>
      </c>
    </row>
    <row r="12">
      <c r="A12" s="2" t="s">
        <v>333</v>
      </c>
      <c r="B12" s="4">
        <v>46272.0</v>
      </c>
      <c r="C12" s="80">
        <v>0.53125</v>
      </c>
      <c r="D12" s="70" t="s">
        <v>170</v>
      </c>
      <c r="E12" s="2" t="s">
        <v>334</v>
      </c>
      <c r="F12" s="2" t="s">
        <v>87</v>
      </c>
      <c r="G12" s="2" t="s">
        <v>327</v>
      </c>
      <c r="H12" s="2" t="s">
        <v>200</v>
      </c>
      <c r="I12" s="71" t="s">
        <v>197</v>
      </c>
      <c r="J12" s="72">
        <v>5.0</v>
      </c>
      <c r="K12" s="81" t="str">
        <v>#NAME?</v>
      </c>
      <c r="L12" s="2" t="s">
        <v>335</v>
      </c>
      <c r="M12" s="2" t="s">
        <v>336</v>
      </c>
      <c r="N12" s="82"/>
      <c r="O12" s="82"/>
      <c r="P12" s="71" t="s">
        <v>306</v>
      </c>
      <c r="Q12" s="11" t="s">
        <v>75</v>
      </c>
      <c r="R12" s="9"/>
      <c r="S12" s="77" t="s">
        <v>199</v>
      </c>
      <c r="T12" s="2" t="s">
        <v>337</v>
      </c>
    </row>
    <row r="13">
      <c r="A13" s="12" t="s">
        <v>338</v>
      </c>
      <c r="B13" s="60">
        <v>46302.0</v>
      </c>
      <c r="C13" s="13">
        <v>0.45902777777777776</v>
      </c>
      <c r="D13" s="61" t="s">
        <v>173</v>
      </c>
      <c r="E13" s="12" t="s">
        <v>339</v>
      </c>
      <c r="F13" s="12" t="s">
        <v>87</v>
      </c>
      <c r="G13" s="12" t="s">
        <v>340</v>
      </c>
      <c r="H13" s="12" t="s">
        <v>200</v>
      </c>
      <c r="I13" s="63" t="s">
        <v>304</v>
      </c>
      <c r="J13" s="64">
        <v>1.0</v>
      </c>
      <c r="K13" s="65" t="s">
        <v>203</v>
      </c>
      <c r="L13" s="15"/>
      <c r="M13" s="12" t="s">
        <v>341</v>
      </c>
      <c r="N13" s="66" t="s">
        <v>306</v>
      </c>
      <c r="O13" s="78" t="s">
        <v>341</v>
      </c>
      <c r="P13" s="63" t="s">
        <v>74</v>
      </c>
      <c r="Q13" s="17" t="s">
        <v>75</v>
      </c>
      <c r="R13" s="15"/>
      <c r="S13" s="69" t="s">
        <v>199</v>
      </c>
      <c r="T13" s="12" t="s">
        <v>342</v>
      </c>
    </row>
    <row r="14">
      <c r="A14" s="2" t="s">
        <v>343</v>
      </c>
      <c r="B14" s="2" t="s">
        <v>344</v>
      </c>
      <c r="C14" s="6">
        <v>0.5027777777777778</v>
      </c>
      <c r="D14" s="70" t="s">
        <v>345</v>
      </c>
      <c r="E14" s="2" t="s">
        <v>346</v>
      </c>
      <c r="F14" s="2" t="s">
        <v>262</v>
      </c>
      <c r="G14" s="2" t="s">
        <v>58</v>
      </c>
      <c r="H14" s="2" t="s">
        <v>210</v>
      </c>
      <c r="I14" s="71" t="s">
        <v>197</v>
      </c>
      <c r="J14" s="72">
        <v>80.0</v>
      </c>
      <c r="K14" s="81" t="str">
        <v>#NAME?</v>
      </c>
      <c r="L14" s="9"/>
      <c r="M14" s="2" t="s">
        <v>347</v>
      </c>
      <c r="N14" s="82"/>
      <c r="O14" s="82"/>
      <c r="P14" s="71" t="s">
        <v>306</v>
      </c>
      <c r="Q14" s="11" t="s">
        <v>75</v>
      </c>
      <c r="R14" s="9"/>
      <c r="S14" s="77" t="s">
        <v>199</v>
      </c>
      <c r="T14" s="2" t="s">
        <v>349</v>
      </c>
    </row>
    <row r="15">
      <c r="A15" s="12" t="s">
        <v>350</v>
      </c>
      <c r="B15" s="12" t="s">
        <v>344</v>
      </c>
      <c r="C15" s="13">
        <v>0.51875</v>
      </c>
      <c r="D15" s="61" t="s">
        <v>345</v>
      </c>
      <c r="E15" s="12" t="s">
        <v>346</v>
      </c>
      <c r="F15" s="12" t="s">
        <v>262</v>
      </c>
      <c r="G15" s="12" t="s">
        <v>58</v>
      </c>
      <c r="H15" s="12" t="s">
        <v>210</v>
      </c>
      <c r="I15" s="63" t="s">
        <v>197</v>
      </c>
      <c r="J15" s="64">
        <v>80.0</v>
      </c>
      <c r="K15" s="83" t="s">
        <v>198</v>
      </c>
      <c r="L15" s="15"/>
      <c r="M15" s="12" t="s">
        <v>351</v>
      </c>
      <c r="N15" s="84"/>
      <c r="O15" s="84"/>
      <c r="P15" s="63" t="s">
        <v>74</v>
      </c>
      <c r="Q15" s="17" t="s">
        <v>75</v>
      </c>
      <c r="R15" s="15"/>
      <c r="S15" s="69" t="s">
        <v>199</v>
      </c>
      <c r="T15" s="12" t="s">
        <v>353</v>
      </c>
    </row>
    <row r="16">
      <c r="A16" s="2" t="s">
        <v>354</v>
      </c>
      <c r="B16" s="2" t="s">
        <v>344</v>
      </c>
      <c r="C16" s="6">
        <v>0.6541666666666667</v>
      </c>
      <c r="D16" s="70" t="s">
        <v>345</v>
      </c>
      <c r="E16" s="2" t="s">
        <v>346</v>
      </c>
      <c r="F16" s="2" t="s">
        <v>262</v>
      </c>
      <c r="G16" s="2" t="s">
        <v>58</v>
      </c>
      <c r="H16" s="2" t="s">
        <v>210</v>
      </c>
      <c r="I16" s="71" t="s">
        <v>197</v>
      </c>
      <c r="J16" s="72">
        <v>80.0</v>
      </c>
      <c r="K16" s="85" t="s">
        <v>198</v>
      </c>
      <c r="L16" s="9"/>
      <c r="M16" s="2" t="s">
        <v>363</v>
      </c>
      <c r="N16" s="86" t="s">
        <v>365</v>
      </c>
      <c r="O16" s="82"/>
      <c r="P16" s="71" t="s">
        <v>306</v>
      </c>
      <c r="Q16" s="11" t="s">
        <v>75</v>
      </c>
      <c r="R16" s="9"/>
      <c r="S16" s="77" t="s">
        <v>199</v>
      </c>
      <c r="T16" s="2" t="s">
        <v>366</v>
      </c>
    </row>
    <row r="17">
      <c r="A17" s="12" t="s">
        <v>367</v>
      </c>
      <c r="B17" s="89">
        <v>46216.0</v>
      </c>
      <c r="C17" s="91">
        <v>0.9042708333333334</v>
      </c>
      <c r="D17" s="61" t="s">
        <v>145</v>
      </c>
      <c r="E17" s="12" t="s">
        <v>138</v>
      </c>
      <c r="F17" s="12" t="s">
        <v>56</v>
      </c>
      <c r="G17" s="12" t="s">
        <v>103</v>
      </c>
      <c r="H17" s="15"/>
      <c r="I17" s="63" t="s">
        <v>197</v>
      </c>
      <c r="J17" s="64">
        <v>12.0</v>
      </c>
      <c r="K17" s="83" t="s">
        <v>198</v>
      </c>
      <c r="L17" s="12" t="s">
        <v>141</v>
      </c>
      <c r="M17" s="12" t="s">
        <v>376</v>
      </c>
      <c r="N17" s="84"/>
      <c r="O17" s="84"/>
      <c r="P17" s="63" t="s">
        <v>116</v>
      </c>
      <c r="Q17" s="17" t="s">
        <v>62</v>
      </c>
      <c r="R17" s="12" t="s">
        <v>116</v>
      </c>
      <c r="S17" s="69" t="s">
        <v>199</v>
      </c>
      <c r="T17" s="12" t="s">
        <v>378</v>
      </c>
      <c r="U17" s="15"/>
    </row>
    <row r="18">
      <c r="A18" s="2" t="s">
        <v>380</v>
      </c>
      <c r="B18" s="94">
        <v>46216.0</v>
      </c>
      <c r="C18" s="95">
        <v>0.9071180555555556</v>
      </c>
      <c r="D18" s="70" t="s">
        <v>96</v>
      </c>
      <c r="E18" s="2" t="s">
        <v>101</v>
      </c>
      <c r="F18" s="2" t="s">
        <v>56</v>
      </c>
      <c r="G18" s="2" t="s">
        <v>103</v>
      </c>
      <c r="H18" s="9"/>
      <c r="I18" s="71" t="s">
        <v>197</v>
      </c>
      <c r="J18" s="72">
        <v>20.0</v>
      </c>
      <c r="K18" s="85" t="s">
        <v>198</v>
      </c>
      <c r="L18" s="2" t="s">
        <v>152</v>
      </c>
      <c r="M18" s="2" t="s">
        <v>376</v>
      </c>
      <c r="N18" s="82"/>
      <c r="O18" s="82"/>
      <c r="P18" s="71" t="s">
        <v>116</v>
      </c>
      <c r="Q18" s="11" t="s">
        <v>62</v>
      </c>
      <c r="R18" s="2" t="s">
        <v>116</v>
      </c>
      <c r="S18" s="77" t="s">
        <v>199</v>
      </c>
      <c r="T18" s="2" t="s">
        <v>391</v>
      </c>
      <c r="U18" s="9"/>
    </row>
    <row r="19">
      <c r="A19" s="12" t="s">
        <v>394</v>
      </c>
      <c r="B19" s="89">
        <v>46216.0</v>
      </c>
      <c r="C19" s="91">
        <v>0.9290162037037037</v>
      </c>
      <c r="D19" s="61" t="s">
        <v>96</v>
      </c>
      <c r="E19" s="12" t="s">
        <v>101</v>
      </c>
      <c r="F19" s="12" t="s">
        <v>56</v>
      </c>
      <c r="G19" s="12" t="s">
        <v>103</v>
      </c>
      <c r="H19" s="15"/>
      <c r="I19" s="63" t="s">
        <v>197</v>
      </c>
      <c r="J19" s="64">
        <v>20.0</v>
      </c>
      <c r="K19" s="83" t="s">
        <v>198</v>
      </c>
      <c r="L19" s="12" t="s">
        <v>152</v>
      </c>
      <c r="M19" s="12" t="s">
        <v>376</v>
      </c>
      <c r="N19" s="84"/>
      <c r="O19" s="84"/>
      <c r="P19" s="63" t="s">
        <v>116</v>
      </c>
      <c r="Q19" s="17" t="s">
        <v>62</v>
      </c>
      <c r="R19" s="12" t="s">
        <v>116</v>
      </c>
      <c r="S19" s="69" t="s">
        <v>199</v>
      </c>
      <c r="T19" s="12" t="s">
        <v>404</v>
      </c>
      <c r="U19" s="15"/>
    </row>
    <row r="20">
      <c r="A20" s="2" t="s">
        <v>380</v>
      </c>
      <c r="B20" s="2" t="s">
        <v>344</v>
      </c>
      <c r="C20" s="6">
        <v>0.9479166666666666</v>
      </c>
      <c r="D20" s="70" t="s">
        <v>96</v>
      </c>
      <c r="E20" s="2" t="s">
        <v>101</v>
      </c>
      <c r="F20" s="2" t="s">
        <v>56</v>
      </c>
      <c r="G20" s="2" t="s">
        <v>103</v>
      </c>
      <c r="H20" s="2" t="s">
        <v>205</v>
      </c>
      <c r="I20" s="71" t="s">
        <v>197</v>
      </c>
      <c r="J20" s="72">
        <v>20.0</v>
      </c>
      <c r="K20" s="85" t="s">
        <v>198</v>
      </c>
      <c r="L20" s="9"/>
      <c r="M20" s="2" t="s">
        <v>411</v>
      </c>
      <c r="N20" s="86" t="s">
        <v>413</v>
      </c>
      <c r="O20" s="82"/>
      <c r="P20" s="71" t="s">
        <v>306</v>
      </c>
      <c r="Q20" s="11" t="s">
        <v>75</v>
      </c>
      <c r="R20" s="9"/>
      <c r="S20" s="77" t="s">
        <v>199</v>
      </c>
      <c r="T20" s="2" t="s">
        <v>418</v>
      </c>
      <c r="U20" s="2" t="s">
        <v>419</v>
      </c>
    </row>
    <row r="21" ht="15.75" customHeight="1">
      <c r="A21" s="12" t="s">
        <v>420</v>
      </c>
      <c r="B21" s="12" t="s">
        <v>90</v>
      </c>
      <c r="C21" s="13">
        <v>0.5041666666666667</v>
      </c>
      <c r="D21" s="61" t="s">
        <v>421</v>
      </c>
      <c r="E21" s="12" t="s">
        <v>422</v>
      </c>
      <c r="F21" s="12" t="s">
        <v>56</v>
      </c>
      <c r="G21" s="15"/>
      <c r="H21" s="12" t="s">
        <v>218</v>
      </c>
      <c r="I21" s="63" t="s">
        <v>197</v>
      </c>
      <c r="J21" s="64">
        <v>3.0</v>
      </c>
      <c r="K21" s="83" t="s">
        <v>198</v>
      </c>
      <c r="L21" s="15"/>
      <c r="M21" s="12" t="s">
        <v>427</v>
      </c>
      <c r="N21" s="99" t="s">
        <v>429</v>
      </c>
      <c r="O21" s="84"/>
      <c r="P21" s="63" t="s">
        <v>306</v>
      </c>
      <c r="Q21" s="17" t="s">
        <v>75</v>
      </c>
      <c r="R21" s="15"/>
      <c r="S21" s="69" t="s">
        <v>199</v>
      </c>
      <c r="T21" s="12" t="s">
        <v>434</v>
      </c>
      <c r="U21" s="12" t="s">
        <v>419</v>
      </c>
    </row>
    <row r="22" ht="15.75" customHeight="1">
      <c r="A22" s="2" t="s">
        <v>435</v>
      </c>
      <c r="B22" s="2" t="s">
        <v>90</v>
      </c>
      <c r="C22" s="6">
        <v>0.5208333333333334</v>
      </c>
      <c r="D22" s="70" t="s">
        <v>437</v>
      </c>
      <c r="E22" s="2" t="s">
        <v>440</v>
      </c>
      <c r="F22" s="2" t="s">
        <v>56</v>
      </c>
      <c r="G22" s="2" t="s">
        <v>58</v>
      </c>
      <c r="H22" s="2" t="s">
        <v>213</v>
      </c>
      <c r="I22" s="71" t="s">
        <v>197</v>
      </c>
      <c r="J22" s="72">
        <v>300.0</v>
      </c>
      <c r="K22" s="85" t="s">
        <v>198</v>
      </c>
      <c r="L22" s="9"/>
      <c r="M22" s="2" t="s">
        <v>444</v>
      </c>
      <c r="N22" s="86" t="s">
        <v>91</v>
      </c>
      <c r="O22" s="82"/>
      <c r="P22" s="71" t="s">
        <v>306</v>
      </c>
      <c r="Q22" s="11" t="s">
        <v>75</v>
      </c>
      <c r="R22" s="9"/>
      <c r="S22" s="77" t="s">
        <v>199</v>
      </c>
      <c r="T22" s="2" t="s">
        <v>448</v>
      </c>
      <c r="U22" s="94">
        <v>46582.0</v>
      </c>
    </row>
    <row r="23" ht="15.75" customHeight="1">
      <c r="A23" s="12" t="s">
        <v>450</v>
      </c>
      <c r="B23" s="12" t="s">
        <v>451</v>
      </c>
      <c r="C23" s="13">
        <v>0.5076388888888889</v>
      </c>
      <c r="D23" s="61" t="s">
        <v>453</v>
      </c>
      <c r="E23" s="12" t="s">
        <v>455</v>
      </c>
      <c r="F23" s="12" t="s">
        <v>87</v>
      </c>
      <c r="G23" s="12" t="s">
        <v>457</v>
      </c>
      <c r="H23" s="12" t="s">
        <v>205</v>
      </c>
      <c r="I23" s="63" t="s">
        <v>197</v>
      </c>
      <c r="J23" s="64">
        <v>10.0</v>
      </c>
      <c r="K23" s="83" t="s">
        <v>198</v>
      </c>
      <c r="L23" s="15"/>
      <c r="M23" s="12" t="s">
        <v>459</v>
      </c>
      <c r="N23" s="99" t="s">
        <v>77</v>
      </c>
      <c r="O23" s="84"/>
      <c r="P23" s="63" t="s">
        <v>74</v>
      </c>
      <c r="Q23" s="17" t="s">
        <v>463</v>
      </c>
      <c r="R23" s="15"/>
      <c r="S23" s="69" t="s">
        <v>199</v>
      </c>
      <c r="T23" s="12" t="s">
        <v>465</v>
      </c>
      <c r="U23" s="12" t="s">
        <v>419</v>
      </c>
    </row>
    <row r="24" ht="15.75" customHeight="1">
      <c r="A24" s="2" t="s">
        <v>186</v>
      </c>
      <c r="B24" s="2" t="s">
        <v>469</v>
      </c>
      <c r="C24" s="6">
        <v>0.6625</v>
      </c>
      <c r="D24" s="70" t="s">
        <v>470</v>
      </c>
      <c r="E24" s="2" t="s">
        <v>472</v>
      </c>
      <c r="F24" s="2" t="s">
        <v>56</v>
      </c>
      <c r="G24" s="9"/>
      <c r="H24" s="2" t="s">
        <v>213</v>
      </c>
      <c r="I24" s="71" t="s">
        <v>304</v>
      </c>
      <c r="J24" s="72">
        <v>1.0</v>
      </c>
      <c r="K24" s="108" t="s">
        <v>203</v>
      </c>
      <c r="L24" s="9"/>
      <c r="M24" s="2" t="s">
        <v>479</v>
      </c>
      <c r="N24" s="74" t="s">
        <v>481</v>
      </c>
      <c r="O24" s="79" t="s">
        <v>482</v>
      </c>
      <c r="P24" s="71" t="s">
        <v>74</v>
      </c>
      <c r="Q24" s="11" t="s">
        <v>463</v>
      </c>
      <c r="R24" s="9"/>
      <c r="S24" s="77" t="s">
        <v>199</v>
      </c>
      <c r="T24" s="2" t="s">
        <v>485</v>
      </c>
      <c r="U24" s="9"/>
    </row>
    <row r="25" ht="15.75" customHeight="1">
      <c r="B25" s="110"/>
      <c r="D25" s="111"/>
      <c r="I25" s="111"/>
      <c r="J25" s="111"/>
      <c r="K25" s="110"/>
      <c r="N25" s="113"/>
      <c r="O25" s="113"/>
      <c r="P25" s="111"/>
      <c r="Q25" s="110"/>
      <c r="S25" s="110"/>
    </row>
    <row r="26" ht="15.75" customHeight="1">
      <c r="B26" s="110"/>
      <c r="D26" s="111"/>
      <c r="I26" s="111"/>
      <c r="J26" s="111"/>
      <c r="K26" s="110"/>
      <c r="N26" s="113"/>
      <c r="O26" s="113"/>
      <c r="P26" s="111"/>
      <c r="Q26" s="110"/>
      <c r="S26" s="110"/>
    </row>
    <row r="27" ht="15.75" customHeight="1">
      <c r="B27" s="110"/>
      <c r="D27" s="111"/>
      <c r="I27" s="111"/>
      <c r="J27" s="111"/>
      <c r="K27" s="110"/>
      <c r="N27" s="113"/>
      <c r="O27" s="113"/>
      <c r="P27" s="111"/>
      <c r="Q27" s="110"/>
      <c r="S27" s="110"/>
    </row>
    <row r="28" ht="15.75" customHeight="1">
      <c r="B28" s="110"/>
      <c r="D28" s="111"/>
      <c r="I28" s="111"/>
      <c r="J28" s="111"/>
      <c r="K28" s="110"/>
      <c r="N28" s="113"/>
      <c r="O28" s="113"/>
      <c r="P28" s="111"/>
      <c r="Q28" s="110"/>
      <c r="S28" s="110"/>
    </row>
    <row r="29" ht="15.75" customHeight="1">
      <c r="B29" s="110"/>
      <c r="D29" s="111"/>
      <c r="I29" s="111"/>
      <c r="J29" s="111"/>
      <c r="K29" s="110"/>
      <c r="N29" s="113"/>
      <c r="O29" s="113"/>
      <c r="P29" s="111"/>
      <c r="Q29" s="110"/>
      <c r="S29" s="110"/>
    </row>
    <row r="30" ht="15.75" customHeight="1">
      <c r="B30" s="110"/>
      <c r="D30" s="111"/>
      <c r="I30" s="111"/>
      <c r="J30" s="111"/>
      <c r="K30" s="110"/>
      <c r="N30" s="113"/>
      <c r="O30" s="113"/>
      <c r="P30" s="111"/>
      <c r="Q30" s="110"/>
      <c r="S30" s="110"/>
    </row>
    <row r="31" ht="15.75" customHeight="1">
      <c r="B31" s="110"/>
      <c r="D31" s="111"/>
      <c r="I31" s="111"/>
      <c r="J31" s="111"/>
      <c r="K31" s="110"/>
      <c r="N31" s="113"/>
      <c r="O31" s="113"/>
      <c r="P31" s="111"/>
      <c r="Q31" s="110"/>
      <c r="S31" s="110"/>
    </row>
    <row r="32" ht="15.75" customHeight="1">
      <c r="B32" s="110"/>
      <c r="D32" s="111"/>
      <c r="I32" s="111"/>
      <c r="J32" s="111"/>
      <c r="K32" s="110"/>
      <c r="N32" s="113"/>
      <c r="O32" s="113"/>
      <c r="P32" s="111"/>
      <c r="Q32" s="110"/>
      <c r="S32" s="110"/>
    </row>
    <row r="33" ht="15.75" customHeight="1">
      <c r="B33" s="110"/>
      <c r="D33" s="111"/>
      <c r="I33" s="111"/>
      <c r="J33" s="111"/>
      <c r="K33" s="110"/>
      <c r="N33" s="113"/>
      <c r="O33" s="113"/>
      <c r="P33" s="111"/>
      <c r="Q33" s="110"/>
      <c r="S33" s="110"/>
    </row>
    <row r="34" ht="15.75" customHeight="1">
      <c r="B34" s="110"/>
      <c r="D34" s="111"/>
      <c r="I34" s="111"/>
      <c r="J34" s="111"/>
      <c r="K34" s="110"/>
      <c r="N34" s="113"/>
      <c r="O34" s="113"/>
      <c r="P34" s="111"/>
      <c r="Q34" s="110"/>
      <c r="S34" s="110"/>
    </row>
    <row r="35" ht="15.75" customHeight="1">
      <c r="B35" s="110"/>
      <c r="D35" s="111"/>
      <c r="I35" s="111"/>
      <c r="J35" s="111"/>
      <c r="K35" s="110"/>
      <c r="N35" s="113"/>
      <c r="O35" s="113"/>
      <c r="P35" s="111"/>
      <c r="Q35" s="110"/>
      <c r="S35" s="110"/>
    </row>
    <row r="36" ht="15.75" customHeight="1">
      <c r="B36" s="110"/>
      <c r="D36" s="111"/>
      <c r="I36" s="111"/>
      <c r="J36" s="111"/>
      <c r="K36" s="110"/>
      <c r="N36" s="113"/>
      <c r="O36" s="113"/>
      <c r="P36" s="111"/>
      <c r="Q36" s="110"/>
      <c r="S36" s="110"/>
    </row>
    <row r="37" ht="15.75" customHeight="1">
      <c r="B37" s="110"/>
      <c r="D37" s="111"/>
      <c r="I37" s="111"/>
      <c r="J37" s="111"/>
      <c r="K37" s="110"/>
      <c r="N37" s="113"/>
      <c r="O37" s="113"/>
      <c r="P37" s="111"/>
      <c r="Q37" s="110"/>
      <c r="S37" s="110"/>
    </row>
    <row r="38" ht="15.75" customHeight="1">
      <c r="B38" s="110"/>
      <c r="D38" s="111"/>
      <c r="I38" s="111"/>
      <c r="J38" s="111"/>
      <c r="K38" s="110"/>
      <c r="N38" s="113"/>
      <c r="O38" s="113"/>
      <c r="P38" s="111"/>
      <c r="Q38" s="110"/>
      <c r="S38" s="110"/>
    </row>
    <row r="39" ht="15.75" customHeight="1">
      <c r="B39" s="110"/>
      <c r="D39" s="111"/>
      <c r="I39" s="111"/>
      <c r="J39" s="111"/>
      <c r="K39" s="110"/>
      <c r="N39" s="113"/>
      <c r="O39" s="113"/>
      <c r="P39" s="111"/>
      <c r="Q39" s="110"/>
      <c r="S39" s="110"/>
    </row>
    <row r="40" ht="15.75" customHeight="1">
      <c r="B40" s="110"/>
      <c r="D40" s="111"/>
      <c r="I40" s="111"/>
      <c r="J40" s="111"/>
      <c r="K40" s="110"/>
      <c r="N40" s="113"/>
      <c r="O40" s="113"/>
      <c r="P40" s="111"/>
      <c r="Q40" s="110"/>
      <c r="S40" s="110"/>
    </row>
    <row r="41" ht="15.75" customHeight="1">
      <c r="B41" s="110"/>
      <c r="D41" s="111"/>
      <c r="I41" s="111"/>
      <c r="J41" s="111"/>
      <c r="K41" s="110"/>
      <c r="N41" s="113"/>
      <c r="O41" s="113"/>
      <c r="P41" s="111"/>
      <c r="Q41" s="110"/>
      <c r="S41" s="110"/>
    </row>
    <row r="42" ht="15.75" customHeight="1">
      <c r="B42" s="110"/>
      <c r="D42" s="111"/>
      <c r="I42" s="111"/>
      <c r="J42" s="111"/>
      <c r="K42" s="110"/>
      <c r="N42" s="113"/>
      <c r="O42" s="113"/>
      <c r="P42" s="111"/>
      <c r="Q42" s="110"/>
      <c r="S42" s="110"/>
    </row>
    <row r="43" ht="15.75" customHeight="1">
      <c r="B43" s="110"/>
      <c r="D43" s="111"/>
      <c r="I43" s="111"/>
      <c r="J43" s="111"/>
      <c r="K43" s="110"/>
      <c r="N43" s="113"/>
      <c r="O43" s="113"/>
      <c r="P43" s="111"/>
      <c r="Q43" s="110"/>
      <c r="S43" s="110"/>
    </row>
    <row r="44" ht="15.75" customHeight="1">
      <c r="B44" s="110"/>
      <c r="D44" s="111"/>
      <c r="I44" s="111"/>
      <c r="J44" s="111"/>
      <c r="K44" s="110"/>
      <c r="N44" s="113"/>
      <c r="O44" s="113"/>
      <c r="P44" s="111"/>
      <c r="Q44" s="110"/>
      <c r="S44" s="110"/>
    </row>
    <row r="45" ht="15.75" customHeight="1">
      <c r="B45" s="110"/>
      <c r="D45" s="111"/>
      <c r="I45" s="111"/>
      <c r="J45" s="111"/>
      <c r="K45" s="110"/>
      <c r="N45" s="113"/>
      <c r="O45" s="113"/>
      <c r="P45" s="111"/>
      <c r="Q45" s="110"/>
      <c r="S45" s="110"/>
    </row>
    <row r="46" ht="15.75" customHeight="1">
      <c r="B46" s="110"/>
      <c r="D46" s="111"/>
      <c r="I46" s="111"/>
      <c r="J46" s="111"/>
      <c r="K46" s="110"/>
      <c r="N46" s="113"/>
      <c r="O46" s="113"/>
      <c r="P46" s="111"/>
      <c r="Q46" s="110"/>
      <c r="S46" s="110"/>
    </row>
    <row r="47" ht="15.75" customHeight="1">
      <c r="B47" s="110"/>
      <c r="D47" s="111"/>
      <c r="I47" s="111"/>
      <c r="J47" s="111"/>
      <c r="K47" s="110"/>
      <c r="N47" s="113"/>
      <c r="O47" s="113"/>
      <c r="P47" s="111"/>
      <c r="Q47" s="110"/>
      <c r="S47" s="110"/>
    </row>
    <row r="48" ht="15.75" customHeight="1">
      <c r="B48" s="110"/>
      <c r="D48" s="111"/>
      <c r="I48" s="111"/>
      <c r="J48" s="111"/>
      <c r="K48" s="110"/>
      <c r="N48" s="113"/>
      <c r="O48" s="113"/>
      <c r="P48" s="111"/>
      <c r="Q48" s="110"/>
      <c r="S48" s="110"/>
    </row>
    <row r="49" ht="15.75" customHeight="1">
      <c r="B49" s="110"/>
      <c r="D49" s="111"/>
      <c r="I49" s="111"/>
      <c r="J49" s="111"/>
      <c r="K49" s="110"/>
      <c r="N49" s="113"/>
      <c r="O49" s="113"/>
      <c r="P49" s="111"/>
      <c r="Q49" s="110"/>
      <c r="S49" s="110"/>
    </row>
    <row r="50" ht="15.75" customHeight="1">
      <c r="B50" s="110"/>
      <c r="D50" s="111"/>
      <c r="I50" s="111"/>
      <c r="J50" s="111"/>
      <c r="K50" s="110"/>
      <c r="N50" s="113"/>
      <c r="O50" s="113"/>
      <c r="P50" s="111"/>
      <c r="Q50" s="110"/>
      <c r="S50" s="110"/>
    </row>
    <row r="51" ht="15.75" customHeight="1">
      <c r="B51" s="110"/>
      <c r="D51" s="111"/>
      <c r="I51" s="111"/>
      <c r="J51" s="111"/>
      <c r="K51" s="110"/>
      <c r="N51" s="113"/>
      <c r="O51" s="113"/>
      <c r="P51" s="111"/>
      <c r="Q51" s="110"/>
      <c r="S51" s="110"/>
    </row>
    <row r="52" ht="15.75" customHeight="1">
      <c r="B52" s="110"/>
      <c r="D52" s="111"/>
      <c r="I52" s="111"/>
      <c r="J52" s="111"/>
      <c r="K52" s="110"/>
      <c r="N52" s="113"/>
      <c r="O52" s="113"/>
      <c r="P52" s="111"/>
      <c r="Q52" s="110"/>
      <c r="S52" s="110"/>
    </row>
    <row r="53" ht="15.75" customHeight="1">
      <c r="B53" s="110"/>
      <c r="D53" s="111"/>
      <c r="I53" s="111"/>
      <c r="J53" s="111"/>
      <c r="K53" s="110"/>
      <c r="N53" s="113"/>
      <c r="O53" s="113"/>
      <c r="P53" s="111"/>
      <c r="Q53" s="110"/>
      <c r="S53" s="110"/>
    </row>
    <row r="54" ht="15.75" customHeight="1">
      <c r="B54" s="110"/>
      <c r="D54" s="111"/>
      <c r="I54" s="111"/>
      <c r="J54" s="111"/>
      <c r="K54" s="110"/>
      <c r="N54" s="113"/>
      <c r="O54" s="113"/>
      <c r="P54" s="111"/>
      <c r="Q54" s="110"/>
      <c r="S54" s="110"/>
    </row>
    <row r="55" ht="15.75" customHeight="1">
      <c r="B55" s="110"/>
      <c r="D55" s="111"/>
      <c r="I55" s="111"/>
      <c r="J55" s="111"/>
      <c r="K55" s="110"/>
      <c r="N55" s="113"/>
      <c r="O55" s="113"/>
      <c r="P55" s="111"/>
      <c r="Q55" s="110"/>
      <c r="S55" s="110"/>
    </row>
    <row r="56" ht="15.75" customHeight="1">
      <c r="B56" s="110"/>
      <c r="D56" s="111"/>
      <c r="I56" s="111"/>
      <c r="J56" s="111"/>
      <c r="K56" s="110"/>
      <c r="N56" s="113"/>
      <c r="O56" s="113"/>
      <c r="P56" s="111"/>
      <c r="Q56" s="110"/>
      <c r="S56" s="110"/>
    </row>
    <row r="57" ht="15.75" customHeight="1">
      <c r="B57" s="110"/>
      <c r="D57" s="111"/>
      <c r="I57" s="111"/>
      <c r="J57" s="111"/>
      <c r="K57" s="110"/>
      <c r="N57" s="113"/>
      <c r="O57" s="113"/>
      <c r="P57" s="111"/>
      <c r="Q57" s="110"/>
      <c r="S57" s="110"/>
    </row>
    <row r="58" ht="15.75" customHeight="1">
      <c r="B58" s="110"/>
      <c r="D58" s="111"/>
      <c r="I58" s="111"/>
      <c r="J58" s="111"/>
      <c r="K58" s="110"/>
      <c r="N58" s="113"/>
      <c r="O58" s="113"/>
      <c r="P58" s="111"/>
      <c r="Q58" s="110"/>
      <c r="S58" s="110"/>
    </row>
    <row r="59" ht="15.75" customHeight="1">
      <c r="B59" s="110"/>
      <c r="D59" s="111"/>
      <c r="I59" s="111"/>
      <c r="J59" s="111"/>
      <c r="K59" s="110"/>
      <c r="N59" s="113"/>
      <c r="O59" s="113"/>
      <c r="P59" s="111"/>
      <c r="Q59" s="110"/>
      <c r="S59" s="110"/>
    </row>
    <row r="60" ht="15.75" customHeight="1">
      <c r="B60" s="110"/>
      <c r="D60" s="111"/>
      <c r="I60" s="111"/>
      <c r="J60" s="111"/>
      <c r="K60" s="110"/>
      <c r="N60" s="113"/>
      <c r="O60" s="113"/>
      <c r="P60" s="111"/>
      <c r="Q60" s="110"/>
      <c r="S60" s="110"/>
    </row>
    <row r="61" ht="15.75" customHeight="1">
      <c r="B61" s="110"/>
      <c r="D61" s="111"/>
      <c r="I61" s="111"/>
      <c r="J61" s="111"/>
      <c r="K61" s="110"/>
      <c r="N61" s="113"/>
      <c r="O61" s="113"/>
      <c r="P61" s="111"/>
      <c r="Q61" s="110"/>
      <c r="S61" s="110"/>
    </row>
    <row r="62" ht="15.75" customHeight="1">
      <c r="B62" s="110"/>
      <c r="D62" s="111"/>
      <c r="I62" s="111"/>
      <c r="J62" s="111"/>
      <c r="K62" s="110"/>
      <c r="N62" s="113"/>
      <c r="O62" s="113"/>
      <c r="P62" s="111"/>
      <c r="Q62" s="110"/>
      <c r="S62" s="110"/>
    </row>
    <row r="63" ht="15.75" customHeight="1">
      <c r="B63" s="110"/>
      <c r="D63" s="111"/>
      <c r="I63" s="111"/>
      <c r="J63" s="111"/>
      <c r="K63" s="110"/>
      <c r="N63" s="113"/>
      <c r="O63" s="113"/>
      <c r="P63" s="111"/>
      <c r="Q63" s="110"/>
      <c r="S63" s="110"/>
    </row>
    <row r="64" ht="15.75" customHeight="1">
      <c r="B64" s="110"/>
      <c r="D64" s="111"/>
      <c r="I64" s="111"/>
      <c r="J64" s="111"/>
      <c r="K64" s="110"/>
      <c r="N64" s="113"/>
      <c r="O64" s="113"/>
      <c r="P64" s="111"/>
      <c r="Q64" s="110"/>
      <c r="S64" s="110"/>
    </row>
    <row r="65" ht="15.75" customHeight="1">
      <c r="B65" s="110"/>
      <c r="D65" s="111"/>
      <c r="I65" s="111"/>
      <c r="J65" s="111"/>
      <c r="K65" s="110"/>
      <c r="N65" s="113"/>
      <c r="O65" s="113"/>
      <c r="P65" s="111"/>
      <c r="Q65" s="110"/>
      <c r="S65" s="110"/>
    </row>
    <row r="66" ht="15.75" customHeight="1">
      <c r="B66" s="110"/>
      <c r="D66" s="111"/>
      <c r="I66" s="111"/>
      <c r="J66" s="111"/>
      <c r="K66" s="110"/>
      <c r="N66" s="113"/>
      <c r="O66" s="113"/>
      <c r="P66" s="111"/>
      <c r="Q66" s="110"/>
      <c r="S66" s="110"/>
    </row>
    <row r="67" ht="15.75" customHeight="1">
      <c r="B67" s="110"/>
      <c r="D67" s="111"/>
      <c r="I67" s="111"/>
      <c r="J67" s="111"/>
      <c r="K67" s="110"/>
      <c r="N67" s="113"/>
      <c r="O67" s="113"/>
      <c r="P67" s="111"/>
      <c r="Q67" s="110"/>
      <c r="S67" s="110"/>
    </row>
    <row r="68" ht="15.75" customHeight="1">
      <c r="B68" s="110"/>
      <c r="D68" s="111"/>
      <c r="I68" s="111"/>
      <c r="J68" s="111"/>
      <c r="K68" s="110"/>
      <c r="N68" s="113"/>
      <c r="O68" s="113"/>
      <c r="P68" s="111"/>
      <c r="Q68" s="110"/>
      <c r="S68" s="110"/>
    </row>
    <row r="69" ht="15.75" customHeight="1">
      <c r="B69" s="110"/>
      <c r="D69" s="111"/>
      <c r="I69" s="111"/>
      <c r="J69" s="111"/>
      <c r="K69" s="110"/>
      <c r="N69" s="113"/>
      <c r="O69" s="113"/>
      <c r="P69" s="111"/>
      <c r="Q69" s="110"/>
      <c r="S69" s="110"/>
    </row>
    <row r="70" ht="15.75" customHeight="1">
      <c r="B70" s="110"/>
      <c r="D70" s="111"/>
      <c r="I70" s="111"/>
      <c r="J70" s="111"/>
      <c r="K70" s="110"/>
      <c r="N70" s="113"/>
      <c r="O70" s="113"/>
      <c r="P70" s="111"/>
      <c r="Q70" s="110"/>
      <c r="S70" s="110"/>
    </row>
    <row r="71" ht="15.75" customHeight="1">
      <c r="B71" s="110"/>
      <c r="D71" s="111"/>
      <c r="I71" s="111"/>
      <c r="J71" s="111"/>
      <c r="K71" s="110"/>
      <c r="N71" s="113"/>
      <c r="O71" s="113"/>
      <c r="P71" s="111"/>
      <c r="Q71" s="110"/>
      <c r="S71" s="110"/>
    </row>
    <row r="72" ht="15.75" customHeight="1">
      <c r="B72" s="110"/>
      <c r="D72" s="111"/>
      <c r="I72" s="111"/>
      <c r="J72" s="111"/>
      <c r="K72" s="110"/>
      <c r="N72" s="113"/>
      <c r="O72" s="113"/>
      <c r="P72" s="111"/>
      <c r="Q72" s="110"/>
      <c r="S72" s="110"/>
    </row>
    <row r="73" ht="15.75" customHeight="1">
      <c r="B73" s="110"/>
      <c r="D73" s="111"/>
      <c r="I73" s="111"/>
      <c r="J73" s="111"/>
      <c r="K73" s="110"/>
      <c r="N73" s="113"/>
      <c r="O73" s="113"/>
      <c r="P73" s="111"/>
      <c r="Q73" s="110"/>
      <c r="S73" s="110"/>
    </row>
    <row r="74" ht="15.75" customHeight="1">
      <c r="B74" s="110"/>
      <c r="D74" s="111"/>
      <c r="I74" s="111"/>
      <c r="J74" s="111"/>
      <c r="K74" s="110"/>
      <c r="N74" s="113"/>
      <c r="O74" s="113"/>
      <c r="P74" s="111"/>
      <c r="Q74" s="110"/>
      <c r="S74" s="110"/>
    </row>
    <row r="75" ht="15.75" customHeight="1">
      <c r="B75" s="110"/>
      <c r="D75" s="111"/>
      <c r="I75" s="111"/>
      <c r="J75" s="111"/>
      <c r="K75" s="110"/>
      <c r="N75" s="113"/>
      <c r="O75" s="113"/>
      <c r="P75" s="111"/>
      <c r="Q75" s="110"/>
      <c r="S75" s="110"/>
    </row>
    <row r="76" ht="15.75" customHeight="1">
      <c r="B76" s="110"/>
      <c r="D76" s="111"/>
      <c r="I76" s="111"/>
      <c r="J76" s="111"/>
      <c r="K76" s="110"/>
      <c r="N76" s="113"/>
      <c r="O76" s="113"/>
      <c r="P76" s="111"/>
      <c r="Q76" s="110"/>
      <c r="S76" s="110"/>
    </row>
    <row r="77" ht="15.75" customHeight="1">
      <c r="B77" s="110"/>
      <c r="D77" s="111"/>
      <c r="I77" s="111"/>
      <c r="J77" s="111"/>
      <c r="K77" s="110"/>
      <c r="N77" s="113"/>
      <c r="O77" s="113"/>
      <c r="P77" s="111"/>
      <c r="Q77" s="110"/>
      <c r="S77" s="110"/>
    </row>
    <row r="78" ht="15.75" customHeight="1">
      <c r="B78" s="110"/>
      <c r="D78" s="111"/>
      <c r="I78" s="111"/>
      <c r="J78" s="111"/>
      <c r="K78" s="110"/>
      <c r="N78" s="113"/>
      <c r="O78" s="113"/>
      <c r="P78" s="111"/>
      <c r="Q78" s="110"/>
      <c r="S78" s="110"/>
    </row>
    <row r="79" ht="15.75" customHeight="1">
      <c r="B79" s="110"/>
      <c r="D79" s="111"/>
      <c r="I79" s="111"/>
      <c r="J79" s="111"/>
      <c r="K79" s="110"/>
      <c r="N79" s="113"/>
      <c r="O79" s="113"/>
      <c r="P79" s="111"/>
      <c r="Q79" s="110"/>
      <c r="S79" s="110"/>
    </row>
    <row r="80" ht="15.75" customHeight="1">
      <c r="B80" s="110"/>
      <c r="D80" s="111"/>
      <c r="I80" s="111"/>
      <c r="J80" s="111"/>
      <c r="K80" s="110"/>
      <c r="N80" s="113"/>
      <c r="O80" s="113"/>
      <c r="P80" s="111"/>
      <c r="Q80" s="110"/>
      <c r="S80" s="110"/>
    </row>
    <row r="81" ht="15.75" customHeight="1">
      <c r="B81" s="110"/>
      <c r="D81" s="111"/>
      <c r="I81" s="111"/>
      <c r="J81" s="111"/>
      <c r="K81" s="110"/>
      <c r="N81" s="113"/>
      <c r="O81" s="113"/>
      <c r="P81" s="111"/>
      <c r="Q81" s="110"/>
      <c r="S81" s="110"/>
    </row>
    <row r="82" ht="15.75" customHeight="1">
      <c r="B82" s="110"/>
      <c r="D82" s="111"/>
      <c r="I82" s="111"/>
      <c r="J82" s="111"/>
      <c r="K82" s="110"/>
      <c r="N82" s="113"/>
      <c r="O82" s="113"/>
      <c r="P82" s="111"/>
      <c r="Q82" s="110"/>
      <c r="S82" s="110"/>
    </row>
    <row r="83" ht="15.75" customHeight="1">
      <c r="B83" s="110"/>
      <c r="D83" s="111"/>
      <c r="I83" s="111"/>
      <c r="J83" s="111"/>
      <c r="K83" s="110"/>
      <c r="N83" s="113"/>
      <c r="O83" s="113"/>
      <c r="P83" s="111"/>
      <c r="Q83" s="110"/>
      <c r="S83" s="110"/>
    </row>
    <row r="84" ht="15.75" customHeight="1">
      <c r="B84" s="110"/>
      <c r="D84" s="111"/>
      <c r="I84" s="111"/>
      <c r="J84" s="111"/>
      <c r="K84" s="110"/>
      <c r="N84" s="113"/>
      <c r="O84" s="113"/>
      <c r="P84" s="111"/>
      <c r="Q84" s="110"/>
      <c r="S84" s="110"/>
    </row>
    <row r="85" ht="15.75" customHeight="1">
      <c r="B85" s="110"/>
      <c r="D85" s="111"/>
      <c r="I85" s="111"/>
      <c r="J85" s="111"/>
      <c r="K85" s="110"/>
      <c r="N85" s="113"/>
      <c r="O85" s="113"/>
      <c r="P85" s="111"/>
      <c r="Q85" s="110"/>
      <c r="S85" s="110"/>
    </row>
    <row r="86" ht="15.75" customHeight="1">
      <c r="B86" s="110"/>
      <c r="D86" s="111"/>
      <c r="I86" s="111"/>
      <c r="J86" s="111"/>
      <c r="K86" s="110"/>
      <c r="N86" s="113"/>
      <c r="O86" s="113"/>
      <c r="P86" s="111"/>
      <c r="Q86" s="110"/>
      <c r="S86" s="110"/>
    </row>
    <row r="87" ht="15.75" customHeight="1">
      <c r="B87" s="110"/>
      <c r="D87" s="111"/>
      <c r="I87" s="111"/>
      <c r="J87" s="111"/>
      <c r="K87" s="110"/>
      <c r="N87" s="113"/>
      <c r="O87" s="113"/>
      <c r="P87" s="111"/>
      <c r="Q87" s="110"/>
      <c r="S87" s="110"/>
    </row>
    <row r="88" ht="15.75" customHeight="1">
      <c r="B88" s="110"/>
      <c r="D88" s="111"/>
      <c r="I88" s="111"/>
      <c r="J88" s="111"/>
      <c r="K88" s="110"/>
      <c r="N88" s="113"/>
      <c r="O88" s="113"/>
      <c r="P88" s="111"/>
      <c r="Q88" s="110"/>
      <c r="S88" s="110"/>
    </row>
    <row r="89" ht="15.75" customHeight="1">
      <c r="B89" s="110"/>
      <c r="D89" s="111"/>
      <c r="I89" s="111"/>
      <c r="J89" s="111"/>
      <c r="K89" s="110"/>
      <c r="N89" s="113"/>
      <c r="O89" s="113"/>
      <c r="P89" s="111"/>
      <c r="Q89" s="110"/>
      <c r="S89" s="110"/>
    </row>
    <row r="90" ht="15.75" customHeight="1">
      <c r="B90" s="110"/>
      <c r="D90" s="111"/>
      <c r="I90" s="111"/>
      <c r="J90" s="111"/>
      <c r="K90" s="110"/>
      <c r="N90" s="113"/>
      <c r="O90" s="113"/>
      <c r="P90" s="111"/>
      <c r="Q90" s="110"/>
      <c r="S90" s="110"/>
    </row>
    <row r="91" ht="15.75" customHeight="1">
      <c r="B91" s="110"/>
      <c r="D91" s="111"/>
      <c r="I91" s="111"/>
      <c r="J91" s="111"/>
      <c r="K91" s="110"/>
      <c r="N91" s="113"/>
      <c r="O91" s="113"/>
      <c r="P91" s="111"/>
      <c r="Q91" s="110"/>
      <c r="S91" s="110"/>
    </row>
    <row r="92" ht="15.75" customHeight="1">
      <c r="B92" s="110"/>
      <c r="D92" s="111"/>
      <c r="I92" s="111"/>
      <c r="J92" s="111"/>
      <c r="K92" s="110"/>
      <c r="N92" s="113"/>
      <c r="O92" s="113"/>
      <c r="P92" s="111"/>
      <c r="Q92" s="110"/>
      <c r="S92" s="110"/>
    </row>
    <row r="93" ht="15.75" customHeight="1">
      <c r="B93" s="110"/>
      <c r="D93" s="111"/>
      <c r="I93" s="111"/>
      <c r="J93" s="111"/>
      <c r="K93" s="110"/>
      <c r="N93" s="113"/>
      <c r="O93" s="113"/>
      <c r="P93" s="111"/>
      <c r="Q93" s="110"/>
      <c r="S93" s="110"/>
    </row>
    <row r="94" ht="15.75" customHeight="1">
      <c r="B94" s="110"/>
      <c r="D94" s="111"/>
      <c r="I94" s="111"/>
      <c r="J94" s="111"/>
      <c r="K94" s="110"/>
      <c r="N94" s="113"/>
      <c r="O94" s="113"/>
      <c r="P94" s="111"/>
      <c r="Q94" s="110"/>
      <c r="S94" s="110"/>
    </row>
    <row r="95" ht="15.75" customHeight="1">
      <c r="B95" s="110"/>
      <c r="D95" s="111"/>
      <c r="I95" s="111"/>
      <c r="J95" s="111"/>
      <c r="K95" s="110"/>
      <c r="N95" s="113"/>
      <c r="O95" s="113"/>
      <c r="P95" s="111"/>
      <c r="Q95" s="110"/>
      <c r="S95" s="110"/>
    </row>
    <row r="96" ht="15.75" customHeight="1">
      <c r="B96" s="110"/>
      <c r="D96" s="111"/>
      <c r="I96" s="111"/>
      <c r="J96" s="111"/>
      <c r="K96" s="110"/>
      <c r="N96" s="113"/>
      <c r="O96" s="113"/>
      <c r="P96" s="111"/>
      <c r="Q96" s="110"/>
      <c r="S96" s="110"/>
    </row>
    <row r="97" ht="15.75" customHeight="1">
      <c r="B97" s="110"/>
      <c r="D97" s="111"/>
      <c r="I97" s="111"/>
      <c r="J97" s="111"/>
      <c r="K97" s="110"/>
      <c r="N97" s="113"/>
      <c r="O97" s="113"/>
      <c r="P97" s="111"/>
      <c r="Q97" s="110"/>
      <c r="S97" s="110"/>
    </row>
    <row r="98" ht="15.75" customHeight="1">
      <c r="B98" s="110"/>
      <c r="D98" s="111"/>
      <c r="I98" s="111"/>
      <c r="J98" s="111"/>
      <c r="K98" s="110"/>
      <c r="N98" s="113"/>
      <c r="O98" s="113"/>
      <c r="P98" s="111"/>
      <c r="Q98" s="110"/>
      <c r="S98" s="110"/>
    </row>
    <row r="99" ht="15.75" customHeight="1">
      <c r="B99" s="110"/>
      <c r="D99" s="111"/>
      <c r="I99" s="111"/>
      <c r="J99" s="111"/>
      <c r="K99" s="110"/>
      <c r="N99" s="113"/>
      <c r="O99" s="113"/>
      <c r="P99" s="111"/>
      <c r="Q99" s="110"/>
      <c r="S99" s="110"/>
    </row>
    <row r="100" ht="15.75" customHeight="1">
      <c r="B100" s="110"/>
      <c r="D100" s="111"/>
      <c r="I100" s="111"/>
      <c r="J100" s="111"/>
      <c r="K100" s="110"/>
      <c r="N100" s="113"/>
      <c r="O100" s="113"/>
      <c r="P100" s="111"/>
      <c r="Q100" s="110"/>
      <c r="S100" s="110"/>
    </row>
    <row r="101" ht="15.75" customHeight="1">
      <c r="B101" s="110"/>
      <c r="D101" s="111"/>
      <c r="I101" s="111"/>
      <c r="J101" s="111"/>
      <c r="K101" s="110"/>
      <c r="N101" s="113"/>
      <c r="O101" s="113"/>
      <c r="P101" s="111"/>
      <c r="Q101" s="110"/>
      <c r="S101" s="110"/>
    </row>
    <row r="102" ht="15.75" customHeight="1">
      <c r="B102" s="110"/>
      <c r="D102" s="111"/>
      <c r="I102" s="111"/>
      <c r="J102" s="111"/>
      <c r="K102" s="110"/>
      <c r="N102" s="113"/>
      <c r="O102" s="113"/>
      <c r="P102" s="111"/>
      <c r="Q102" s="110"/>
      <c r="S102" s="110"/>
    </row>
    <row r="103" ht="15.75" customHeight="1">
      <c r="B103" s="110"/>
      <c r="D103" s="111"/>
      <c r="I103" s="111"/>
      <c r="J103" s="111"/>
      <c r="K103" s="110"/>
      <c r="N103" s="113"/>
      <c r="O103" s="113"/>
      <c r="P103" s="111"/>
      <c r="Q103" s="110"/>
      <c r="S103" s="110"/>
    </row>
    <row r="104" ht="15.75" customHeight="1">
      <c r="B104" s="110"/>
      <c r="D104" s="111"/>
      <c r="I104" s="111"/>
      <c r="J104" s="111"/>
      <c r="K104" s="110"/>
      <c r="N104" s="113"/>
      <c r="O104" s="113"/>
      <c r="P104" s="111"/>
      <c r="Q104" s="110"/>
      <c r="S104" s="110"/>
    </row>
    <row r="105" ht="15.75" customHeight="1">
      <c r="B105" s="110"/>
      <c r="D105" s="111"/>
      <c r="I105" s="111"/>
      <c r="J105" s="111"/>
      <c r="K105" s="110"/>
      <c r="N105" s="113"/>
      <c r="O105" s="113"/>
      <c r="P105" s="111"/>
      <c r="Q105" s="110"/>
      <c r="S105" s="110"/>
    </row>
    <row r="106" ht="15.75" customHeight="1">
      <c r="B106" s="110"/>
      <c r="D106" s="111"/>
      <c r="I106" s="111"/>
      <c r="J106" s="111"/>
      <c r="K106" s="110"/>
      <c r="N106" s="113"/>
      <c r="O106" s="113"/>
      <c r="P106" s="111"/>
      <c r="Q106" s="110"/>
      <c r="S106" s="110"/>
    </row>
    <row r="107" ht="15.75" customHeight="1">
      <c r="B107" s="110"/>
      <c r="D107" s="111"/>
      <c r="I107" s="111"/>
      <c r="J107" s="111"/>
      <c r="K107" s="110"/>
      <c r="N107" s="113"/>
      <c r="O107" s="113"/>
      <c r="P107" s="111"/>
      <c r="Q107" s="110"/>
      <c r="S107" s="110"/>
    </row>
    <row r="108" ht="15.75" customHeight="1">
      <c r="B108" s="110"/>
      <c r="D108" s="111"/>
      <c r="I108" s="111"/>
      <c r="J108" s="111"/>
      <c r="K108" s="110"/>
      <c r="N108" s="113"/>
      <c r="O108" s="113"/>
      <c r="P108" s="111"/>
      <c r="Q108" s="110"/>
      <c r="S108" s="110"/>
    </row>
    <row r="109" ht="15.75" customHeight="1">
      <c r="B109" s="110"/>
      <c r="D109" s="111"/>
      <c r="I109" s="111"/>
      <c r="J109" s="111"/>
      <c r="K109" s="110"/>
      <c r="N109" s="113"/>
      <c r="O109" s="113"/>
      <c r="P109" s="111"/>
      <c r="Q109" s="110"/>
      <c r="S109" s="110"/>
    </row>
    <row r="110" ht="15.75" customHeight="1">
      <c r="B110" s="110"/>
      <c r="D110" s="111"/>
      <c r="I110" s="111"/>
      <c r="J110" s="111"/>
      <c r="K110" s="110"/>
      <c r="N110" s="113"/>
      <c r="O110" s="113"/>
      <c r="P110" s="111"/>
      <c r="Q110" s="110"/>
      <c r="S110" s="110"/>
    </row>
    <row r="111" ht="15.75" customHeight="1">
      <c r="B111" s="110"/>
      <c r="D111" s="111"/>
      <c r="I111" s="111"/>
      <c r="J111" s="111"/>
      <c r="K111" s="110"/>
      <c r="N111" s="113"/>
      <c r="O111" s="113"/>
      <c r="P111" s="111"/>
      <c r="Q111" s="110"/>
      <c r="S111" s="110"/>
    </row>
    <row r="112" ht="15.75" customHeight="1">
      <c r="B112" s="110"/>
      <c r="D112" s="111"/>
      <c r="I112" s="111"/>
      <c r="J112" s="111"/>
      <c r="K112" s="110"/>
      <c r="N112" s="113"/>
      <c r="O112" s="113"/>
      <c r="P112" s="111"/>
      <c r="Q112" s="110"/>
      <c r="S112" s="110"/>
    </row>
    <row r="113" ht="15.75" customHeight="1">
      <c r="B113" s="110"/>
      <c r="D113" s="111"/>
      <c r="I113" s="111"/>
      <c r="J113" s="111"/>
      <c r="K113" s="110"/>
      <c r="N113" s="113"/>
      <c r="O113" s="113"/>
      <c r="P113" s="111"/>
      <c r="Q113" s="110"/>
      <c r="S113" s="110"/>
    </row>
    <row r="114" ht="15.75" customHeight="1">
      <c r="B114" s="110"/>
      <c r="D114" s="111"/>
      <c r="I114" s="111"/>
      <c r="J114" s="111"/>
      <c r="K114" s="110"/>
      <c r="N114" s="113"/>
      <c r="O114" s="113"/>
      <c r="P114" s="111"/>
      <c r="Q114" s="110"/>
      <c r="S114" s="110"/>
    </row>
    <row r="115" ht="15.75" customHeight="1">
      <c r="B115" s="110"/>
      <c r="D115" s="111"/>
      <c r="I115" s="111"/>
      <c r="J115" s="111"/>
      <c r="K115" s="110"/>
      <c r="N115" s="113"/>
      <c r="O115" s="113"/>
      <c r="P115" s="111"/>
      <c r="Q115" s="110"/>
      <c r="S115" s="110"/>
    </row>
    <row r="116" ht="15.75" customHeight="1">
      <c r="B116" s="110"/>
      <c r="D116" s="111"/>
      <c r="I116" s="111"/>
      <c r="J116" s="111"/>
      <c r="K116" s="110"/>
      <c r="N116" s="113"/>
      <c r="O116" s="113"/>
      <c r="P116" s="111"/>
      <c r="Q116" s="110"/>
      <c r="S116" s="110"/>
    </row>
    <row r="117" ht="15.75" customHeight="1">
      <c r="B117" s="110"/>
      <c r="D117" s="111"/>
      <c r="I117" s="111"/>
      <c r="J117" s="111"/>
      <c r="K117" s="110"/>
      <c r="N117" s="113"/>
      <c r="O117" s="113"/>
      <c r="P117" s="111"/>
      <c r="Q117" s="110"/>
      <c r="S117" s="110"/>
    </row>
    <row r="118" ht="15.75" customHeight="1">
      <c r="B118" s="110"/>
      <c r="D118" s="111"/>
      <c r="I118" s="111"/>
      <c r="J118" s="111"/>
      <c r="K118" s="110"/>
      <c r="N118" s="113"/>
      <c r="O118" s="113"/>
      <c r="P118" s="111"/>
      <c r="Q118" s="110"/>
      <c r="S118" s="110"/>
    </row>
    <row r="119" ht="15.75" customHeight="1">
      <c r="B119" s="110"/>
      <c r="D119" s="111"/>
      <c r="I119" s="111"/>
      <c r="J119" s="111"/>
      <c r="K119" s="110"/>
      <c r="N119" s="113"/>
      <c r="O119" s="113"/>
      <c r="P119" s="111"/>
      <c r="Q119" s="110"/>
      <c r="S119" s="110"/>
    </row>
    <row r="120" ht="15.75" customHeight="1">
      <c r="B120" s="110"/>
      <c r="D120" s="111"/>
      <c r="I120" s="111"/>
      <c r="J120" s="111"/>
      <c r="K120" s="110"/>
      <c r="N120" s="113"/>
      <c r="O120" s="113"/>
      <c r="P120" s="111"/>
      <c r="Q120" s="110"/>
      <c r="S120" s="110"/>
    </row>
    <row r="121" ht="15.75" customHeight="1">
      <c r="B121" s="110"/>
      <c r="D121" s="111"/>
      <c r="I121" s="111"/>
      <c r="J121" s="111"/>
      <c r="K121" s="110"/>
      <c r="N121" s="113"/>
      <c r="O121" s="113"/>
      <c r="P121" s="111"/>
      <c r="Q121" s="110"/>
      <c r="S121" s="110"/>
    </row>
    <row r="122" ht="15.75" customHeight="1">
      <c r="B122" s="110"/>
      <c r="D122" s="111"/>
      <c r="I122" s="111"/>
      <c r="J122" s="111"/>
      <c r="K122" s="110"/>
      <c r="N122" s="113"/>
      <c r="O122" s="113"/>
      <c r="P122" s="111"/>
      <c r="Q122" s="110"/>
      <c r="S122" s="110"/>
    </row>
    <row r="123" ht="15.75" customHeight="1">
      <c r="B123" s="110"/>
      <c r="D123" s="111"/>
      <c r="I123" s="111"/>
      <c r="J123" s="111"/>
      <c r="K123" s="110"/>
      <c r="N123" s="113"/>
      <c r="O123" s="113"/>
      <c r="P123" s="111"/>
      <c r="Q123" s="110"/>
      <c r="S123" s="110"/>
    </row>
    <row r="124" ht="15.75" customHeight="1">
      <c r="B124" s="110"/>
      <c r="D124" s="111"/>
      <c r="I124" s="111"/>
      <c r="J124" s="111"/>
      <c r="K124" s="110"/>
      <c r="N124" s="113"/>
      <c r="O124" s="113"/>
      <c r="P124" s="111"/>
      <c r="Q124" s="110"/>
      <c r="S124" s="110"/>
    </row>
    <row r="125" ht="15.75" customHeight="1">
      <c r="B125" s="110"/>
      <c r="D125" s="111"/>
      <c r="I125" s="111"/>
      <c r="J125" s="111"/>
      <c r="K125" s="110"/>
      <c r="N125" s="113"/>
      <c r="O125" s="113"/>
      <c r="P125" s="111"/>
      <c r="Q125" s="110"/>
      <c r="S125" s="110"/>
    </row>
    <row r="126" ht="15.75" customHeight="1">
      <c r="B126" s="110"/>
      <c r="D126" s="111"/>
      <c r="I126" s="111"/>
      <c r="J126" s="111"/>
      <c r="K126" s="110"/>
      <c r="N126" s="113"/>
      <c r="O126" s="113"/>
      <c r="P126" s="111"/>
      <c r="Q126" s="110"/>
      <c r="S126" s="110"/>
    </row>
    <row r="127" ht="15.75" customHeight="1">
      <c r="B127" s="110"/>
      <c r="D127" s="111"/>
      <c r="I127" s="111"/>
      <c r="J127" s="111"/>
      <c r="K127" s="110"/>
      <c r="N127" s="113"/>
      <c r="O127" s="113"/>
      <c r="P127" s="111"/>
      <c r="Q127" s="110"/>
      <c r="S127" s="110"/>
    </row>
    <row r="128" ht="15.75" customHeight="1">
      <c r="B128" s="110"/>
      <c r="D128" s="111"/>
      <c r="I128" s="111"/>
      <c r="J128" s="111"/>
      <c r="K128" s="110"/>
      <c r="N128" s="113"/>
      <c r="O128" s="113"/>
      <c r="P128" s="111"/>
      <c r="Q128" s="110"/>
      <c r="S128" s="110"/>
    </row>
    <row r="129" ht="15.75" customHeight="1">
      <c r="B129" s="110"/>
      <c r="D129" s="111"/>
      <c r="I129" s="111"/>
      <c r="J129" s="111"/>
      <c r="K129" s="110"/>
      <c r="N129" s="113"/>
      <c r="O129" s="113"/>
      <c r="P129" s="111"/>
      <c r="Q129" s="110"/>
      <c r="S129" s="110"/>
    </row>
    <row r="130" ht="15.75" customHeight="1">
      <c r="B130" s="110"/>
      <c r="D130" s="111"/>
      <c r="I130" s="111"/>
      <c r="J130" s="111"/>
      <c r="K130" s="110"/>
      <c r="N130" s="113"/>
      <c r="O130" s="113"/>
      <c r="P130" s="111"/>
      <c r="Q130" s="110"/>
      <c r="S130" s="110"/>
    </row>
    <row r="131" ht="15.75" customHeight="1">
      <c r="B131" s="110"/>
      <c r="D131" s="111"/>
      <c r="I131" s="111"/>
      <c r="J131" s="111"/>
      <c r="K131" s="110"/>
      <c r="N131" s="113"/>
      <c r="O131" s="113"/>
      <c r="P131" s="111"/>
      <c r="Q131" s="110"/>
      <c r="S131" s="110"/>
    </row>
    <row r="132" ht="15.75" customHeight="1">
      <c r="B132" s="110"/>
      <c r="D132" s="111"/>
      <c r="I132" s="111"/>
      <c r="J132" s="111"/>
      <c r="K132" s="110"/>
      <c r="N132" s="113"/>
      <c r="O132" s="113"/>
      <c r="P132" s="111"/>
      <c r="Q132" s="110"/>
      <c r="S132" s="110"/>
    </row>
    <row r="133" ht="15.75" customHeight="1">
      <c r="B133" s="110"/>
      <c r="D133" s="111"/>
      <c r="I133" s="111"/>
      <c r="J133" s="111"/>
      <c r="K133" s="110"/>
      <c r="N133" s="113"/>
      <c r="O133" s="113"/>
      <c r="P133" s="111"/>
      <c r="Q133" s="110"/>
      <c r="S133" s="110"/>
    </row>
    <row r="134" ht="15.75" customHeight="1">
      <c r="B134" s="110"/>
      <c r="D134" s="111"/>
      <c r="I134" s="111"/>
      <c r="J134" s="111"/>
      <c r="K134" s="110"/>
      <c r="N134" s="113"/>
      <c r="O134" s="113"/>
      <c r="P134" s="111"/>
      <c r="Q134" s="110"/>
      <c r="S134" s="110"/>
    </row>
    <row r="135" ht="15.75" customHeight="1">
      <c r="B135" s="110"/>
      <c r="D135" s="111"/>
      <c r="I135" s="111"/>
      <c r="J135" s="111"/>
      <c r="K135" s="110"/>
      <c r="N135" s="113"/>
      <c r="O135" s="113"/>
      <c r="P135" s="111"/>
      <c r="Q135" s="110"/>
      <c r="S135" s="110"/>
    </row>
    <row r="136" ht="15.75" customHeight="1">
      <c r="B136" s="110"/>
      <c r="D136" s="111"/>
      <c r="I136" s="111"/>
      <c r="J136" s="111"/>
      <c r="K136" s="110"/>
      <c r="N136" s="113"/>
      <c r="O136" s="113"/>
      <c r="P136" s="111"/>
      <c r="Q136" s="110"/>
      <c r="S136" s="110"/>
    </row>
    <row r="137" ht="15.75" customHeight="1">
      <c r="B137" s="110"/>
      <c r="D137" s="111"/>
      <c r="I137" s="111"/>
      <c r="J137" s="111"/>
      <c r="K137" s="110"/>
      <c r="N137" s="113"/>
      <c r="O137" s="113"/>
      <c r="P137" s="111"/>
      <c r="Q137" s="110"/>
      <c r="S137" s="110"/>
    </row>
    <row r="138" ht="15.75" customHeight="1">
      <c r="B138" s="110"/>
      <c r="D138" s="111"/>
      <c r="I138" s="111"/>
      <c r="J138" s="111"/>
      <c r="K138" s="110"/>
      <c r="N138" s="113"/>
      <c r="O138" s="113"/>
      <c r="P138" s="111"/>
      <c r="Q138" s="110"/>
      <c r="S138" s="110"/>
    </row>
    <row r="139" ht="15.75" customHeight="1">
      <c r="B139" s="110"/>
      <c r="D139" s="111"/>
      <c r="I139" s="111"/>
      <c r="J139" s="111"/>
      <c r="K139" s="110"/>
      <c r="N139" s="113"/>
      <c r="O139" s="113"/>
      <c r="P139" s="111"/>
      <c r="Q139" s="110"/>
      <c r="S139" s="110"/>
    </row>
    <row r="140" ht="15.75" customHeight="1">
      <c r="B140" s="110"/>
      <c r="D140" s="111"/>
      <c r="I140" s="111"/>
      <c r="J140" s="111"/>
      <c r="K140" s="110"/>
      <c r="N140" s="113"/>
      <c r="O140" s="113"/>
      <c r="P140" s="111"/>
      <c r="Q140" s="110"/>
      <c r="S140" s="110"/>
    </row>
    <row r="141" ht="15.75" customHeight="1">
      <c r="B141" s="110"/>
      <c r="D141" s="111"/>
      <c r="I141" s="111"/>
      <c r="J141" s="111"/>
      <c r="K141" s="110"/>
      <c r="N141" s="113"/>
      <c r="O141" s="113"/>
      <c r="P141" s="111"/>
      <c r="Q141" s="110"/>
      <c r="S141" s="110"/>
    </row>
    <row r="142" ht="15.75" customHeight="1">
      <c r="B142" s="110"/>
      <c r="D142" s="111"/>
      <c r="I142" s="111"/>
      <c r="J142" s="111"/>
      <c r="K142" s="110"/>
      <c r="N142" s="113"/>
      <c r="O142" s="113"/>
      <c r="P142" s="111"/>
      <c r="Q142" s="110"/>
      <c r="S142" s="110"/>
    </row>
    <row r="143" ht="15.75" customHeight="1">
      <c r="B143" s="110"/>
      <c r="D143" s="111"/>
      <c r="I143" s="111"/>
      <c r="J143" s="111"/>
      <c r="K143" s="110"/>
      <c r="N143" s="113"/>
      <c r="O143" s="113"/>
      <c r="P143" s="111"/>
      <c r="Q143" s="110"/>
      <c r="S143" s="110"/>
    </row>
    <row r="144" ht="15.75" customHeight="1">
      <c r="B144" s="110"/>
      <c r="D144" s="111"/>
      <c r="I144" s="111"/>
      <c r="J144" s="111"/>
      <c r="K144" s="110"/>
      <c r="N144" s="113"/>
      <c r="O144" s="113"/>
      <c r="P144" s="111"/>
      <c r="Q144" s="110"/>
      <c r="S144" s="110"/>
    </row>
    <row r="145" ht="15.75" customHeight="1">
      <c r="B145" s="110"/>
      <c r="D145" s="111"/>
      <c r="I145" s="111"/>
      <c r="J145" s="111"/>
      <c r="K145" s="110"/>
      <c r="N145" s="113"/>
      <c r="O145" s="113"/>
      <c r="P145" s="111"/>
      <c r="Q145" s="110"/>
      <c r="S145" s="110"/>
    </row>
    <row r="146" ht="15.75" customHeight="1">
      <c r="B146" s="110"/>
      <c r="D146" s="111"/>
      <c r="I146" s="111"/>
      <c r="J146" s="111"/>
      <c r="K146" s="110"/>
      <c r="N146" s="113"/>
      <c r="O146" s="113"/>
      <c r="P146" s="111"/>
      <c r="Q146" s="110"/>
      <c r="S146" s="110"/>
    </row>
    <row r="147" ht="15.75" customHeight="1">
      <c r="B147" s="110"/>
      <c r="D147" s="111"/>
      <c r="I147" s="111"/>
      <c r="J147" s="111"/>
      <c r="K147" s="110"/>
      <c r="N147" s="113"/>
      <c r="O147" s="113"/>
      <c r="P147" s="111"/>
      <c r="Q147" s="110"/>
      <c r="S147" s="110"/>
    </row>
    <row r="148" ht="15.75" customHeight="1">
      <c r="B148" s="110"/>
      <c r="D148" s="111"/>
      <c r="I148" s="111"/>
      <c r="J148" s="111"/>
      <c r="K148" s="110"/>
      <c r="N148" s="113"/>
      <c r="O148" s="113"/>
      <c r="P148" s="111"/>
      <c r="Q148" s="110"/>
      <c r="S148" s="110"/>
    </row>
    <row r="149" ht="15.75" customHeight="1">
      <c r="B149" s="110"/>
      <c r="D149" s="111"/>
      <c r="I149" s="111"/>
      <c r="J149" s="111"/>
      <c r="K149" s="110"/>
      <c r="N149" s="113"/>
      <c r="O149" s="113"/>
      <c r="P149" s="111"/>
      <c r="Q149" s="110"/>
      <c r="S149" s="110"/>
    </row>
    <row r="150" ht="15.75" customHeight="1">
      <c r="B150" s="110"/>
      <c r="D150" s="111"/>
      <c r="I150" s="111"/>
      <c r="J150" s="111"/>
      <c r="K150" s="110"/>
      <c r="N150" s="113"/>
      <c r="O150" s="113"/>
      <c r="P150" s="111"/>
      <c r="Q150" s="110"/>
      <c r="S150" s="110"/>
    </row>
    <row r="151" ht="15.75" customHeight="1">
      <c r="B151" s="110"/>
      <c r="D151" s="111"/>
      <c r="I151" s="111"/>
      <c r="J151" s="111"/>
      <c r="K151" s="110"/>
      <c r="N151" s="113"/>
      <c r="O151" s="113"/>
      <c r="P151" s="111"/>
      <c r="Q151" s="110"/>
      <c r="S151" s="110"/>
    </row>
    <row r="152" ht="15.75" customHeight="1">
      <c r="B152" s="110"/>
      <c r="D152" s="111"/>
      <c r="I152" s="111"/>
      <c r="J152" s="111"/>
      <c r="K152" s="110"/>
      <c r="N152" s="113"/>
      <c r="O152" s="113"/>
      <c r="P152" s="111"/>
      <c r="Q152" s="110"/>
      <c r="S152" s="110"/>
    </row>
    <row r="153" ht="15.75" customHeight="1">
      <c r="B153" s="110"/>
      <c r="D153" s="111"/>
      <c r="I153" s="111"/>
      <c r="J153" s="111"/>
      <c r="K153" s="110"/>
      <c r="N153" s="113"/>
      <c r="O153" s="113"/>
      <c r="P153" s="111"/>
      <c r="Q153" s="110"/>
      <c r="S153" s="110"/>
    </row>
    <row r="154" ht="15.75" customHeight="1">
      <c r="B154" s="110"/>
      <c r="D154" s="111"/>
      <c r="I154" s="111"/>
      <c r="J154" s="111"/>
      <c r="K154" s="110"/>
      <c r="N154" s="113"/>
      <c r="O154" s="113"/>
      <c r="P154" s="111"/>
      <c r="Q154" s="110"/>
      <c r="S154" s="110"/>
    </row>
    <row r="155" ht="15.75" customHeight="1">
      <c r="B155" s="110"/>
      <c r="D155" s="111"/>
      <c r="I155" s="111"/>
      <c r="J155" s="111"/>
      <c r="K155" s="110"/>
      <c r="N155" s="113"/>
      <c r="O155" s="113"/>
      <c r="P155" s="111"/>
      <c r="Q155" s="110"/>
      <c r="S155" s="110"/>
    </row>
    <row r="156" ht="15.75" customHeight="1">
      <c r="B156" s="110"/>
      <c r="D156" s="111"/>
      <c r="I156" s="111"/>
      <c r="J156" s="111"/>
      <c r="K156" s="110"/>
      <c r="N156" s="113"/>
      <c r="O156" s="113"/>
      <c r="P156" s="111"/>
      <c r="Q156" s="110"/>
      <c r="S156" s="110"/>
    </row>
    <row r="157" ht="15.75" customHeight="1">
      <c r="B157" s="110"/>
      <c r="D157" s="111"/>
      <c r="I157" s="111"/>
      <c r="J157" s="111"/>
      <c r="K157" s="110"/>
      <c r="N157" s="113"/>
      <c r="O157" s="113"/>
      <c r="P157" s="111"/>
      <c r="Q157" s="110"/>
      <c r="S157" s="110"/>
    </row>
    <row r="158" ht="15.75" customHeight="1">
      <c r="B158" s="110"/>
      <c r="D158" s="111"/>
      <c r="I158" s="111"/>
      <c r="J158" s="111"/>
      <c r="K158" s="110"/>
      <c r="N158" s="113"/>
      <c r="O158" s="113"/>
      <c r="P158" s="111"/>
      <c r="Q158" s="110"/>
      <c r="S158" s="110"/>
    </row>
    <row r="159" ht="15.75" customHeight="1">
      <c r="B159" s="110"/>
      <c r="D159" s="111"/>
      <c r="I159" s="111"/>
      <c r="J159" s="111"/>
      <c r="K159" s="110"/>
      <c r="N159" s="113"/>
      <c r="O159" s="113"/>
      <c r="P159" s="111"/>
      <c r="Q159" s="110"/>
      <c r="S159" s="110"/>
    </row>
    <row r="160" ht="15.75" customHeight="1">
      <c r="B160" s="110"/>
      <c r="D160" s="111"/>
      <c r="I160" s="111"/>
      <c r="J160" s="111"/>
      <c r="K160" s="110"/>
      <c r="N160" s="113"/>
      <c r="O160" s="113"/>
      <c r="P160" s="111"/>
      <c r="Q160" s="110"/>
      <c r="S160" s="110"/>
    </row>
    <row r="161" ht="15.75" customHeight="1">
      <c r="B161" s="110"/>
      <c r="D161" s="111"/>
      <c r="I161" s="111"/>
      <c r="J161" s="111"/>
      <c r="K161" s="110"/>
      <c r="N161" s="113"/>
      <c r="O161" s="113"/>
      <c r="P161" s="111"/>
      <c r="Q161" s="110"/>
      <c r="S161" s="110"/>
    </row>
    <row r="162" ht="15.75" customHeight="1">
      <c r="B162" s="110"/>
      <c r="D162" s="111"/>
      <c r="I162" s="111"/>
      <c r="J162" s="111"/>
      <c r="K162" s="110"/>
      <c r="N162" s="113"/>
      <c r="O162" s="113"/>
      <c r="P162" s="111"/>
      <c r="Q162" s="110"/>
      <c r="S162" s="110"/>
    </row>
    <row r="163" ht="15.75" customHeight="1">
      <c r="B163" s="110"/>
      <c r="D163" s="111"/>
      <c r="I163" s="111"/>
      <c r="J163" s="111"/>
      <c r="K163" s="110"/>
      <c r="N163" s="113"/>
      <c r="O163" s="113"/>
      <c r="P163" s="111"/>
      <c r="Q163" s="110"/>
      <c r="S163" s="110"/>
    </row>
    <row r="164" ht="15.75" customHeight="1">
      <c r="B164" s="110"/>
      <c r="D164" s="111"/>
      <c r="I164" s="111"/>
      <c r="J164" s="111"/>
      <c r="K164" s="110"/>
      <c r="N164" s="113"/>
      <c r="O164" s="113"/>
      <c r="P164" s="111"/>
      <c r="Q164" s="110"/>
      <c r="S164" s="110"/>
    </row>
    <row r="165" ht="15.75" customHeight="1">
      <c r="B165" s="110"/>
      <c r="D165" s="111"/>
      <c r="I165" s="111"/>
      <c r="J165" s="111"/>
      <c r="K165" s="110"/>
      <c r="N165" s="113"/>
      <c r="O165" s="113"/>
      <c r="P165" s="111"/>
      <c r="Q165" s="110"/>
      <c r="S165" s="110"/>
    </row>
    <row r="166" ht="15.75" customHeight="1">
      <c r="B166" s="110"/>
      <c r="D166" s="111"/>
      <c r="I166" s="111"/>
      <c r="J166" s="111"/>
      <c r="K166" s="110"/>
      <c r="N166" s="113"/>
      <c r="O166" s="113"/>
      <c r="P166" s="111"/>
      <c r="Q166" s="110"/>
      <c r="S166" s="110"/>
    </row>
    <row r="167" ht="15.75" customHeight="1">
      <c r="B167" s="110"/>
      <c r="D167" s="111"/>
      <c r="I167" s="111"/>
      <c r="J167" s="111"/>
      <c r="K167" s="110"/>
      <c r="N167" s="113"/>
      <c r="O167" s="113"/>
      <c r="P167" s="111"/>
      <c r="Q167" s="110"/>
      <c r="S167" s="110"/>
    </row>
    <row r="168" ht="15.75" customHeight="1">
      <c r="B168" s="110"/>
      <c r="D168" s="111"/>
      <c r="I168" s="111"/>
      <c r="J168" s="111"/>
      <c r="K168" s="110"/>
      <c r="N168" s="113"/>
      <c r="O168" s="113"/>
      <c r="P168" s="111"/>
      <c r="Q168" s="110"/>
      <c r="S168" s="110"/>
    </row>
    <row r="169" ht="15.75" customHeight="1">
      <c r="B169" s="110"/>
      <c r="D169" s="111"/>
      <c r="I169" s="111"/>
      <c r="J169" s="111"/>
      <c r="K169" s="110"/>
      <c r="N169" s="113"/>
      <c r="O169" s="113"/>
      <c r="P169" s="111"/>
      <c r="Q169" s="110"/>
      <c r="S169" s="110"/>
    </row>
    <row r="170" ht="15.75" customHeight="1">
      <c r="B170" s="110"/>
      <c r="D170" s="111"/>
      <c r="I170" s="111"/>
      <c r="J170" s="111"/>
      <c r="K170" s="110"/>
      <c r="N170" s="113"/>
      <c r="O170" s="113"/>
      <c r="P170" s="111"/>
      <c r="Q170" s="110"/>
      <c r="S170" s="110"/>
    </row>
    <row r="171" ht="15.75" customHeight="1">
      <c r="B171" s="110"/>
      <c r="D171" s="111"/>
      <c r="I171" s="111"/>
      <c r="J171" s="111"/>
      <c r="K171" s="110"/>
      <c r="N171" s="113"/>
      <c r="O171" s="113"/>
      <c r="P171" s="111"/>
      <c r="Q171" s="110"/>
      <c r="S171" s="110"/>
    </row>
    <row r="172" ht="15.75" customHeight="1">
      <c r="B172" s="110"/>
      <c r="D172" s="111"/>
      <c r="I172" s="111"/>
      <c r="J172" s="111"/>
      <c r="K172" s="110"/>
      <c r="N172" s="113"/>
      <c r="O172" s="113"/>
      <c r="P172" s="111"/>
      <c r="Q172" s="110"/>
      <c r="S172" s="110"/>
    </row>
    <row r="173" ht="15.75" customHeight="1">
      <c r="B173" s="110"/>
      <c r="D173" s="111"/>
      <c r="I173" s="111"/>
      <c r="J173" s="111"/>
      <c r="K173" s="110"/>
      <c r="N173" s="113"/>
      <c r="O173" s="113"/>
      <c r="P173" s="111"/>
      <c r="Q173" s="110"/>
      <c r="S173" s="110"/>
    </row>
    <row r="174" ht="15.75" customHeight="1">
      <c r="B174" s="110"/>
      <c r="D174" s="111"/>
      <c r="I174" s="111"/>
      <c r="J174" s="111"/>
      <c r="K174" s="110"/>
      <c r="N174" s="113"/>
      <c r="O174" s="113"/>
      <c r="P174" s="111"/>
      <c r="Q174" s="110"/>
      <c r="S174" s="110"/>
    </row>
    <row r="175" ht="15.75" customHeight="1">
      <c r="B175" s="110"/>
      <c r="D175" s="111"/>
      <c r="I175" s="111"/>
      <c r="J175" s="111"/>
      <c r="K175" s="110"/>
      <c r="N175" s="113"/>
      <c r="O175" s="113"/>
      <c r="P175" s="111"/>
      <c r="Q175" s="110"/>
      <c r="S175" s="110"/>
    </row>
    <row r="176" ht="15.75" customHeight="1">
      <c r="B176" s="110"/>
      <c r="D176" s="111"/>
      <c r="I176" s="111"/>
      <c r="J176" s="111"/>
      <c r="K176" s="110"/>
      <c r="N176" s="113"/>
      <c r="O176" s="113"/>
      <c r="P176" s="111"/>
      <c r="Q176" s="110"/>
      <c r="S176" s="110"/>
    </row>
    <row r="177" ht="15.75" customHeight="1">
      <c r="B177" s="110"/>
      <c r="D177" s="111"/>
      <c r="I177" s="111"/>
      <c r="J177" s="111"/>
      <c r="K177" s="110"/>
      <c r="N177" s="113"/>
      <c r="O177" s="113"/>
      <c r="P177" s="111"/>
      <c r="Q177" s="110"/>
      <c r="S177" s="110"/>
    </row>
    <row r="178" ht="15.75" customHeight="1">
      <c r="B178" s="110"/>
      <c r="D178" s="111"/>
      <c r="I178" s="111"/>
      <c r="J178" s="111"/>
      <c r="K178" s="110"/>
      <c r="N178" s="113"/>
      <c r="O178" s="113"/>
      <c r="P178" s="111"/>
      <c r="Q178" s="110"/>
      <c r="S178" s="110"/>
    </row>
    <row r="179" ht="15.75" customHeight="1">
      <c r="B179" s="110"/>
      <c r="D179" s="111"/>
      <c r="I179" s="111"/>
      <c r="J179" s="111"/>
      <c r="K179" s="110"/>
      <c r="N179" s="113"/>
      <c r="O179" s="113"/>
      <c r="P179" s="111"/>
      <c r="Q179" s="110"/>
      <c r="S179" s="110"/>
    </row>
    <row r="180" ht="15.75" customHeight="1">
      <c r="B180" s="110"/>
      <c r="D180" s="111"/>
      <c r="I180" s="111"/>
      <c r="J180" s="111"/>
      <c r="K180" s="110"/>
      <c r="N180" s="113"/>
      <c r="O180" s="113"/>
      <c r="P180" s="111"/>
      <c r="Q180" s="110"/>
      <c r="S180" s="110"/>
    </row>
    <row r="181" ht="15.75" customHeight="1">
      <c r="B181" s="110"/>
      <c r="D181" s="111"/>
      <c r="I181" s="111"/>
      <c r="J181" s="111"/>
      <c r="K181" s="110"/>
      <c r="N181" s="113"/>
      <c r="O181" s="113"/>
      <c r="P181" s="111"/>
      <c r="Q181" s="110"/>
      <c r="S181" s="110"/>
    </row>
    <row r="182" ht="15.75" customHeight="1">
      <c r="B182" s="110"/>
      <c r="D182" s="111"/>
      <c r="I182" s="111"/>
      <c r="J182" s="111"/>
      <c r="K182" s="110"/>
      <c r="N182" s="113"/>
      <c r="O182" s="113"/>
      <c r="P182" s="111"/>
      <c r="Q182" s="110"/>
      <c r="S182" s="110"/>
    </row>
    <row r="183" ht="15.75" customHeight="1">
      <c r="B183" s="110"/>
      <c r="D183" s="111"/>
      <c r="I183" s="111"/>
      <c r="J183" s="111"/>
      <c r="K183" s="110"/>
      <c r="N183" s="113"/>
      <c r="O183" s="113"/>
      <c r="P183" s="111"/>
      <c r="Q183" s="110"/>
      <c r="S183" s="110"/>
    </row>
    <row r="184" ht="15.75" customHeight="1">
      <c r="B184" s="110"/>
      <c r="D184" s="111"/>
      <c r="I184" s="111"/>
      <c r="J184" s="111"/>
      <c r="K184" s="110"/>
      <c r="N184" s="113"/>
      <c r="O184" s="113"/>
      <c r="P184" s="111"/>
      <c r="Q184" s="110"/>
      <c r="S184" s="110"/>
    </row>
    <row r="185" ht="15.75" customHeight="1">
      <c r="B185" s="110"/>
      <c r="D185" s="111"/>
      <c r="I185" s="111"/>
      <c r="J185" s="111"/>
      <c r="K185" s="110"/>
      <c r="N185" s="113"/>
      <c r="O185" s="113"/>
      <c r="P185" s="111"/>
      <c r="Q185" s="110"/>
      <c r="S185" s="110"/>
    </row>
    <row r="186" ht="15.75" customHeight="1">
      <c r="B186" s="110"/>
      <c r="D186" s="111"/>
      <c r="I186" s="111"/>
      <c r="J186" s="111"/>
      <c r="K186" s="110"/>
      <c r="N186" s="113"/>
      <c r="O186" s="113"/>
      <c r="P186" s="111"/>
      <c r="Q186" s="110"/>
      <c r="S186" s="110"/>
    </row>
    <row r="187" ht="15.75" customHeight="1">
      <c r="B187" s="110"/>
      <c r="D187" s="111"/>
      <c r="I187" s="111"/>
      <c r="J187" s="111"/>
      <c r="K187" s="110"/>
      <c r="N187" s="113"/>
      <c r="O187" s="113"/>
      <c r="P187" s="111"/>
      <c r="Q187" s="110"/>
      <c r="S187" s="110"/>
    </row>
    <row r="188" ht="15.75" customHeight="1">
      <c r="B188" s="110"/>
      <c r="D188" s="111"/>
      <c r="I188" s="111"/>
      <c r="J188" s="111"/>
      <c r="K188" s="110"/>
      <c r="N188" s="113"/>
      <c r="O188" s="113"/>
      <c r="P188" s="111"/>
      <c r="Q188" s="110"/>
      <c r="S188" s="110"/>
    </row>
    <row r="189" ht="15.75" customHeight="1">
      <c r="B189" s="110"/>
      <c r="D189" s="111"/>
      <c r="I189" s="111"/>
      <c r="J189" s="111"/>
      <c r="K189" s="110"/>
      <c r="N189" s="113"/>
      <c r="O189" s="113"/>
      <c r="P189" s="111"/>
      <c r="Q189" s="110"/>
      <c r="S189" s="110"/>
    </row>
    <row r="190" ht="15.75" customHeight="1">
      <c r="B190" s="110"/>
      <c r="D190" s="111"/>
      <c r="I190" s="111"/>
      <c r="J190" s="111"/>
      <c r="K190" s="110"/>
      <c r="N190" s="113"/>
      <c r="O190" s="113"/>
      <c r="P190" s="111"/>
      <c r="Q190" s="110"/>
      <c r="S190" s="110"/>
    </row>
    <row r="191" ht="15.75" customHeight="1">
      <c r="B191" s="110"/>
      <c r="D191" s="111"/>
      <c r="I191" s="111"/>
      <c r="J191" s="111"/>
      <c r="K191" s="110"/>
      <c r="N191" s="113"/>
      <c r="O191" s="113"/>
      <c r="P191" s="111"/>
      <c r="Q191" s="110"/>
      <c r="S191" s="110"/>
    </row>
    <row r="192" ht="15.75" customHeight="1">
      <c r="B192" s="110"/>
      <c r="D192" s="111"/>
      <c r="I192" s="111"/>
      <c r="J192" s="111"/>
      <c r="K192" s="110"/>
      <c r="N192" s="113"/>
      <c r="O192" s="113"/>
      <c r="P192" s="111"/>
      <c r="Q192" s="110"/>
      <c r="S192" s="110"/>
    </row>
    <row r="193" ht="15.75" customHeight="1">
      <c r="B193" s="110"/>
      <c r="D193" s="111"/>
      <c r="I193" s="111"/>
      <c r="J193" s="111"/>
      <c r="K193" s="110"/>
      <c r="N193" s="113"/>
      <c r="O193" s="113"/>
      <c r="P193" s="111"/>
      <c r="Q193" s="110"/>
      <c r="S193" s="110"/>
    </row>
    <row r="194" ht="15.75" customHeight="1">
      <c r="B194" s="110"/>
      <c r="D194" s="111"/>
      <c r="I194" s="111"/>
      <c r="J194" s="111"/>
      <c r="K194" s="110"/>
      <c r="N194" s="113"/>
      <c r="O194" s="113"/>
      <c r="P194" s="111"/>
      <c r="Q194" s="110"/>
      <c r="S194" s="110"/>
    </row>
    <row r="195" ht="15.75" customHeight="1">
      <c r="B195" s="110"/>
      <c r="D195" s="111"/>
      <c r="I195" s="111"/>
      <c r="J195" s="111"/>
      <c r="K195" s="110"/>
      <c r="N195" s="113"/>
      <c r="O195" s="113"/>
      <c r="P195" s="111"/>
      <c r="Q195" s="110"/>
      <c r="S195" s="110"/>
    </row>
    <row r="196" ht="15.75" customHeight="1">
      <c r="B196" s="110"/>
      <c r="D196" s="111"/>
      <c r="I196" s="111"/>
      <c r="J196" s="111"/>
      <c r="K196" s="110"/>
      <c r="N196" s="113"/>
      <c r="O196" s="113"/>
      <c r="P196" s="111"/>
      <c r="Q196" s="110"/>
      <c r="S196" s="110"/>
    </row>
    <row r="197" ht="15.75" customHeight="1">
      <c r="B197" s="110"/>
      <c r="D197" s="111"/>
      <c r="I197" s="111"/>
      <c r="J197" s="111"/>
      <c r="K197" s="110"/>
      <c r="N197" s="113"/>
      <c r="O197" s="113"/>
      <c r="P197" s="111"/>
      <c r="Q197" s="110"/>
      <c r="S197" s="110"/>
    </row>
    <row r="198" ht="15.75" customHeight="1">
      <c r="B198" s="110"/>
      <c r="D198" s="111"/>
      <c r="I198" s="111"/>
      <c r="J198" s="111"/>
      <c r="K198" s="110"/>
      <c r="N198" s="113"/>
      <c r="O198" s="113"/>
      <c r="P198" s="111"/>
      <c r="Q198" s="110"/>
      <c r="S198" s="110"/>
    </row>
    <row r="199" ht="15.75" customHeight="1">
      <c r="B199" s="110"/>
      <c r="D199" s="111"/>
      <c r="I199" s="111"/>
      <c r="J199" s="111"/>
      <c r="K199" s="110"/>
      <c r="N199" s="113"/>
      <c r="O199" s="113"/>
      <c r="P199" s="111"/>
      <c r="Q199" s="110"/>
      <c r="S199" s="110"/>
    </row>
    <row r="200" ht="15.75" customHeight="1">
      <c r="B200" s="110"/>
      <c r="D200" s="111"/>
      <c r="I200" s="111"/>
      <c r="J200" s="111"/>
      <c r="K200" s="110"/>
      <c r="N200" s="113"/>
      <c r="O200" s="113"/>
      <c r="P200" s="111"/>
      <c r="Q200" s="110"/>
      <c r="S200" s="110"/>
    </row>
    <row r="201" ht="15.75" customHeight="1">
      <c r="B201" s="110"/>
      <c r="D201" s="111"/>
      <c r="I201" s="111"/>
      <c r="J201" s="111"/>
      <c r="K201" s="110"/>
      <c r="N201" s="113"/>
      <c r="O201" s="113"/>
      <c r="P201" s="111"/>
      <c r="Q201" s="110"/>
      <c r="S201" s="110"/>
    </row>
    <row r="202" ht="15.75" customHeight="1">
      <c r="B202" s="110"/>
      <c r="D202" s="111"/>
      <c r="I202" s="111"/>
      <c r="J202" s="111"/>
      <c r="K202" s="110"/>
      <c r="N202" s="113"/>
      <c r="O202" s="113"/>
      <c r="P202" s="111"/>
      <c r="Q202" s="110"/>
      <c r="S202" s="110"/>
    </row>
    <row r="203" ht="15.75" customHeight="1">
      <c r="B203" s="110"/>
      <c r="D203" s="111"/>
      <c r="I203" s="111"/>
      <c r="J203" s="111"/>
      <c r="K203" s="110"/>
      <c r="N203" s="113"/>
      <c r="O203" s="113"/>
      <c r="P203" s="111"/>
      <c r="Q203" s="110"/>
      <c r="S203" s="110"/>
    </row>
    <row r="204" ht="15.75" customHeight="1">
      <c r="B204" s="110"/>
      <c r="D204" s="111"/>
      <c r="I204" s="111"/>
      <c r="J204" s="111"/>
      <c r="K204" s="110"/>
      <c r="N204" s="113"/>
      <c r="O204" s="113"/>
      <c r="P204" s="111"/>
      <c r="Q204" s="110"/>
      <c r="S204" s="110"/>
    </row>
    <row r="205" ht="15.75" customHeight="1">
      <c r="B205" s="110"/>
      <c r="D205" s="111"/>
      <c r="I205" s="111"/>
      <c r="J205" s="111"/>
      <c r="K205" s="110"/>
      <c r="N205" s="113"/>
      <c r="O205" s="113"/>
      <c r="P205" s="111"/>
      <c r="Q205" s="110"/>
      <c r="S205" s="110"/>
    </row>
    <row r="206" ht="15.75" customHeight="1">
      <c r="B206" s="110"/>
      <c r="D206" s="111"/>
      <c r="I206" s="111"/>
      <c r="J206" s="111"/>
      <c r="K206" s="110"/>
      <c r="N206" s="113"/>
      <c r="O206" s="113"/>
      <c r="P206" s="111"/>
      <c r="Q206" s="110"/>
      <c r="S206" s="110"/>
    </row>
    <row r="207" ht="15.75" customHeight="1">
      <c r="B207" s="110"/>
      <c r="D207" s="111"/>
      <c r="I207" s="111"/>
      <c r="J207" s="111"/>
      <c r="K207" s="110"/>
      <c r="N207" s="113"/>
      <c r="O207" s="113"/>
      <c r="P207" s="111"/>
      <c r="Q207" s="110"/>
      <c r="S207" s="110"/>
    </row>
    <row r="208" ht="15.75" customHeight="1">
      <c r="B208" s="110"/>
      <c r="D208" s="111"/>
      <c r="I208" s="111"/>
      <c r="J208" s="111"/>
      <c r="K208" s="110"/>
      <c r="N208" s="113"/>
      <c r="O208" s="113"/>
      <c r="P208" s="111"/>
      <c r="Q208" s="110"/>
      <c r="S208" s="110"/>
    </row>
    <row r="209" ht="15.75" customHeight="1">
      <c r="B209" s="110"/>
      <c r="D209" s="111"/>
      <c r="I209" s="111"/>
      <c r="J209" s="111"/>
      <c r="K209" s="110"/>
      <c r="N209" s="113"/>
      <c r="O209" s="113"/>
      <c r="P209" s="111"/>
      <c r="Q209" s="110"/>
      <c r="S209" s="110"/>
    </row>
    <row r="210" ht="15.75" customHeight="1">
      <c r="B210" s="110"/>
      <c r="D210" s="111"/>
      <c r="I210" s="111"/>
      <c r="J210" s="111"/>
      <c r="K210" s="110"/>
      <c r="N210" s="113"/>
      <c r="O210" s="113"/>
      <c r="P210" s="111"/>
      <c r="Q210" s="110"/>
      <c r="S210" s="110"/>
    </row>
    <row r="211" ht="15.75" customHeight="1">
      <c r="B211" s="110"/>
      <c r="D211" s="111"/>
      <c r="I211" s="111"/>
      <c r="J211" s="111"/>
      <c r="K211" s="110"/>
      <c r="N211" s="113"/>
      <c r="O211" s="113"/>
      <c r="P211" s="111"/>
      <c r="Q211" s="110"/>
      <c r="S211" s="110"/>
    </row>
    <row r="212" ht="15.75" customHeight="1">
      <c r="B212" s="110"/>
      <c r="D212" s="111"/>
      <c r="I212" s="111"/>
      <c r="J212" s="111"/>
      <c r="K212" s="110"/>
      <c r="N212" s="113"/>
      <c r="O212" s="113"/>
      <c r="P212" s="111"/>
      <c r="Q212" s="110"/>
      <c r="S212" s="110"/>
    </row>
    <row r="213" ht="15.75" customHeight="1">
      <c r="B213" s="110"/>
      <c r="D213" s="111"/>
      <c r="I213" s="111"/>
      <c r="J213" s="111"/>
      <c r="K213" s="110"/>
      <c r="N213" s="113"/>
      <c r="O213" s="113"/>
      <c r="P213" s="111"/>
      <c r="Q213" s="110"/>
      <c r="S213" s="110"/>
    </row>
    <row r="214" ht="15.75" customHeight="1">
      <c r="B214" s="110"/>
      <c r="D214" s="111"/>
      <c r="I214" s="111"/>
      <c r="J214" s="111"/>
      <c r="K214" s="110"/>
      <c r="N214" s="113"/>
      <c r="O214" s="113"/>
      <c r="P214" s="111"/>
      <c r="Q214" s="110"/>
      <c r="S214" s="110"/>
    </row>
    <row r="215" ht="15.75" customHeight="1">
      <c r="B215" s="110"/>
      <c r="D215" s="111"/>
      <c r="I215" s="111"/>
      <c r="J215" s="111"/>
      <c r="K215" s="110"/>
      <c r="N215" s="113"/>
      <c r="O215" s="113"/>
      <c r="P215" s="111"/>
      <c r="Q215" s="110"/>
      <c r="S215" s="110"/>
    </row>
    <row r="216" ht="15.75" customHeight="1">
      <c r="B216" s="110"/>
      <c r="D216" s="111"/>
      <c r="I216" s="111"/>
      <c r="J216" s="111"/>
      <c r="K216" s="110"/>
      <c r="N216" s="113"/>
      <c r="O216" s="113"/>
      <c r="P216" s="111"/>
      <c r="Q216" s="110"/>
      <c r="S216" s="110"/>
    </row>
    <row r="217" ht="15.75" customHeight="1">
      <c r="B217" s="110"/>
      <c r="D217" s="111"/>
      <c r="I217" s="111"/>
      <c r="J217" s="111"/>
      <c r="K217" s="110"/>
      <c r="N217" s="113"/>
      <c r="O217" s="113"/>
      <c r="P217" s="111"/>
      <c r="Q217" s="110"/>
      <c r="S217" s="110"/>
    </row>
    <row r="218" ht="15.75" customHeight="1">
      <c r="B218" s="110"/>
      <c r="I218" s="110"/>
      <c r="J218" s="110"/>
      <c r="K218" s="110"/>
      <c r="Q218" s="110"/>
      <c r="S218" s="110"/>
    </row>
    <row r="219" ht="15.75" customHeight="1">
      <c r="B219" s="110"/>
      <c r="I219" s="110"/>
      <c r="J219" s="110"/>
      <c r="K219" s="110"/>
      <c r="Q219" s="110"/>
      <c r="S219" s="110"/>
    </row>
    <row r="220" ht="15.75" customHeight="1">
      <c r="B220" s="110"/>
      <c r="I220" s="110"/>
      <c r="J220" s="110"/>
      <c r="K220" s="110"/>
      <c r="Q220" s="110"/>
      <c r="S220" s="110"/>
    </row>
    <row r="221" ht="15.75" customHeight="1">
      <c r="B221" s="110"/>
      <c r="I221" s="110"/>
      <c r="J221" s="110"/>
      <c r="K221" s="110"/>
      <c r="Q221" s="110"/>
      <c r="S221" s="110"/>
    </row>
    <row r="222" ht="15.75" customHeight="1">
      <c r="B222" s="110"/>
      <c r="I222" s="110"/>
      <c r="J222" s="110"/>
      <c r="K222" s="110"/>
      <c r="Q222" s="110"/>
      <c r="S222" s="110"/>
    </row>
    <row r="223" ht="15.75" customHeight="1">
      <c r="B223" s="110"/>
      <c r="I223" s="110"/>
      <c r="J223" s="110"/>
      <c r="K223" s="110"/>
      <c r="Q223" s="110"/>
      <c r="S223" s="110"/>
    </row>
    <row r="224" ht="15.75" customHeight="1">
      <c r="B224" s="110"/>
      <c r="I224" s="110"/>
      <c r="J224" s="110"/>
      <c r="K224" s="110"/>
      <c r="Q224" s="110"/>
      <c r="S224" s="110"/>
    </row>
    <row r="225" ht="15.75" customHeight="1">
      <c r="B225" s="110"/>
      <c r="I225" s="110"/>
      <c r="J225" s="110"/>
      <c r="K225" s="110"/>
      <c r="Q225" s="110"/>
      <c r="S225" s="110"/>
    </row>
    <row r="226" ht="15.75" customHeight="1">
      <c r="B226" s="110"/>
      <c r="I226" s="110"/>
      <c r="J226" s="110"/>
      <c r="K226" s="110"/>
      <c r="Q226" s="110"/>
      <c r="S226" s="110"/>
    </row>
    <row r="227" ht="15.75" customHeight="1">
      <c r="B227" s="110"/>
      <c r="I227" s="110"/>
      <c r="J227" s="110"/>
      <c r="K227" s="110"/>
      <c r="Q227" s="110"/>
      <c r="S227" s="110"/>
    </row>
    <row r="228" ht="15.75" customHeight="1">
      <c r="B228" s="110"/>
      <c r="I228" s="110"/>
      <c r="J228" s="110"/>
      <c r="K228" s="110"/>
      <c r="Q228" s="110"/>
      <c r="S228" s="110"/>
    </row>
    <row r="229" ht="15.75" customHeight="1">
      <c r="B229" s="110"/>
      <c r="I229" s="110"/>
      <c r="J229" s="110"/>
      <c r="K229" s="110"/>
      <c r="Q229" s="110"/>
      <c r="S229" s="110"/>
    </row>
    <row r="230" ht="15.75" customHeight="1">
      <c r="B230" s="110"/>
      <c r="I230" s="110"/>
      <c r="J230" s="110"/>
      <c r="K230" s="110"/>
      <c r="Q230" s="110"/>
      <c r="S230" s="110"/>
    </row>
    <row r="231" ht="15.75" customHeight="1">
      <c r="B231" s="110"/>
      <c r="I231" s="110"/>
      <c r="J231" s="110"/>
      <c r="K231" s="110"/>
      <c r="Q231" s="110"/>
      <c r="S231" s="110"/>
    </row>
    <row r="232" ht="15.75" customHeight="1">
      <c r="B232" s="110"/>
      <c r="I232" s="110"/>
      <c r="J232" s="110"/>
      <c r="K232" s="110"/>
      <c r="Q232" s="110"/>
      <c r="S232" s="110"/>
    </row>
    <row r="233" ht="15.75" customHeight="1">
      <c r="B233" s="110"/>
      <c r="I233" s="110"/>
      <c r="J233" s="110"/>
      <c r="K233" s="110"/>
      <c r="Q233" s="110"/>
      <c r="S233" s="110"/>
    </row>
    <row r="234" ht="15.75" customHeight="1">
      <c r="B234" s="110"/>
      <c r="I234" s="110"/>
      <c r="J234" s="110"/>
      <c r="K234" s="110"/>
      <c r="Q234" s="110"/>
      <c r="S234" s="110"/>
    </row>
    <row r="235" ht="15.75" customHeight="1">
      <c r="B235" s="110"/>
      <c r="I235" s="110"/>
      <c r="J235" s="110"/>
      <c r="K235" s="110"/>
      <c r="Q235" s="110"/>
      <c r="S235" s="110"/>
    </row>
    <row r="236" ht="15.75" customHeight="1">
      <c r="B236" s="110"/>
      <c r="I236" s="110"/>
      <c r="J236" s="110"/>
      <c r="K236" s="110"/>
      <c r="Q236" s="110"/>
      <c r="S236" s="110"/>
    </row>
    <row r="237" ht="15.75" customHeight="1">
      <c r="B237" s="110"/>
      <c r="I237" s="110"/>
      <c r="J237" s="110"/>
      <c r="K237" s="110"/>
      <c r="Q237" s="110"/>
      <c r="S237" s="110"/>
    </row>
    <row r="238" ht="15.75" customHeight="1">
      <c r="B238" s="110"/>
      <c r="I238" s="110"/>
      <c r="J238" s="110"/>
      <c r="K238" s="110"/>
      <c r="Q238" s="110"/>
      <c r="S238" s="110"/>
    </row>
    <row r="239" ht="15.75" customHeight="1">
      <c r="B239" s="110"/>
      <c r="I239" s="110"/>
      <c r="J239" s="110"/>
      <c r="K239" s="110"/>
      <c r="Q239" s="110"/>
      <c r="S239" s="110"/>
    </row>
    <row r="240" ht="15.75" customHeight="1">
      <c r="B240" s="110"/>
      <c r="I240" s="110"/>
      <c r="J240" s="110"/>
      <c r="K240" s="110"/>
      <c r="Q240" s="110"/>
      <c r="S240" s="110"/>
    </row>
    <row r="241" ht="15.75" customHeight="1">
      <c r="B241" s="110"/>
      <c r="I241" s="110"/>
      <c r="J241" s="110"/>
      <c r="K241" s="110"/>
      <c r="Q241" s="110"/>
      <c r="S241" s="110"/>
    </row>
    <row r="242" ht="15.75" customHeight="1">
      <c r="B242" s="110"/>
      <c r="I242" s="110"/>
      <c r="J242" s="110"/>
      <c r="K242" s="110"/>
      <c r="Q242" s="110"/>
      <c r="S242" s="110"/>
    </row>
    <row r="243" ht="15.75" customHeight="1">
      <c r="B243" s="110"/>
      <c r="I243" s="110"/>
      <c r="J243" s="110"/>
      <c r="K243" s="110"/>
      <c r="Q243" s="110"/>
      <c r="S243" s="110"/>
    </row>
    <row r="244" ht="15.75" customHeight="1">
      <c r="B244" s="110"/>
      <c r="I244" s="110"/>
      <c r="J244" s="110"/>
      <c r="K244" s="110"/>
      <c r="Q244" s="110"/>
      <c r="S244" s="110"/>
    </row>
    <row r="245" ht="15.75" customHeight="1">
      <c r="B245" s="110"/>
      <c r="I245" s="110"/>
      <c r="J245" s="110"/>
      <c r="K245" s="110"/>
      <c r="Q245" s="110"/>
      <c r="S245" s="110"/>
    </row>
    <row r="246" ht="15.75" customHeight="1">
      <c r="B246" s="110"/>
      <c r="I246" s="110"/>
      <c r="J246" s="110"/>
      <c r="K246" s="110"/>
      <c r="Q246" s="110"/>
      <c r="S246" s="110"/>
    </row>
    <row r="247" ht="15.75" customHeight="1">
      <c r="B247" s="110"/>
      <c r="I247" s="110"/>
      <c r="J247" s="110"/>
      <c r="K247" s="110"/>
      <c r="Q247" s="110"/>
      <c r="S247" s="110"/>
    </row>
    <row r="248" ht="15.75" customHeight="1">
      <c r="B248" s="110"/>
      <c r="I248" s="110"/>
      <c r="J248" s="110"/>
      <c r="K248" s="110"/>
      <c r="Q248" s="110"/>
      <c r="S248" s="110"/>
    </row>
    <row r="249" ht="15.75" customHeight="1">
      <c r="B249" s="110"/>
      <c r="I249" s="110"/>
      <c r="J249" s="110"/>
      <c r="K249" s="110"/>
      <c r="Q249" s="110"/>
      <c r="S249" s="110"/>
    </row>
    <row r="250" ht="15.75" customHeight="1">
      <c r="B250" s="110"/>
      <c r="I250" s="110"/>
      <c r="J250" s="110"/>
      <c r="K250" s="110"/>
      <c r="Q250" s="110"/>
      <c r="S250" s="110"/>
    </row>
    <row r="251" ht="15.75" customHeight="1">
      <c r="B251" s="110"/>
      <c r="I251" s="110"/>
      <c r="J251" s="110"/>
      <c r="K251" s="110"/>
      <c r="Q251" s="110"/>
      <c r="S251" s="110"/>
    </row>
    <row r="252" ht="15.75" customHeight="1">
      <c r="B252" s="110"/>
      <c r="I252" s="110"/>
      <c r="J252" s="110"/>
      <c r="K252" s="110"/>
      <c r="Q252" s="110"/>
      <c r="S252" s="110"/>
    </row>
    <row r="253" ht="15.75" customHeight="1">
      <c r="B253" s="110"/>
      <c r="I253" s="110"/>
      <c r="J253" s="110"/>
      <c r="K253" s="110"/>
      <c r="Q253" s="110"/>
      <c r="S253" s="110"/>
    </row>
    <row r="254" ht="15.75" customHeight="1">
      <c r="B254" s="110"/>
      <c r="I254" s="110"/>
      <c r="J254" s="110"/>
      <c r="K254" s="110"/>
      <c r="Q254" s="110"/>
      <c r="S254" s="110"/>
    </row>
    <row r="255" ht="15.75" customHeight="1">
      <c r="B255" s="110"/>
      <c r="I255" s="110"/>
      <c r="J255" s="110"/>
      <c r="K255" s="110"/>
      <c r="Q255" s="110"/>
      <c r="S255" s="110"/>
    </row>
    <row r="256" ht="15.75" customHeight="1">
      <c r="B256" s="110"/>
      <c r="I256" s="110"/>
      <c r="J256" s="110"/>
      <c r="K256" s="110"/>
      <c r="Q256" s="110"/>
      <c r="S256" s="110"/>
    </row>
    <row r="257" ht="15.75" customHeight="1">
      <c r="B257" s="110"/>
      <c r="I257" s="110"/>
      <c r="J257" s="110"/>
      <c r="K257" s="110"/>
      <c r="Q257" s="110"/>
      <c r="S257" s="110"/>
    </row>
    <row r="258" ht="15.75" customHeight="1">
      <c r="B258" s="110"/>
      <c r="I258" s="110"/>
      <c r="J258" s="110"/>
      <c r="K258" s="110"/>
      <c r="Q258" s="110"/>
      <c r="S258" s="110"/>
    </row>
    <row r="259" ht="15.75" customHeight="1">
      <c r="B259" s="110"/>
      <c r="I259" s="110"/>
      <c r="J259" s="110"/>
      <c r="K259" s="110"/>
      <c r="Q259" s="110"/>
      <c r="S259" s="110"/>
    </row>
    <row r="260" ht="15.75" customHeight="1">
      <c r="B260" s="110"/>
      <c r="I260" s="110"/>
      <c r="J260" s="110"/>
      <c r="K260" s="110"/>
      <c r="Q260" s="110"/>
      <c r="S260" s="110"/>
    </row>
    <row r="261" ht="15.75" customHeight="1">
      <c r="B261" s="110"/>
      <c r="I261" s="110"/>
      <c r="J261" s="110"/>
      <c r="K261" s="110"/>
      <c r="Q261" s="110"/>
      <c r="S261" s="110"/>
    </row>
    <row r="262" ht="15.75" customHeight="1">
      <c r="B262" s="110"/>
      <c r="I262" s="110"/>
      <c r="J262" s="110"/>
      <c r="K262" s="110"/>
      <c r="Q262" s="110"/>
      <c r="S262" s="110"/>
    </row>
    <row r="263" ht="15.75" customHeight="1">
      <c r="B263" s="110"/>
      <c r="I263" s="110"/>
      <c r="J263" s="110"/>
      <c r="K263" s="110"/>
      <c r="Q263" s="110"/>
      <c r="S263" s="110"/>
    </row>
    <row r="264" ht="15.75" customHeight="1">
      <c r="B264" s="110"/>
      <c r="I264" s="110"/>
      <c r="J264" s="110"/>
      <c r="K264" s="110"/>
      <c r="Q264" s="110"/>
      <c r="S264" s="110"/>
    </row>
    <row r="265" ht="15.75" customHeight="1">
      <c r="B265" s="110"/>
      <c r="I265" s="110"/>
      <c r="J265" s="110"/>
      <c r="K265" s="110"/>
      <c r="Q265" s="110"/>
      <c r="S265" s="110"/>
    </row>
    <row r="266" ht="15.75" customHeight="1">
      <c r="B266" s="110"/>
      <c r="I266" s="110"/>
      <c r="J266" s="110"/>
      <c r="K266" s="110"/>
      <c r="Q266" s="110"/>
      <c r="S266" s="110"/>
    </row>
    <row r="267" ht="15.75" customHeight="1">
      <c r="B267" s="110"/>
      <c r="I267" s="110"/>
      <c r="J267" s="110"/>
      <c r="K267" s="110"/>
      <c r="Q267" s="110"/>
      <c r="S267" s="110"/>
    </row>
    <row r="268" ht="15.75" customHeight="1">
      <c r="B268" s="110"/>
      <c r="I268" s="110"/>
      <c r="J268" s="110"/>
      <c r="K268" s="110"/>
      <c r="Q268" s="110"/>
      <c r="S268" s="110"/>
    </row>
    <row r="269" ht="15.75" customHeight="1">
      <c r="B269" s="110"/>
      <c r="I269" s="110"/>
      <c r="J269" s="110"/>
      <c r="K269" s="110"/>
      <c r="Q269" s="110"/>
      <c r="S269" s="110"/>
    </row>
    <row r="270" ht="15.75" customHeight="1">
      <c r="B270" s="110"/>
      <c r="I270" s="110"/>
      <c r="J270" s="110"/>
      <c r="K270" s="110"/>
      <c r="Q270" s="110"/>
      <c r="S270" s="110"/>
    </row>
    <row r="271" ht="15.75" customHeight="1">
      <c r="B271" s="110"/>
      <c r="I271" s="110"/>
      <c r="J271" s="110"/>
      <c r="K271" s="110"/>
      <c r="Q271" s="110"/>
      <c r="S271" s="110"/>
    </row>
    <row r="272" ht="15.75" customHeight="1">
      <c r="B272" s="110"/>
      <c r="I272" s="110"/>
      <c r="J272" s="110"/>
      <c r="K272" s="110"/>
      <c r="Q272" s="110"/>
      <c r="S272" s="110"/>
    </row>
    <row r="273" ht="15.75" customHeight="1">
      <c r="B273" s="110"/>
      <c r="I273" s="110"/>
      <c r="J273" s="110"/>
      <c r="K273" s="110"/>
      <c r="Q273" s="110"/>
      <c r="S273" s="110"/>
    </row>
    <row r="274" ht="15.75" customHeight="1">
      <c r="B274" s="110"/>
      <c r="I274" s="110"/>
      <c r="J274" s="110"/>
      <c r="K274" s="110"/>
      <c r="Q274" s="110"/>
      <c r="S274" s="110"/>
    </row>
    <row r="275" ht="15.75" customHeight="1">
      <c r="B275" s="110"/>
      <c r="I275" s="110"/>
      <c r="J275" s="110"/>
      <c r="K275" s="110"/>
      <c r="Q275" s="110"/>
      <c r="S275" s="110"/>
    </row>
    <row r="276" ht="15.75" customHeight="1">
      <c r="B276" s="110"/>
      <c r="I276" s="110"/>
      <c r="J276" s="110"/>
      <c r="K276" s="110"/>
      <c r="Q276" s="110"/>
      <c r="S276" s="110"/>
    </row>
    <row r="277" ht="15.75" customHeight="1">
      <c r="B277" s="110"/>
      <c r="I277" s="110"/>
      <c r="J277" s="110"/>
      <c r="K277" s="110"/>
      <c r="Q277" s="110"/>
      <c r="S277" s="110"/>
    </row>
    <row r="278" ht="15.75" customHeight="1">
      <c r="B278" s="110"/>
      <c r="I278" s="110"/>
      <c r="J278" s="110"/>
      <c r="K278" s="110"/>
      <c r="Q278" s="110"/>
      <c r="S278" s="110"/>
    </row>
    <row r="279" ht="15.75" customHeight="1">
      <c r="B279" s="110"/>
      <c r="I279" s="110"/>
      <c r="J279" s="110"/>
      <c r="K279" s="110"/>
      <c r="Q279" s="110"/>
      <c r="S279" s="110"/>
    </row>
    <row r="280" ht="15.75" customHeight="1">
      <c r="B280" s="110"/>
      <c r="I280" s="110"/>
      <c r="J280" s="110"/>
      <c r="K280" s="110"/>
      <c r="Q280" s="110"/>
      <c r="S280" s="110"/>
    </row>
    <row r="281" ht="15.75" customHeight="1">
      <c r="B281" s="110"/>
      <c r="I281" s="110"/>
      <c r="J281" s="110"/>
      <c r="K281" s="110"/>
      <c r="Q281" s="110"/>
      <c r="S281" s="110"/>
    </row>
    <row r="282" ht="15.75" customHeight="1">
      <c r="B282" s="110"/>
      <c r="I282" s="110"/>
      <c r="J282" s="110"/>
      <c r="K282" s="110"/>
      <c r="Q282" s="110"/>
      <c r="S282" s="110"/>
    </row>
    <row r="283" ht="15.75" customHeight="1">
      <c r="B283" s="110"/>
      <c r="I283" s="110"/>
      <c r="J283" s="110"/>
      <c r="K283" s="110"/>
      <c r="Q283" s="110"/>
      <c r="S283" s="110"/>
    </row>
    <row r="284" ht="15.75" customHeight="1">
      <c r="B284" s="110"/>
      <c r="I284" s="110"/>
      <c r="J284" s="110"/>
      <c r="K284" s="110"/>
      <c r="Q284" s="110"/>
      <c r="S284" s="110"/>
    </row>
    <row r="285" ht="15.75" customHeight="1">
      <c r="B285" s="110"/>
      <c r="I285" s="110"/>
      <c r="J285" s="110"/>
      <c r="K285" s="110"/>
      <c r="Q285" s="110"/>
      <c r="S285" s="110"/>
    </row>
    <row r="286" ht="15.75" customHeight="1">
      <c r="B286" s="110"/>
      <c r="I286" s="110"/>
      <c r="J286" s="110"/>
      <c r="K286" s="110"/>
      <c r="Q286" s="110"/>
      <c r="S286" s="110"/>
    </row>
    <row r="287" ht="15.75" customHeight="1">
      <c r="B287" s="110"/>
      <c r="I287" s="110"/>
      <c r="J287" s="110"/>
      <c r="K287" s="110"/>
      <c r="Q287" s="110"/>
      <c r="S287" s="110"/>
    </row>
    <row r="288" ht="15.75" customHeight="1">
      <c r="B288" s="110"/>
      <c r="I288" s="110"/>
      <c r="J288" s="110"/>
      <c r="K288" s="110"/>
      <c r="Q288" s="110"/>
      <c r="S288" s="110"/>
    </row>
    <row r="289" ht="15.75" customHeight="1">
      <c r="B289" s="110"/>
      <c r="I289" s="110"/>
      <c r="J289" s="110"/>
      <c r="K289" s="110"/>
      <c r="Q289" s="110"/>
      <c r="S289" s="110"/>
    </row>
    <row r="290" ht="15.75" customHeight="1">
      <c r="B290" s="110"/>
      <c r="I290" s="110"/>
      <c r="J290" s="110"/>
      <c r="K290" s="110"/>
      <c r="Q290" s="110"/>
      <c r="S290" s="110"/>
    </row>
    <row r="291" ht="15.75" customHeight="1">
      <c r="B291" s="110"/>
      <c r="I291" s="110"/>
      <c r="J291" s="110"/>
      <c r="K291" s="110"/>
      <c r="Q291" s="110"/>
      <c r="S291" s="110"/>
    </row>
    <row r="292" ht="15.75" customHeight="1">
      <c r="B292" s="110"/>
      <c r="I292" s="110"/>
      <c r="J292" s="110"/>
      <c r="K292" s="110"/>
      <c r="Q292" s="110"/>
      <c r="S292" s="110"/>
    </row>
    <row r="293" ht="15.75" customHeight="1">
      <c r="B293" s="110"/>
      <c r="I293" s="110"/>
      <c r="J293" s="110"/>
      <c r="K293" s="110"/>
      <c r="Q293" s="110"/>
      <c r="S293" s="110"/>
    </row>
    <row r="294" ht="15.75" customHeight="1">
      <c r="B294" s="110"/>
      <c r="I294" s="110"/>
      <c r="J294" s="110"/>
      <c r="K294" s="110"/>
      <c r="Q294" s="110"/>
      <c r="S294" s="110"/>
    </row>
    <row r="295" ht="15.75" customHeight="1">
      <c r="B295" s="110"/>
      <c r="I295" s="110"/>
      <c r="J295" s="110"/>
      <c r="K295" s="110"/>
      <c r="Q295" s="110"/>
      <c r="S295" s="110"/>
    </row>
    <row r="296" ht="15.75" customHeight="1">
      <c r="B296" s="110"/>
      <c r="I296" s="110"/>
      <c r="J296" s="110"/>
      <c r="K296" s="110"/>
      <c r="Q296" s="110"/>
      <c r="S296" s="110"/>
    </row>
    <row r="297" ht="15.75" customHeight="1">
      <c r="B297" s="110"/>
      <c r="I297" s="110"/>
      <c r="J297" s="110"/>
      <c r="K297" s="110"/>
      <c r="Q297" s="110"/>
      <c r="S297" s="110"/>
    </row>
    <row r="298" ht="15.75" customHeight="1">
      <c r="B298" s="110"/>
      <c r="I298" s="110"/>
      <c r="J298" s="110"/>
      <c r="K298" s="110"/>
      <c r="Q298" s="110"/>
      <c r="S298" s="110"/>
    </row>
    <row r="299" ht="15.75" customHeight="1">
      <c r="B299" s="110"/>
      <c r="I299" s="110"/>
      <c r="J299" s="110"/>
      <c r="K299" s="110"/>
      <c r="Q299" s="110"/>
      <c r="S299" s="110"/>
    </row>
    <row r="300" ht="15.75" customHeight="1">
      <c r="B300" s="110"/>
      <c r="I300" s="110"/>
      <c r="J300" s="110"/>
      <c r="K300" s="110"/>
      <c r="Q300" s="110"/>
      <c r="S300" s="110"/>
    </row>
    <row r="301" ht="15.75" customHeight="1">
      <c r="B301" s="110"/>
      <c r="I301" s="110"/>
      <c r="J301" s="110"/>
      <c r="K301" s="110"/>
      <c r="Q301" s="110"/>
      <c r="S301" s="110"/>
    </row>
    <row r="302" ht="15.75" customHeight="1">
      <c r="B302" s="110"/>
      <c r="I302" s="110"/>
      <c r="J302" s="110"/>
      <c r="K302" s="110"/>
      <c r="Q302" s="110"/>
      <c r="S302" s="110"/>
    </row>
    <row r="303" ht="15.75" customHeight="1">
      <c r="B303" s="110"/>
      <c r="I303" s="110"/>
      <c r="J303" s="110"/>
      <c r="K303" s="110"/>
      <c r="Q303" s="110"/>
      <c r="S303" s="110"/>
    </row>
    <row r="304" ht="15.75" customHeight="1">
      <c r="B304" s="110"/>
      <c r="I304" s="110"/>
      <c r="J304" s="110"/>
      <c r="K304" s="110"/>
      <c r="Q304" s="110"/>
      <c r="S304" s="110"/>
    </row>
    <row r="305" ht="15.75" customHeight="1">
      <c r="B305" s="110"/>
      <c r="I305" s="110"/>
      <c r="J305" s="110"/>
      <c r="K305" s="110"/>
      <c r="Q305" s="110"/>
      <c r="S305" s="110"/>
    </row>
    <row r="306" ht="15.75" customHeight="1">
      <c r="B306" s="110"/>
      <c r="I306" s="110"/>
      <c r="J306" s="110"/>
      <c r="K306" s="110"/>
      <c r="Q306" s="110"/>
      <c r="S306" s="110"/>
    </row>
    <row r="307" ht="15.75" customHeight="1">
      <c r="B307" s="110"/>
      <c r="I307" s="110"/>
      <c r="J307" s="110"/>
      <c r="K307" s="110"/>
      <c r="Q307" s="110"/>
      <c r="S307" s="110"/>
    </row>
    <row r="308" ht="15.75" customHeight="1">
      <c r="B308" s="110"/>
      <c r="I308" s="110"/>
      <c r="J308" s="110"/>
      <c r="K308" s="110"/>
      <c r="Q308" s="110"/>
      <c r="S308" s="110"/>
    </row>
    <row r="309" ht="15.75" customHeight="1">
      <c r="B309" s="110"/>
      <c r="I309" s="110"/>
      <c r="J309" s="110"/>
      <c r="K309" s="110"/>
      <c r="Q309" s="110"/>
      <c r="S309" s="110"/>
    </row>
    <row r="310" ht="15.75" customHeight="1">
      <c r="B310" s="110"/>
      <c r="I310" s="110"/>
      <c r="J310" s="110"/>
      <c r="K310" s="110"/>
      <c r="Q310" s="110"/>
      <c r="S310" s="110"/>
    </row>
    <row r="311" ht="15.75" customHeight="1">
      <c r="B311" s="110"/>
      <c r="I311" s="110"/>
      <c r="J311" s="110"/>
      <c r="K311" s="110"/>
      <c r="Q311" s="110"/>
      <c r="S311" s="110"/>
    </row>
    <row r="312" ht="15.75" customHeight="1">
      <c r="B312" s="110"/>
      <c r="I312" s="110"/>
      <c r="J312" s="110"/>
      <c r="K312" s="110"/>
      <c r="Q312" s="110"/>
      <c r="S312" s="110"/>
    </row>
    <row r="313" ht="15.75" customHeight="1">
      <c r="B313" s="110"/>
      <c r="I313" s="110"/>
      <c r="J313" s="110"/>
      <c r="K313" s="110"/>
      <c r="Q313" s="110"/>
      <c r="S313" s="110"/>
    </row>
    <row r="314" ht="15.75" customHeight="1">
      <c r="B314" s="110"/>
      <c r="I314" s="110"/>
      <c r="J314" s="110"/>
      <c r="K314" s="110"/>
      <c r="Q314" s="110"/>
      <c r="S314" s="110"/>
    </row>
    <row r="315" ht="15.75" customHeight="1">
      <c r="B315" s="110"/>
      <c r="I315" s="110"/>
      <c r="J315" s="110"/>
      <c r="K315" s="110"/>
      <c r="Q315" s="110"/>
      <c r="S315" s="110"/>
    </row>
    <row r="316" ht="15.75" customHeight="1">
      <c r="B316" s="110"/>
      <c r="I316" s="110"/>
      <c r="J316" s="110"/>
      <c r="K316" s="110"/>
      <c r="Q316" s="110"/>
      <c r="S316" s="110"/>
    </row>
    <row r="317" ht="15.75" customHeight="1">
      <c r="B317" s="110"/>
      <c r="I317" s="110"/>
      <c r="J317" s="110"/>
      <c r="K317" s="110"/>
      <c r="Q317" s="110"/>
      <c r="S317" s="110"/>
    </row>
    <row r="318" ht="15.75" customHeight="1">
      <c r="B318" s="110"/>
      <c r="I318" s="110"/>
      <c r="J318" s="110"/>
      <c r="K318" s="110"/>
      <c r="Q318" s="110"/>
      <c r="S318" s="110"/>
    </row>
    <row r="319" ht="15.75" customHeight="1">
      <c r="B319" s="110"/>
      <c r="I319" s="110"/>
      <c r="J319" s="110"/>
      <c r="K319" s="110"/>
      <c r="Q319" s="110"/>
      <c r="S319" s="110"/>
    </row>
    <row r="320" ht="15.75" customHeight="1">
      <c r="B320" s="110"/>
      <c r="I320" s="110"/>
      <c r="J320" s="110"/>
      <c r="K320" s="110"/>
      <c r="Q320" s="110"/>
      <c r="S320" s="110"/>
    </row>
    <row r="321" ht="15.75" customHeight="1">
      <c r="B321" s="110"/>
      <c r="I321" s="110"/>
      <c r="J321" s="110"/>
      <c r="K321" s="110"/>
      <c r="Q321" s="110"/>
      <c r="S321" s="110"/>
    </row>
    <row r="322" ht="15.75" customHeight="1">
      <c r="B322" s="110"/>
      <c r="I322" s="110"/>
      <c r="J322" s="110"/>
      <c r="K322" s="110"/>
      <c r="Q322" s="110"/>
      <c r="S322" s="110"/>
    </row>
    <row r="323" ht="15.75" customHeight="1">
      <c r="B323" s="110"/>
      <c r="I323" s="110"/>
      <c r="J323" s="110"/>
      <c r="K323" s="110"/>
      <c r="Q323" s="110"/>
      <c r="S323" s="110"/>
    </row>
    <row r="324" ht="15.75" customHeight="1">
      <c r="B324" s="110"/>
      <c r="I324" s="110"/>
      <c r="J324" s="110"/>
      <c r="K324" s="110"/>
      <c r="Q324" s="110"/>
      <c r="S324" s="110"/>
    </row>
    <row r="325" ht="15.75" customHeight="1">
      <c r="B325" s="110"/>
      <c r="I325" s="110"/>
      <c r="J325" s="110"/>
      <c r="K325" s="110"/>
      <c r="Q325" s="110"/>
      <c r="S325" s="110"/>
    </row>
    <row r="326" ht="15.75" customHeight="1">
      <c r="B326" s="110"/>
      <c r="I326" s="110"/>
      <c r="J326" s="110"/>
      <c r="K326" s="110"/>
      <c r="Q326" s="110"/>
      <c r="S326" s="110"/>
    </row>
    <row r="327" ht="15.75" customHeight="1">
      <c r="B327" s="110"/>
      <c r="I327" s="110"/>
      <c r="J327" s="110"/>
      <c r="K327" s="110"/>
      <c r="Q327" s="110"/>
      <c r="S327" s="110"/>
    </row>
    <row r="328" ht="15.75" customHeight="1">
      <c r="B328" s="110"/>
      <c r="I328" s="110"/>
      <c r="J328" s="110"/>
      <c r="K328" s="110"/>
      <c r="Q328" s="110"/>
      <c r="S328" s="110"/>
    </row>
    <row r="329" ht="15.75" customHeight="1">
      <c r="B329" s="110"/>
      <c r="I329" s="110"/>
      <c r="J329" s="110"/>
      <c r="K329" s="110"/>
      <c r="Q329" s="110"/>
      <c r="S329" s="110"/>
    </row>
    <row r="330" ht="15.75" customHeight="1">
      <c r="B330" s="110"/>
      <c r="I330" s="110"/>
      <c r="J330" s="110"/>
      <c r="K330" s="110"/>
      <c r="Q330" s="110"/>
      <c r="S330" s="110"/>
    </row>
    <row r="331" ht="15.75" customHeight="1">
      <c r="B331" s="110"/>
      <c r="I331" s="110"/>
      <c r="J331" s="110"/>
      <c r="K331" s="110"/>
      <c r="Q331" s="110"/>
      <c r="S331" s="110"/>
    </row>
    <row r="332" ht="15.75" customHeight="1">
      <c r="B332" s="110"/>
      <c r="I332" s="110"/>
      <c r="J332" s="110"/>
      <c r="K332" s="110"/>
      <c r="Q332" s="110"/>
      <c r="S332" s="110"/>
    </row>
    <row r="333" ht="15.75" customHeight="1">
      <c r="B333" s="110"/>
      <c r="I333" s="110"/>
      <c r="J333" s="110"/>
      <c r="K333" s="110"/>
      <c r="Q333" s="110"/>
      <c r="S333" s="110"/>
    </row>
    <row r="334" ht="15.75" customHeight="1">
      <c r="B334" s="110"/>
      <c r="I334" s="110"/>
      <c r="J334" s="110"/>
      <c r="K334" s="110"/>
      <c r="Q334" s="110"/>
      <c r="S334" s="110"/>
    </row>
    <row r="335" ht="15.75" customHeight="1">
      <c r="B335" s="110"/>
      <c r="I335" s="110"/>
      <c r="J335" s="110"/>
      <c r="K335" s="110"/>
      <c r="Q335" s="110"/>
      <c r="S335" s="110"/>
    </row>
    <row r="336" ht="15.75" customHeight="1">
      <c r="B336" s="110"/>
      <c r="I336" s="110"/>
      <c r="J336" s="110"/>
      <c r="K336" s="110"/>
      <c r="Q336" s="110"/>
      <c r="S336" s="110"/>
    </row>
    <row r="337" ht="15.75" customHeight="1">
      <c r="B337" s="110"/>
      <c r="I337" s="110"/>
      <c r="J337" s="110"/>
      <c r="K337" s="110"/>
      <c r="Q337" s="110"/>
      <c r="S337" s="110"/>
    </row>
    <row r="338" ht="15.75" customHeight="1">
      <c r="B338" s="110"/>
      <c r="I338" s="110"/>
      <c r="J338" s="110"/>
      <c r="K338" s="110"/>
      <c r="Q338" s="110"/>
      <c r="S338" s="110"/>
    </row>
    <row r="339" ht="15.75" customHeight="1">
      <c r="B339" s="110"/>
      <c r="I339" s="110"/>
      <c r="J339" s="110"/>
      <c r="K339" s="110"/>
      <c r="Q339" s="110"/>
      <c r="S339" s="110"/>
    </row>
    <row r="340" ht="15.75" customHeight="1">
      <c r="B340" s="110"/>
      <c r="I340" s="110"/>
      <c r="J340" s="110"/>
      <c r="K340" s="110"/>
      <c r="Q340" s="110"/>
      <c r="S340" s="110"/>
    </row>
    <row r="341" ht="15.75" customHeight="1">
      <c r="B341" s="110"/>
      <c r="I341" s="110"/>
      <c r="J341" s="110"/>
      <c r="K341" s="110"/>
      <c r="Q341" s="110"/>
      <c r="S341" s="110"/>
    </row>
    <row r="342" ht="15.75" customHeight="1">
      <c r="B342" s="110"/>
      <c r="I342" s="110"/>
      <c r="J342" s="110"/>
      <c r="K342" s="110"/>
      <c r="Q342" s="110"/>
      <c r="S342" s="110"/>
    </row>
    <row r="343" ht="15.75" customHeight="1">
      <c r="B343" s="110"/>
      <c r="I343" s="110"/>
      <c r="J343" s="110"/>
      <c r="K343" s="110"/>
      <c r="Q343" s="110"/>
      <c r="S343" s="110"/>
    </row>
    <row r="344" ht="15.75" customHeight="1">
      <c r="B344" s="110"/>
      <c r="I344" s="110"/>
      <c r="J344" s="110"/>
      <c r="K344" s="110"/>
      <c r="Q344" s="110"/>
      <c r="S344" s="110"/>
    </row>
    <row r="345" ht="15.75" customHeight="1">
      <c r="B345" s="110"/>
      <c r="I345" s="110"/>
      <c r="J345" s="110"/>
      <c r="K345" s="110"/>
      <c r="Q345" s="110"/>
      <c r="S345" s="110"/>
    </row>
    <row r="346" ht="15.75" customHeight="1">
      <c r="B346" s="110"/>
      <c r="I346" s="110"/>
      <c r="J346" s="110"/>
      <c r="K346" s="110"/>
      <c r="Q346" s="110"/>
      <c r="S346" s="110"/>
    </row>
    <row r="347" ht="15.75" customHeight="1">
      <c r="B347" s="110"/>
      <c r="I347" s="110"/>
      <c r="J347" s="110"/>
      <c r="K347" s="110"/>
      <c r="Q347" s="110"/>
      <c r="S347" s="110"/>
    </row>
    <row r="348" ht="15.75" customHeight="1">
      <c r="B348" s="110"/>
      <c r="I348" s="110"/>
      <c r="J348" s="110"/>
      <c r="K348" s="110"/>
      <c r="Q348" s="110"/>
      <c r="S348" s="110"/>
    </row>
    <row r="349" ht="15.75" customHeight="1">
      <c r="B349" s="110"/>
      <c r="I349" s="110"/>
      <c r="J349" s="110"/>
      <c r="K349" s="110"/>
      <c r="Q349" s="110"/>
      <c r="S349" s="110"/>
    </row>
    <row r="350" ht="15.75" customHeight="1">
      <c r="B350" s="110"/>
      <c r="I350" s="110"/>
      <c r="J350" s="110"/>
      <c r="K350" s="110"/>
      <c r="Q350" s="110"/>
      <c r="S350" s="110"/>
    </row>
    <row r="351" ht="15.75" customHeight="1">
      <c r="B351" s="110"/>
      <c r="I351" s="110"/>
      <c r="J351" s="110"/>
      <c r="K351" s="110"/>
      <c r="Q351" s="110"/>
      <c r="S351" s="110"/>
    </row>
    <row r="352" ht="15.75" customHeight="1">
      <c r="B352" s="110"/>
      <c r="I352" s="110"/>
      <c r="J352" s="110"/>
      <c r="K352" s="110"/>
      <c r="Q352" s="110"/>
      <c r="S352" s="110"/>
    </row>
    <row r="353" ht="15.75" customHeight="1">
      <c r="B353" s="110"/>
      <c r="I353" s="110"/>
      <c r="J353" s="110"/>
      <c r="K353" s="110"/>
      <c r="Q353" s="110"/>
      <c r="S353" s="110"/>
    </row>
    <row r="354" ht="15.75" customHeight="1">
      <c r="B354" s="110"/>
      <c r="I354" s="110"/>
      <c r="J354" s="110"/>
      <c r="K354" s="110"/>
      <c r="Q354" s="110"/>
      <c r="S354" s="110"/>
    </row>
    <row r="355" ht="15.75" customHeight="1">
      <c r="B355" s="110"/>
      <c r="I355" s="110"/>
      <c r="J355" s="110"/>
      <c r="K355" s="110"/>
      <c r="Q355" s="110"/>
      <c r="S355" s="110"/>
    </row>
    <row r="356" ht="15.75" customHeight="1">
      <c r="B356" s="110"/>
      <c r="I356" s="110"/>
      <c r="J356" s="110"/>
      <c r="K356" s="110"/>
      <c r="Q356" s="110"/>
      <c r="S356" s="110"/>
    </row>
    <row r="357" ht="15.75" customHeight="1">
      <c r="B357" s="110"/>
      <c r="I357" s="110"/>
      <c r="J357" s="110"/>
      <c r="K357" s="110"/>
      <c r="Q357" s="110"/>
      <c r="S357" s="110"/>
    </row>
    <row r="358" ht="15.75" customHeight="1">
      <c r="B358" s="110"/>
      <c r="I358" s="110"/>
      <c r="J358" s="110"/>
      <c r="K358" s="110"/>
      <c r="Q358" s="110"/>
      <c r="S358" s="110"/>
    </row>
    <row r="359" ht="15.75" customHeight="1">
      <c r="B359" s="110"/>
      <c r="I359" s="110"/>
      <c r="J359" s="110"/>
      <c r="K359" s="110"/>
      <c r="Q359" s="110"/>
      <c r="S359" s="110"/>
    </row>
    <row r="360" ht="15.75" customHeight="1">
      <c r="B360" s="110"/>
      <c r="I360" s="110"/>
      <c r="J360" s="110"/>
      <c r="K360" s="110"/>
      <c r="Q360" s="110"/>
      <c r="S360" s="110"/>
    </row>
    <row r="361" ht="15.75" customHeight="1">
      <c r="B361" s="110"/>
      <c r="I361" s="110"/>
      <c r="J361" s="110"/>
      <c r="K361" s="110"/>
      <c r="Q361" s="110"/>
      <c r="S361" s="110"/>
    </row>
    <row r="362" ht="15.75" customHeight="1">
      <c r="B362" s="110"/>
      <c r="I362" s="110"/>
      <c r="J362" s="110"/>
      <c r="K362" s="110"/>
      <c r="Q362" s="110"/>
      <c r="S362" s="110"/>
    </row>
    <row r="363" ht="15.75" customHeight="1">
      <c r="B363" s="110"/>
      <c r="I363" s="110"/>
      <c r="J363" s="110"/>
      <c r="K363" s="110"/>
      <c r="Q363" s="110"/>
      <c r="S363" s="110"/>
    </row>
    <row r="364" ht="15.75" customHeight="1">
      <c r="B364" s="110"/>
      <c r="I364" s="110"/>
      <c r="J364" s="110"/>
      <c r="K364" s="110"/>
      <c r="Q364" s="110"/>
      <c r="S364" s="110"/>
    </row>
    <row r="365" ht="15.75" customHeight="1">
      <c r="B365" s="110"/>
      <c r="I365" s="110"/>
      <c r="J365" s="110"/>
      <c r="K365" s="110"/>
      <c r="Q365" s="110"/>
      <c r="S365" s="110"/>
    </row>
    <row r="366" ht="15.75" customHeight="1">
      <c r="B366" s="110"/>
      <c r="I366" s="110"/>
      <c r="J366" s="110"/>
      <c r="K366" s="110"/>
      <c r="Q366" s="110"/>
      <c r="S366" s="110"/>
    </row>
    <row r="367" ht="15.75" customHeight="1">
      <c r="B367" s="110"/>
      <c r="I367" s="110"/>
      <c r="J367" s="110"/>
      <c r="K367" s="110"/>
      <c r="Q367" s="110"/>
      <c r="S367" s="110"/>
    </row>
    <row r="368" ht="15.75" customHeight="1">
      <c r="B368" s="110"/>
      <c r="I368" s="110"/>
      <c r="J368" s="110"/>
      <c r="K368" s="110"/>
      <c r="Q368" s="110"/>
      <c r="S368" s="110"/>
    </row>
    <row r="369" ht="15.75" customHeight="1">
      <c r="B369" s="110"/>
      <c r="I369" s="110"/>
      <c r="J369" s="110"/>
      <c r="K369" s="110"/>
      <c r="Q369" s="110"/>
      <c r="S369" s="110"/>
    </row>
    <row r="370" ht="15.75" customHeight="1">
      <c r="B370" s="110"/>
      <c r="I370" s="110"/>
      <c r="J370" s="110"/>
      <c r="K370" s="110"/>
      <c r="Q370" s="110"/>
      <c r="S370" s="110"/>
    </row>
    <row r="371" ht="15.75" customHeight="1">
      <c r="B371" s="110"/>
      <c r="I371" s="110"/>
      <c r="J371" s="110"/>
      <c r="K371" s="110"/>
      <c r="Q371" s="110"/>
      <c r="S371" s="110"/>
    </row>
    <row r="372" ht="15.75" customHeight="1">
      <c r="B372" s="110"/>
      <c r="I372" s="110"/>
      <c r="J372" s="110"/>
      <c r="K372" s="110"/>
      <c r="Q372" s="110"/>
      <c r="S372" s="110"/>
    </row>
    <row r="373" ht="15.75" customHeight="1">
      <c r="B373" s="110"/>
      <c r="I373" s="110"/>
      <c r="J373" s="110"/>
      <c r="K373" s="110"/>
      <c r="Q373" s="110"/>
      <c r="S373" s="110"/>
    </row>
    <row r="374" ht="15.75" customHeight="1">
      <c r="B374" s="110"/>
      <c r="I374" s="110"/>
      <c r="J374" s="110"/>
      <c r="K374" s="110"/>
      <c r="Q374" s="110"/>
      <c r="S374" s="110"/>
    </row>
    <row r="375" ht="15.75" customHeight="1">
      <c r="B375" s="110"/>
      <c r="I375" s="110"/>
      <c r="J375" s="110"/>
      <c r="K375" s="110"/>
      <c r="Q375" s="110"/>
      <c r="S375" s="110"/>
    </row>
    <row r="376" ht="15.75" customHeight="1">
      <c r="B376" s="110"/>
      <c r="I376" s="110"/>
      <c r="J376" s="110"/>
      <c r="K376" s="110"/>
      <c r="Q376" s="110"/>
      <c r="S376" s="110"/>
    </row>
    <row r="377" ht="15.75" customHeight="1">
      <c r="B377" s="110"/>
      <c r="I377" s="110"/>
      <c r="J377" s="110"/>
      <c r="K377" s="110"/>
      <c r="Q377" s="110"/>
      <c r="S377" s="110"/>
    </row>
    <row r="378" ht="15.75" customHeight="1">
      <c r="B378" s="110"/>
      <c r="I378" s="110"/>
      <c r="J378" s="110"/>
      <c r="K378" s="110"/>
      <c r="Q378" s="110"/>
      <c r="S378" s="110"/>
    </row>
    <row r="379" ht="15.75" customHeight="1">
      <c r="B379" s="110"/>
      <c r="I379" s="110"/>
      <c r="J379" s="110"/>
      <c r="K379" s="110"/>
      <c r="Q379" s="110"/>
      <c r="S379" s="110"/>
    </row>
    <row r="380" ht="15.75" customHeight="1">
      <c r="B380" s="110"/>
      <c r="I380" s="110"/>
      <c r="J380" s="110"/>
      <c r="K380" s="110"/>
      <c r="Q380" s="110"/>
      <c r="S380" s="110"/>
    </row>
    <row r="381" ht="15.75" customHeight="1">
      <c r="B381" s="110"/>
      <c r="I381" s="110"/>
      <c r="J381" s="110"/>
      <c r="K381" s="110"/>
      <c r="Q381" s="110"/>
      <c r="S381" s="110"/>
    </row>
    <row r="382" ht="15.75" customHeight="1">
      <c r="B382" s="110"/>
      <c r="I382" s="110"/>
      <c r="J382" s="110"/>
      <c r="K382" s="110"/>
      <c r="Q382" s="110"/>
      <c r="S382" s="110"/>
    </row>
    <row r="383" ht="15.75" customHeight="1">
      <c r="B383" s="110"/>
      <c r="I383" s="110"/>
      <c r="J383" s="110"/>
      <c r="K383" s="110"/>
      <c r="Q383" s="110"/>
      <c r="S383" s="110"/>
    </row>
    <row r="384" ht="15.75" customHeight="1">
      <c r="B384" s="110"/>
      <c r="I384" s="110"/>
      <c r="J384" s="110"/>
      <c r="K384" s="110"/>
      <c r="Q384" s="110"/>
      <c r="S384" s="110"/>
    </row>
    <row r="385" ht="15.75" customHeight="1">
      <c r="B385" s="110"/>
      <c r="I385" s="110"/>
      <c r="J385" s="110"/>
      <c r="K385" s="110"/>
      <c r="Q385" s="110"/>
      <c r="S385" s="110"/>
    </row>
    <row r="386" ht="15.75" customHeight="1">
      <c r="B386" s="110"/>
      <c r="I386" s="110"/>
      <c r="J386" s="110"/>
      <c r="K386" s="110"/>
      <c r="Q386" s="110"/>
      <c r="S386" s="110"/>
    </row>
    <row r="387" ht="15.75" customHeight="1">
      <c r="B387" s="110"/>
      <c r="I387" s="110"/>
      <c r="J387" s="110"/>
      <c r="K387" s="110"/>
      <c r="Q387" s="110"/>
      <c r="S387" s="110"/>
    </row>
    <row r="388" ht="15.75" customHeight="1">
      <c r="B388" s="110"/>
      <c r="I388" s="110"/>
      <c r="J388" s="110"/>
      <c r="K388" s="110"/>
      <c r="Q388" s="110"/>
      <c r="S388" s="110"/>
    </row>
    <row r="389" ht="15.75" customHeight="1">
      <c r="B389" s="110"/>
      <c r="I389" s="110"/>
      <c r="J389" s="110"/>
      <c r="K389" s="110"/>
      <c r="Q389" s="110"/>
      <c r="S389" s="110"/>
    </row>
    <row r="390" ht="15.75" customHeight="1">
      <c r="B390" s="110"/>
      <c r="I390" s="110"/>
      <c r="J390" s="110"/>
      <c r="K390" s="110"/>
      <c r="Q390" s="110"/>
      <c r="S390" s="110"/>
    </row>
    <row r="391" ht="15.75" customHeight="1">
      <c r="B391" s="110"/>
      <c r="I391" s="110"/>
      <c r="J391" s="110"/>
      <c r="K391" s="110"/>
      <c r="Q391" s="110"/>
      <c r="S391" s="110"/>
    </row>
    <row r="392" ht="15.75" customHeight="1">
      <c r="B392" s="110"/>
      <c r="I392" s="110"/>
      <c r="J392" s="110"/>
      <c r="K392" s="110"/>
      <c r="Q392" s="110"/>
      <c r="S392" s="110"/>
    </row>
    <row r="393" ht="15.75" customHeight="1">
      <c r="B393" s="110"/>
      <c r="I393" s="110"/>
      <c r="J393" s="110"/>
      <c r="K393" s="110"/>
      <c r="Q393" s="110"/>
      <c r="S393" s="110"/>
    </row>
    <row r="394" ht="15.75" customHeight="1">
      <c r="B394" s="110"/>
      <c r="I394" s="110"/>
      <c r="J394" s="110"/>
      <c r="K394" s="110"/>
      <c r="Q394" s="110"/>
      <c r="S394" s="110"/>
    </row>
    <row r="395" ht="15.75" customHeight="1">
      <c r="B395" s="110"/>
      <c r="I395" s="110"/>
      <c r="J395" s="110"/>
      <c r="K395" s="110"/>
      <c r="Q395" s="110"/>
      <c r="S395" s="110"/>
    </row>
    <row r="396" ht="15.75" customHeight="1">
      <c r="B396" s="110"/>
      <c r="I396" s="110"/>
      <c r="J396" s="110"/>
      <c r="K396" s="110"/>
      <c r="Q396" s="110"/>
      <c r="S396" s="110"/>
    </row>
    <row r="397" ht="15.75" customHeight="1">
      <c r="B397" s="110"/>
      <c r="I397" s="110"/>
      <c r="J397" s="110"/>
      <c r="K397" s="110"/>
      <c r="Q397" s="110"/>
      <c r="S397" s="110"/>
    </row>
    <row r="398" ht="15.75" customHeight="1">
      <c r="B398" s="110"/>
      <c r="I398" s="110"/>
      <c r="J398" s="110"/>
      <c r="K398" s="110"/>
      <c r="Q398" s="110"/>
      <c r="S398" s="110"/>
    </row>
    <row r="399" ht="15.75" customHeight="1">
      <c r="B399" s="110"/>
      <c r="I399" s="110"/>
      <c r="J399" s="110"/>
      <c r="K399" s="110"/>
      <c r="Q399" s="110"/>
      <c r="S399" s="110"/>
    </row>
    <row r="400" ht="15.75" customHeight="1">
      <c r="B400" s="110"/>
      <c r="I400" s="110"/>
      <c r="J400" s="110"/>
      <c r="K400" s="110"/>
      <c r="Q400" s="110"/>
      <c r="S400" s="110"/>
    </row>
    <row r="401" ht="15.75" customHeight="1">
      <c r="B401" s="110"/>
      <c r="I401" s="110"/>
      <c r="J401" s="110"/>
      <c r="K401" s="110"/>
      <c r="Q401" s="110"/>
      <c r="S401" s="110"/>
    </row>
    <row r="402" ht="15.75" customHeight="1">
      <c r="B402" s="110"/>
      <c r="I402" s="110"/>
      <c r="J402" s="110"/>
      <c r="K402" s="110"/>
      <c r="Q402" s="110"/>
      <c r="S402" s="110"/>
    </row>
    <row r="403" ht="15.75" customHeight="1">
      <c r="B403" s="110"/>
      <c r="I403" s="110"/>
      <c r="J403" s="110"/>
      <c r="K403" s="110"/>
      <c r="Q403" s="110"/>
      <c r="S403" s="110"/>
    </row>
    <row r="404" ht="15.75" customHeight="1">
      <c r="B404" s="110"/>
      <c r="I404" s="110"/>
      <c r="J404" s="110"/>
      <c r="K404" s="110"/>
      <c r="Q404" s="110"/>
      <c r="S404" s="110"/>
    </row>
    <row r="405" ht="15.75" customHeight="1">
      <c r="B405" s="110"/>
      <c r="I405" s="110"/>
      <c r="J405" s="110"/>
      <c r="K405" s="110"/>
      <c r="Q405" s="110"/>
      <c r="S405" s="110"/>
    </row>
    <row r="406" ht="15.75" customHeight="1">
      <c r="B406" s="110"/>
      <c r="I406" s="110"/>
      <c r="J406" s="110"/>
      <c r="K406" s="110"/>
      <c r="Q406" s="110"/>
      <c r="S406" s="110"/>
    </row>
    <row r="407" ht="15.75" customHeight="1">
      <c r="B407" s="110"/>
      <c r="I407" s="110"/>
      <c r="J407" s="110"/>
      <c r="K407" s="110"/>
      <c r="Q407" s="110"/>
      <c r="S407" s="110"/>
    </row>
    <row r="408" ht="15.75" customHeight="1">
      <c r="B408" s="110"/>
      <c r="I408" s="110"/>
      <c r="J408" s="110"/>
      <c r="K408" s="110"/>
      <c r="Q408" s="110"/>
      <c r="S408" s="110"/>
    </row>
    <row r="409" ht="15.75" customHeight="1">
      <c r="B409" s="110"/>
      <c r="I409" s="110"/>
      <c r="J409" s="110"/>
      <c r="K409" s="110"/>
      <c r="Q409" s="110"/>
      <c r="S409" s="110"/>
    </row>
    <row r="410" ht="15.75" customHeight="1">
      <c r="B410" s="110"/>
      <c r="I410" s="110"/>
      <c r="J410" s="110"/>
      <c r="K410" s="110"/>
      <c r="Q410" s="110"/>
      <c r="S410" s="110"/>
    </row>
    <row r="411" ht="15.75" customHeight="1">
      <c r="B411" s="110"/>
      <c r="I411" s="110"/>
      <c r="J411" s="110"/>
      <c r="K411" s="110"/>
      <c r="Q411" s="110"/>
      <c r="S411" s="110"/>
    </row>
    <row r="412" ht="15.75" customHeight="1">
      <c r="B412" s="110"/>
      <c r="I412" s="110"/>
      <c r="J412" s="110"/>
      <c r="K412" s="110"/>
      <c r="Q412" s="110"/>
      <c r="S412" s="110"/>
    </row>
    <row r="413" ht="15.75" customHeight="1">
      <c r="B413" s="110"/>
      <c r="I413" s="110"/>
      <c r="J413" s="110"/>
      <c r="K413" s="110"/>
      <c r="Q413" s="110"/>
      <c r="S413" s="110"/>
    </row>
    <row r="414" ht="15.75" customHeight="1">
      <c r="B414" s="110"/>
      <c r="I414" s="110"/>
      <c r="J414" s="110"/>
      <c r="K414" s="110"/>
      <c r="Q414" s="110"/>
      <c r="S414" s="110"/>
    </row>
    <row r="415" ht="15.75" customHeight="1">
      <c r="B415" s="110"/>
      <c r="I415" s="110"/>
      <c r="J415" s="110"/>
      <c r="K415" s="110"/>
      <c r="Q415" s="110"/>
      <c r="S415" s="110"/>
    </row>
    <row r="416" ht="15.75" customHeight="1">
      <c r="B416" s="110"/>
      <c r="I416" s="110"/>
      <c r="J416" s="110"/>
      <c r="K416" s="110"/>
      <c r="Q416" s="110"/>
      <c r="S416" s="110"/>
    </row>
    <row r="417" ht="15.75" customHeight="1">
      <c r="B417" s="110"/>
      <c r="I417" s="110"/>
      <c r="J417" s="110"/>
      <c r="K417" s="110"/>
      <c r="Q417" s="110"/>
      <c r="S417" s="110"/>
    </row>
    <row r="418" ht="15.75" customHeight="1">
      <c r="B418" s="110"/>
      <c r="I418" s="110"/>
      <c r="J418" s="110"/>
      <c r="K418" s="110"/>
      <c r="Q418" s="110"/>
      <c r="S418" s="110"/>
    </row>
    <row r="419" ht="15.75" customHeight="1">
      <c r="B419" s="110"/>
      <c r="I419" s="110"/>
      <c r="J419" s="110"/>
      <c r="K419" s="110"/>
      <c r="Q419" s="110"/>
      <c r="S419" s="110"/>
    </row>
    <row r="420" ht="15.75" customHeight="1">
      <c r="B420" s="110"/>
      <c r="I420" s="110"/>
      <c r="J420" s="110"/>
      <c r="K420" s="110"/>
      <c r="Q420" s="110"/>
      <c r="S420" s="110"/>
    </row>
    <row r="421" ht="15.75" customHeight="1">
      <c r="B421" s="110"/>
      <c r="I421" s="110"/>
      <c r="J421" s="110"/>
      <c r="K421" s="110"/>
      <c r="Q421" s="110"/>
      <c r="S421" s="110"/>
    </row>
    <row r="422" ht="15.75" customHeight="1">
      <c r="B422" s="110"/>
      <c r="I422" s="110"/>
      <c r="J422" s="110"/>
      <c r="K422" s="110"/>
      <c r="Q422" s="110"/>
      <c r="S422" s="110"/>
    </row>
    <row r="423" ht="15.75" customHeight="1">
      <c r="B423" s="110"/>
      <c r="I423" s="110"/>
      <c r="J423" s="110"/>
      <c r="K423" s="110"/>
      <c r="Q423" s="110"/>
      <c r="S423" s="110"/>
    </row>
    <row r="424" ht="15.75" customHeight="1">
      <c r="B424" s="110"/>
      <c r="I424" s="110"/>
      <c r="J424" s="110"/>
      <c r="K424" s="110"/>
      <c r="Q424" s="110"/>
      <c r="S424" s="110"/>
    </row>
    <row r="425" ht="15.75" customHeight="1">
      <c r="B425" s="110"/>
      <c r="I425" s="110"/>
      <c r="J425" s="110"/>
      <c r="K425" s="110"/>
      <c r="Q425" s="110"/>
      <c r="S425" s="110"/>
    </row>
    <row r="426" ht="15.75" customHeight="1">
      <c r="B426" s="110"/>
      <c r="I426" s="110"/>
      <c r="J426" s="110"/>
      <c r="K426" s="110"/>
      <c r="Q426" s="110"/>
      <c r="S426" s="110"/>
    </row>
    <row r="427" ht="15.75" customHeight="1">
      <c r="B427" s="110"/>
      <c r="I427" s="110"/>
      <c r="J427" s="110"/>
      <c r="K427" s="110"/>
      <c r="Q427" s="110"/>
      <c r="S427" s="110"/>
    </row>
    <row r="428" ht="15.75" customHeight="1">
      <c r="B428" s="110"/>
      <c r="I428" s="110"/>
      <c r="J428" s="110"/>
      <c r="K428" s="110"/>
      <c r="Q428" s="110"/>
      <c r="S428" s="110"/>
    </row>
    <row r="429" ht="15.75" customHeight="1">
      <c r="B429" s="110"/>
      <c r="I429" s="110"/>
      <c r="J429" s="110"/>
      <c r="K429" s="110"/>
      <c r="Q429" s="110"/>
      <c r="S429" s="110"/>
    </row>
    <row r="430" ht="15.75" customHeight="1">
      <c r="B430" s="110"/>
      <c r="I430" s="110"/>
      <c r="J430" s="110"/>
      <c r="K430" s="110"/>
      <c r="Q430" s="110"/>
      <c r="S430" s="110"/>
    </row>
    <row r="431" ht="15.75" customHeight="1">
      <c r="B431" s="110"/>
      <c r="I431" s="110"/>
      <c r="J431" s="110"/>
      <c r="K431" s="110"/>
      <c r="Q431" s="110"/>
      <c r="S431" s="110"/>
    </row>
    <row r="432" ht="15.75" customHeight="1">
      <c r="B432" s="110"/>
      <c r="I432" s="110"/>
      <c r="J432" s="110"/>
      <c r="K432" s="110"/>
      <c r="Q432" s="110"/>
      <c r="S432" s="110"/>
    </row>
    <row r="433" ht="15.75" customHeight="1">
      <c r="B433" s="110"/>
      <c r="I433" s="110"/>
      <c r="J433" s="110"/>
      <c r="K433" s="110"/>
      <c r="Q433" s="110"/>
      <c r="S433" s="110"/>
    </row>
    <row r="434" ht="15.75" customHeight="1">
      <c r="B434" s="110"/>
      <c r="I434" s="110"/>
      <c r="J434" s="110"/>
      <c r="K434" s="110"/>
      <c r="Q434" s="110"/>
      <c r="S434" s="110"/>
    </row>
    <row r="435" ht="15.75" customHeight="1">
      <c r="B435" s="110"/>
      <c r="I435" s="110"/>
      <c r="J435" s="110"/>
      <c r="K435" s="110"/>
      <c r="Q435" s="110"/>
      <c r="S435" s="110"/>
    </row>
    <row r="436" ht="15.75" customHeight="1">
      <c r="B436" s="110"/>
      <c r="I436" s="110"/>
      <c r="J436" s="110"/>
      <c r="K436" s="110"/>
      <c r="Q436" s="110"/>
      <c r="S436" s="110"/>
    </row>
    <row r="437" ht="15.75" customHeight="1">
      <c r="B437" s="110"/>
      <c r="I437" s="110"/>
      <c r="J437" s="110"/>
      <c r="K437" s="110"/>
      <c r="Q437" s="110"/>
      <c r="S437" s="110"/>
    </row>
    <row r="438" ht="15.75" customHeight="1">
      <c r="B438" s="110"/>
      <c r="I438" s="110"/>
      <c r="J438" s="110"/>
      <c r="K438" s="110"/>
      <c r="Q438" s="110"/>
      <c r="S438" s="110"/>
    </row>
    <row r="439" ht="15.75" customHeight="1">
      <c r="B439" s="110"/>
      <c r="I439" s="110"/>
      <c r="J439" s="110"/>
      <c r="K439" s="110"/>
      <c r="Q439" s="110"/>
      <c r="S439" s="110"/>
    </row>
    <row r="440" ht="15.75" customHeight="1">
      <c r="B440" s="110"/>
      <c r="I440" s="110"/>
      <c r="J440" s="110"/>
      <c r="K440" s="110"/>
      <c r="Q440" s="110"/>
      <c r="S440" s="110"/>
    </row>
    <row r="441" ht="15.75" customHeight="1">
      <c r="B441" s="110"/>
      <c r="I441" s="110"/>
      <c r="J441" s="110"/>
      <c r="K441" s="110"/>
      <c r="Q441" s="110"/>
      <c r="S441" s="110"/>
    </row>
    <row r="442" ht="15.75" customHeight="1">
      <c r="B442" s="110"/>
      <c r="I442" s="110"/>
      <c r="J442" s="110"/>
      <c r="K442" s="110"/>
      <c r="Q442" s="110"/>
      <c r="S442" s="110"/>
    </row>
    <row r="443" ht="15.75" customHeight="1">
      <c r="B443" s="110"/>
      <c r="I443" s="110"/>
      <c r="J443" s="110"/>
      <c r="K443" s="110"/>
      <c r="Q443" s="110"/>
      <c r="S443" s="110"/>
    </row>
    <row r="444" ht="15.75" customHeight="1">
      <c r="B444" s="110"/>
      <c r="I444" s="110"/>
      <c r="J444" s="110"/>
      <c r="K444" s="110"/>
      <c r="Q444" s="110"/>
      <c r="S444" s="110"/>
    </row>
    <row r="445" ht="15.75" customHeight="1">
      <c r="B445" s="110"/>
      <c r="I445" s="110"/>
      <c r="J445" s="110"/>
      <c r="K445" s="110"/>
      <c r="Q445" s="110"/>
      <c r="S445" s="110"/>
    </row>
    <row r="446" ht="15.75" customHeight="1">
      <c r="B446" s="110"/>
      <c r="I446" s="110"/>
      <c r="J446" s="110"/>
      <c r="K446" s="110"/>
      <c r="Q446" s="110"/>
      <c r="S446" s="110"/>
    </row>
    <row r="447" ht="15.75" customHeight="1">
      <c r="B447" s="110"/>
      <c r="I447" s="110"/>
      <c r="J447" s="110"/>
      <c r="K447" s="110"/>
      <c r="Q447" s="110"/>
      <c r="S447" s="110"/>
    </row>
    <row r="448" ht="15.75" customHeight="1">
      <c r="B448" s="110"/>
      <c r="I448" s="110"/>
      <c r="J448" s="110"/>
      <c r="K448" s="110"/>
      <c r="Q448" s="110"/>
      <c r="S448" s="110"/>
    </row>
    <row r="449" ht="15.75" customHeight="1">
      <c r="B449" s="110"/>
      <c r="I449" s="110"/>
      <c r="J449" s="110"/>
      <c r="K449" s="110"/>
      <c r="Q449" s="110"/>
      <c r="S449" s="110"/>
    </row>
    <row r="450" ht="15.75" customHeight="1">
      <c r="B450" s="110"/>
      <c r="I450" s="110"/>
      <c r="J450" s="110"/>
      <c r="K450" s="110"/>
      <c r="Q450" s="110"/>
      <c r="S450" s="110"/>
    </row>
    <row r="451" ht="15.75" customHeight="1">
      <c r="B451" s="110"/>
      <c r="I451" s="110"/>
      <c r="J451" s="110"/>
      <c r="K451" s="110"/>
      <c r="Q451" s="110"/>
      <c r="S451" s="110"/>
    </row>
    <row r="452" ht="15.75" customHeight="1">
      <c r="B452" s="110"/>
      <c r="I452" s="110"/>
      <c r="J452" s="110"/>
      <c r="K452" s="110"/>
      <c r="Q452" s="110"/>
      <c r="S452" s="110"/>
    </row>
    <row r="453" ht="15.75" customHeight="1">
      <c r="B453" s="110"/>
      <c r="I453" s="110"/>
      <c r="J453" s="110"/>
      <c r="K453" s="110"/>
      <c r="Q453" s="110"/>
      <c r="S453" s="110"/>
    </row>
    <row r="454" ht="15.75" customHeight="1">
      <c r="B454" s="110"/>
      <c r="I454" s="110"/>
      <c r="J454" s="110"/>
      <c r="K454" s="110"/>
      <c r="Q454" s="110"/>
      <c r="S454" s="110"/>
    </row>
    <row r="455" ht="15.75" customHeight="1">
      <c r="B455" s="110"/>
      <c r="I455" s="110"/>
      <c r="J455" s="110"/>
      <c r="K455" s="110"/>
      <c r="Q455" s="110"/>
      <c r="S455" s="110"/>
    </row>
    <row r="456" ht="15.75" customHeight="1">
      <c r="B456" s="110"/>
      <c r="I456" s="110"/>
      <c r="J456" s="110"/>
      <c r="K456" s="110"/>
      <c r="Q456" s="110"/>
      <c r="S456" s="110"/>
    </row>
    <row r="457" ht="15.75" customHeight="1">
      <c r="B457" s="110"/>
      <c r="I457" s="110"/>
      <c r="J457" s="110"/>
      <c r="K457" s="110"/>
      <c r="Q457" s="110"/>
      <c r="S457" s="110"/>
    </row>
    <row r="458" ht="15.75" customHeight="1">
      <c r="B458" s="110"/>
      <c r="I458" s="110"/>
      <c r="J458" s="110"/>
      <c r="K458" s="110"/>
      <c r="Q458" s="110"/>
      <c r="S458" s="110"/>
    </row>
    <row r="459" ht="15.75" customHeight="1">
      <c r="B459" s="110"/>
      <c r="I459" s="110"/>
      <c r="J459" s="110"/>
      <c r="K459" s="110"/>
      <c r="Q459" s="110"/>
      <c r="S459" s="110"/>
    </row>
    <row r="460" ht="15.75" customHeight="1">
      <c r="B460" s="110"/>
      <c r="I460" s="110"/>
      <c r="J460" s="110"/>
      <c r="K460" s="110"/>
      <c r="Q460" s="110"/>
      <c r="S460" s="110"/>
    </row>
    <row r="461" ht="15.75" customHeight="1">
      <c r="B461" s="110"/>
      <c r="I461" s="110"/>
      <c r="J461" s="110"/>
      <c r="K461" s="110"/>
      <c r="Q461" s="110"/>
      <c r="S461" s="110"/>
    </row>
    <row r="462" ht="15.75" customHeight="1">
      <c r="B462" s="110"/>
      <c r="I462" s="110"/>
      <c r="J462" s="110"/>
      <c r="K462" s="110"/>
      <c r="Q462" s="110"/>
      <c r="S462" s="110"/>
    </row>
    <row r="463" ht="15.75" customHeight="1">
      <c r="B463" s="110"/>
      <c r="I463" s="110"/>
      <c r="J463" s="110"/>
      <c r="K463" s="110"/>
      <c r="Q463" s="110"/>
      <c r="S463" s="110"/>
    </row>
    <row r="464" ht="15.75" customHeight="1">
      <c r="B464" s="110"/>
      <c r="I464" s="110"/>
      <c r="J464" s="110"/>
      <c r="K464" s="110"/>
      <c r="Q464" s="110"/>
      <c r="S464" s="110"/>
    </row>
    <row r="465" ht="15.75" customHeight="1">
      <c r="B465" s="110"/>
      <c r="I465" s="110"/>
      <c r="J465" s="110"/>
      <c r="K465" s="110"/>
      <c r="Q465" s="110"/>
      <c r="S465" s="110"/>
    </row>
    <row r="466" ht="15.75" customHeight="1">
      <c r="B466" s="110"/>
      <c r="I466" s="110"/>
      <c r="J466" s="110"/>
      <c r="K466" s="110"/>
      <c r="Q466" s="110"/>
      <c r="S466" s="110"/>
    </row>
    <row r="467" ht="15.75" customHeight="1">
      <c r="B467" s="110"/>
      <c r="I467" s="110"/>
      <c r="J467" s="110"/>
      <c r="K467" s="110"/>
      <c r="Q467" s="110"/>
      <c r="S467" s="110"/>
    </row>
    <row r="468" ht="15.75" customHeight="1">
      <c r="B468" s="110"/>
      <c r="I468" s="110"/>
      <c r="J468" s="110"/>
      <c r="K468" s="110"/>
      <c r="Q468" s="110"/>
      <c r="S468" s="110"/>
    </row>
    <row r="469" ht="15.75" customHeight="1">
      <c r="B469" s="110"/>
      <c r="I469" s="110"/>
      <c r="J469" s="110"/>
      <c r="K469" s="110"/>
      <c r="Q469" s="110"/>
      <c r="S469" s="110"/>
    </row>
    <row r="470" ht="15.75" customHeight="1">
      <c r="B470" s="110"/>
      <c r="I470" s="110"/>
      <c r="J470" s="110"/>
      <c r="K470" s="110"/>
      <c r="Q470" s="110"/>
      <c r="S470" s="110"/>
    </row>
    <row r="471" ht="15.75" customHeight="1">
      <c r="B471" s="110"/>
      <c r="I471" s="110"/>
      <c r="J471" s="110"/>
      <c r="K471" s="110"/>
      <c r="Q471" s="110"/>
      <c r="S471" s="110"/>
    </row>
    <row r="472" ht="15.75" customHeight="1">
      <c r="B472" s="110"/>
      <c r="I472" s="110"/>
      <c r="J472" s="110"/>
      <c r="K472" s="110"/>
      <c r="Q472" s="110"/>
      <c r="S472" s="110"/>
    </row>
    <row r="473" ht="15.75" customHeight="1">
      <c r="B473" s="110"/>
      <c r="I473" s="110"/>
      <c r="J473" s="110"/>
      <c r="K473" s="110"/>
      <c r="Q473" s="110"/>
      <c r="S473" s="110"/>
    </row>
    <row r="474" ht="15.75" customHeight="1">
      <c r="B474" s="110"/>
      <c r="I474" s="110"/>
      <c r="J474" s="110"/>
      <c r="K474" s="110"/>
      <c r="Q474" s="110"/>
      <c r="S474" s="110"/>
    </row>
    <row r="475" ht="15.75" customHeight="1">
      <c r="B475" s="110"/>
      <c r="I475" s="110"/>
      <c r="J475" s="110"/>
      <c r="K475" s="110"/>
      <c r="Q475" s="110"/>
      <c r="S475" s="110"/>
    </row>
    <row r="476" ht="15.75" customHeight="1">
      <c r="B476" s="110"/>
      <c r="I476" s="110"/>
      <c r="J476" s="110"/>
      <c r="K476" s="110"/>
      <c r="Q476" s="110"/>
      <c r="S476" s="110"/>
    </row>
    <row r="477" ht="15.75" customHeight="1">
      <c r="B477" s="110"/>
      <c r="I477" s="110"/>
      <c r="J477" s="110"/>
      <c r="K477" s="110"/>
      <c r="Q477" s="110"/>
      <c r="S477" s="110"/>
    </row>
    <row r="478" ht="15.75" customHeight="1">
      <c r="B478" s="110"/>
      <c r="I478" s="110"/>
      <c r="J478" s="110"/>
      <c r="K478" s="110"/>
      <c r="Q478" s="110"/>
      <c r="S478" s="110"/>
    </row>
    <row r="479" ht="15.75" customHeight="1">
      <c r="B479" s="110"/>
      <c r="I479" s="110"/>
      <c r="J479" s="110"/>
      <c r="K479" s="110"/>
      <c r="Q479" s="110"/>
      <c r="S479" s="110"/>
    </row>
    <row r="480" ht="15.75" customHeight="1">
      <c r="B480" s="110"/>
      <c r="I480" s="110"/>
      <c r="J480" s="110"/>
      <c r="K480" s="110"/>
      <c r="Q480" s="110"/>
      <c r="S480" s="110"/>
    </row>
    <row r="481" ht="15.75" customHeight="1">
      <c r="B481" s="110"/>
      <c r="I481" s="110"/>
      <c r="J481" s="110"/>
      <c r="K481" s="110"/>
      <c r="Q481" s="110"/>
      <c r="S481" s="110"/>
    </row>
    <row r="482" ht="15.75" customHeight="1">
      <c r="B482" s="110"/>
      <c r="I482" s="110"/>
      <c r="J482" s="110"/>
      <c r="K482" s="110"/>
      <c r="Q482" s="110"/>
      <c r="S482" s="110"/>
    </row>
    <row r="483" ht="15.75" customHeight="1">
      <c r="B483" s="110"/>
      <c r="I483" s="110"/>
      <c r="J483" s="110"/>
      <c r="K483" s="110"/>
      <c r="Q483" s="110"/>
      <c r="S483" s="110"/>
    </row>
    <row r="484" ht="15.75" customHeight="1">
      <c r="B484" s="110"/>
      <c r="I484" s="110"/>
      <c r="J484" s="110"/>
      <c r="K484" s="110"/>
      <c r="Q484" s="110"/>
      <c r="S484" s="110"/>
    </row>
    <row r="485" ht="15.75" customHeight="1">
      <c r="B485" s="110"/>
      <c r="I485" s="110"/>
      <c r="J485" s="110"/>
      <c r="K485" s="110"/>
      <c r="Q485" s="110"/>
      <c r="S485" s="110"/>
    </row>
    <row r="486" ht="15.75" customHeight="1">
      <c r="B486" s="110"/>
      <c r="I486" s="110"/>
      <c r="J486" s="110"/>
      <c r="K486" s="110"/>
      <c r="Q486" s="110"/>
      <c r="S486" s="110"/>
    </row>
    <row r="487" ht="15.75" customHeight="1">
      <c r="B487" s="110"/>
      <c r="I487" s="110"/>
      <c r="J487" s="110"/>
      <c r="K487" s="110"/>
      <c r="Q487" s="110"/>
      <c r="S487" s="110"/>
    </row>
    <row r="488" ht="15.75" customHeight="1">
      <c r="B488" s="110"/>
      <c r="I488" s="110"/>
      <c r="J488" s="110"/>
      <c r="K488" s="110"/>
      <c r="Q488" s="110"/>
      <c r="S488" s="110"/>
    </row>
    <row r="489" ht="15.75" customHeight="1">
      <c r="B489" s="110"/>
      <c r="I489" s="110"/>
      <c r="J489" s="110"/>
      <c r="K489" s="110"/>
      <c r="Q489" s="110"/>
      <c r="S489" s="110"/>
    </row>
    <row r="490" ht="15.75" customHeight="1">
      <c r="B490" s="110"/>
      <c r="I490" s="110"/>
      <c r="J490" s="110"/>
      <c r="K490" s="110"/>
      <c r="Q490" s="110"/>
      <c r="S490" s="110"/>
    </row>
    <row r="491" ht="15.75" customHeight="1">
      <c r="B491" s="110"/>
      <c r="I491" s="110"/>
      <c r="J491" s="110"/>
      <c r="K491" s="110"/>
      <c r="Q491" s="110"/>
      <c r="S491" s="110"/>
    </row>
    <row r="492" ht="15.75" customHeight="1">
      <c r="B492" s="110"/>
      <c r="I492" s="110"/>
      <c r="J492" s="110"/>
      <c r="K492" s="110"/>
      <c r="Q492" s="110"/>
      <c r="S492" s="110"/>
    </row>
    <row r="493" ht="15.75" customHeight="1">
      <c r="B493" s="110"/>
      <c r="I493" s="110"/>
      <c r="J493" s="110"/>
      <c r="K493" s="110"/>
      <c r="Q493" s="110"/>
      <c r="S493" s="110"/>
    </row>
    <row r="494" ht="15.75" customHeight="1">
      <c r="B494" s="110"/>
      <c r="I494" s="110"/>
      <c r="J494" s="110"/>
      <c r="K494" s="110"/>
      <c r="Q494" s="110"/>
      <c r="S494" s="110"/>
    </row>
    <row r="495" ht="15.75" customHeight="1">
      <c r="B495" s="110"/>
      <c r="I495" s="110"/>
      <c r="J495" s="110"/>
      <c r="K495" s="110"/>
      <c r="Q495" s="110"/>
      <c r="S495" s="110"/>
    </row>
    <row r="496" ht="15.75" customHeight="1">
      <c r="B496" s="110"/>
      <c r="I496" s="110"/>
      <c r="J496" s="110"/>
      <c r="K496" s="110"/>
      <c r="Q496" s="110"/>
      <c r="S496" s="110"/>
    </row>
    <row r="497" ht="15.75" customHeight="1">
      <c r="B497" s="110"/>
      <c r="I497" s="110"/>
      <c r="J497" s="110"/>
      <c r="K497" s="110"/>
      <c r="Q497" s="110"/>
      <c r="S497" s="110"/>
    </row>
    <row r="498" ht="15.75" customHeight="1">
      <c r="B498" s="110"/>
      <c r="I498" s="110"/>
      <c r="J498" s="110"/>
      <c r="K498" s="110"/>
      <c r="Q498" s="110"/>
      <c r="S498" s="110"/>
    </row>
    <row r="499" ht="15.75" customHeight="1">
      <c r="B499" s="110"/>
      <c r="I499" s="110"/>
      <c r="J499" s="110"/>
      <c r="K499" s="110"/>
      <c r="Q499" s="110"/>
      <c r="S499" s="110"/>
    </row>
    <row r="500" ht="15.75" customHeight="1">
      <c r="B500" s="110"/>
      <c r="I500" s="110"/>
      <c r="J500" s="110"/>
      <c r="K500" s="110"/>
      <c r="Q500" s="110"/>
      <c r="S500" s="110"/>
    </row>
    <row r="501" ht="15.75" customHeight="1">
      <c r="B501" s="110"/>
      <c r="I501" s="110"/>
      <c r="J501" s="110"/>
      <c r="K501" s="110"/>
      <c r="Q501" s="110"/>
      <c r="S501" s="110"/>
    </row>
    <row r="502" ht="15.75" customHeight="1">
      <c r="B502" s="110"/>
      <c r="I502" s="110"/>
      <c r="J502" s="110"/>
      <c r="K502" s="110"/>
      <c r="Q502" s="110"/>
      <c r="S502" s="110"/>
    </row>
    <row r="503" ht="15.75" customHeight="1">
      <c r="B503" s="110"/>
      <c r="I503" s="110"/>
      <c r="J503" s="110"/>
      <c r="K503" s="110"/>
      <c r="Q503" s="110"/>
      <c r="S503" s="110"/>
    </row>
    <row r="504" ht="15.75" customHeight="1">
      <c r="B504" s="110"/>
      <c r="I504" s="110"/>
      <c r="J504" s="110"/>
      <c r="K504" s="110"/>
      <c r="Q504" s="110"/>
      <c r="S504" s="110"/>
    </row>
    <row r="505" ht="15.75" customHeight="1">
      <c r="B505" s="110"/>
      <c r="I505" s="110"/>
      <c r="J505" s="110"/>
      <c r="K505" s="110"/>
      <c r="Q505" s="110"/>
      <c r="S505" s="110"/>
    </row>
    <row r="506" ht="15.75" customHeight="1">
      <c r="B506" s="110"/>
      <c r="I506" s="110"/>
      <c r="J506" s="110"/>
      <c r="K506" s="110"/>
      <c r="Q506" s="110"/>
      <c r="S506" s="110"/>
    </row>
    <row r="507" ht="15.75" customHeight="1">
      <c r="B507" s="110"/>
      <c r="I507" s="110"/>
      <c r="J507" s="110"/>
      <c r="K507" s="110"/>
      <c r="Q507" s="110"/>
      <c r="S507" s="110"/>
    </row>
    <row r="508" ht="15.75" customHeight="1">
      <c r="B508" s="110"/>
      <c r="I508" s="110"/>
      <c r="J508" s="110"/>
      <c r="K508" s="110"/>
      <c r="Q508" s="110"/>
      <c r="S508" s="110"/>
    </row>
    <row r="509" ht="15.75" customHeight="1">
      <c r="B509" s="110"/>
      <c r="I509" s="110"/>
      <c r="J509" s="110"/>
      <c r="K509" s="110"/>
      <c r="Q509" s="110"/>
      <c r="S509" s="110"/>
    </row>
    <row r="510" ht="15.75" customHeight="1">
      <c r="B510" s="110"/>
      <c r="I510" s="110"/>
      <c r="J510" s="110"/>
      <c r="K510" s="110"/>
      <c r="Q510" s="110"/>
      <c r="S510" s="110"/>
    </row>
    <row r="511" ht="15.75" customHeight="1">
      <c r="B511" s="110"/>
      <c r="I511" s="110"/>
      <c r="J511" s="110"/>
      <c r="K511" s="110"/>
      <c r="Q511" s="110"/>
      <c r="S511" s="110"/>
    </row>
    <row r="512" ht="15.75" customHeight="1">
      <c r="B512" s="110"/>
      <c r="I512" s="110"/>
      <c r="J512" s="110"/>
      <c r="K512" s="110"/>
      <c r="Q512" s="110"/>
      <c r="S512" s="110"/>
    </row>
    <row r="513" ht="15.75" customHeight="1">
      <c r="B513" s="110"/>
      <c r="I513" s="110"/>
      <c r="J513" s="110"/>
      <c r="K513" s="110"/>
      <c r="Q513" s="110"/>
      <c r="S513" s="110"/>
    </row>
    <row r="514" ht="15.75" customHeight="1">
      <c r="B514" s="110"/>
      <c r="I514" s="110"/>
      <c r="J514" s="110"/>
      <c r="K514" s="110"/>
      <c r="Q514" s="110"/>
      <c r="S514" s="110"/>
    </row>
    <row r="515" ht="15.75" customHeight="1">
      <c r="B515" s="110"/>
      <c r="I515" s="110"/>
      <c r="J515" s="110"/>
      <c r="K515" s="110"/>
      <c r="Q515" s="110"/>
      <c r="S515" s="110"/>
    </row>
    <row r="516" ht="15.75" customHeight="1">
      <c r="B516" s="110"/>
      <c r="I516" s="110"/>
      <c r="J516" s="110"/>
      <c r="K516" s="110"/>
      <c r="Q516" s="110"/>
      <c r="S516" s="110"/>
    </row>
    <row r="517" ht="15.75" customHeight="1">
      <c r="B517" s="110"/>
      <c r="I517" s="110"/>
      <c r="J517" s="110"/>
      <c r="K517" s="110"/>
      <c r="Q517" s="110"/>
      <c r="S517" s="110"/>
    </row>
    <row r="518" ht="15.75" customHeight="1">
      <c r="B518" s="110"/>
      <c r="I518" s="110"/>
      <c r="J518" s="110"/>
      <c r="K518" s="110"/>
      <c r="Q518" s="110"/>
      <c r="S518" s="110"/>
    </row>
    <row r="519" ht="15.75" customHeight="1">
      <c r="B519" s="110"/>
      <c r="I519" s="110"/>
      <c r="J519" s="110"/>
      <c r="K519" s="110"/>
      <c r="Q519" s="110"/>
      <c r="S519" s="110"/>
    </row>
    <row r="520" ht="15.75" customHeight="1">
      <c r="B520" s="110"/>
      <c r="I520" s="110"/>
      <c r="J520" s="110"/>
      <c r="K520" s="110"/>
      <c r="Q520" s="110"/>
      <c r="S520" s="110"/>
    </row>
    <row r="521" ht="15.75" customHeight="1">
      <c r="B521" s="110"/>
      <c r="I521" s="110"/>
      <c r="J521" s="110"/>
      <c r="K521" s="110"/>
      <c r="Q521" s="110"/>
      <c r="S521" s="110"/>
    </row>
    <row r="522" ht="15.75" customHeight="1">
      <c r="B522" s="110"/>
      <c r="I522" s="110"/>
      <c r="J522" s="110"/>
      <c r="K522" s="110"/>
      <c r="Q522" s="110"/>
      <c r="S522" s="110"/>
    </row>
    <row r="523" ht="15.75" customHeight="1">
      <c r="B523" s="110"/>
      <c r="I523" s="110"/>
      <c r="J523" s="110"/>
      <c r="K523" s="110"/>
      <c r="Q523" s="110"/>
      <c r="S523" s="110"/>
    </row>
    <row r="524" ht="15.75" customHeight="1">
      <c r="B524" s="110"/>
      <c r="I524" s="110"/>
      <c r="J524" s="110"/>
      <c r="K524" s="110"/>
      <c r="Q524" s="110"/>
      <c r="S524" s="110"/>
    </row>
    <row r="525" ht="15.75" customHeight="1">
      <c r="B525" s="110"/>
      <c r="I525" s="110"/>
      <c r="J525" s="110"/>
      <c r="K525" s="110"/>
      <c r="Q525" s="110"/>
      <c r="S525" s="110"/>
    </row>
    <row r="526" ht="15.75" customHeight="1">
      <c r="B526" s="110"/>
      <c r="I526" s="110"/>
      <c r="J526" s="110"/>
      <c r="K526" s="110"/>
      <c r="Q526" s="110"/>
      <c r="S526" s="110"/>
    </row>
    <row r="527" ht="15.75" customHeight="1">
      <c r="B527" s="110"/>
      <c r="I527" s="110"/>
      <c r="J527" s="110"/>
      <c r="K527" s="110"/>
      <c r="Q527" s="110"/>
      <c r="S527" s="110"/>
    </row>
    <row r="528" ht="15.75" customHeight="1">
      <c r="B528" s="110"/>
      <c r="I528" s="110"/>
      <c r="J528" s="110"/>
      <c r="K528" s="110"/>
      <c r="Q528" s="110"/>
      <c r="S528" s="110"/>
    </row>
    <row r="529" ht="15.75" customHeight="1">
      <c r="B529" s="110"/>
      <c r="I529" s="110"/>
      <c r="J529" s="110"/>
      <c r="K529" s="110"/>
      <c r="Q529" s="110"/>
      <c r="S529" s="110"/>
    </row>
    <row r="530" ht="15.75" customHeight="1">
      <c r="B530" s="110"/>
      <c r="I530" s="110"/>
      <c r="J530" s="110"/>
      <c r="K530" s="110"/>
      <c r="Q530" s="110"/>
      <c r="S530" s="110"/>
    </row>
    <row r="531" ht="15.75" customHeight="1">
      <c r="B531" s="110"/>
      <c r="I531" s="110"/>
      <c r="J531" s="110"/>
      <c r="K531" s="110"/>
      <c r="Q531" s="110"/>
      <c r="S531" s="110"/>
    </row>
    <row r="532" ht="15.75" customHeight="1">
      <c r="B532" s="110"/>
      <c r="I532" s="110"/>
      <c r="J532" s="110"/>
      <c r="K532" s="110"/>
      <c r="Q532" s="110"/>
      <c r="S532" s="110"/>
    </row>
    <row r="533" ht="15.75" customHeight="1">
      <c r="B533" s="110"/>
      <c r="I533" s="110"/>
      <c r="J533" s="110"/>
      <c r="K533" s="110"/>
      <c r="Q533" s="110"/>
      <c r="S533" s="110"/>
    </row>
    <row r="534" ht="15.75" customHeight="1">
      <c r="B534" s="110"/>
      <c r="I534" s="110"/>
      <c r="J534" s="110"/>
      <c r="K534" s="110"/>
      <c r="Q534" s="110"/>
      <c r="S534" s="110"/>
    </row>
    <row r="535" ht="15.75" customHeight="1">
      <c r="B535" s="110"/>
      <c r="I535" s="110"/>
      <c r="J535" s="110"/>
      <c r="K535" s="110"/>
      <c r="Q535" s="110"/>
      <c r="S535" s="110"/>
    </row>
    <row r="536" ht="15.75" customHeight="1">
      <c r="B536" s="110"/>
      <c r="I536" s="110"/>
      <c r="J536" s="110"/>
      <c r="K536" s="110"/>
      <c r="Q536" s="110"/>
      <c r="S536" s="110"/>
    </row>
    <row r="537" ht="15.75" customHeight="1">
      <c r="B537" s="110"/>
      <c r="I537" s="110"/>
      <c r="J537" s="110"/>
      <c r="K537" s="110"/>
      <c r="Q537" s="110"/>
      <c r="S537" s="110"/>
    </row>
    <row r="538" ht="15.75" customHeight="1">
      <c r="B538" s="110"/>
      <c r="I538" s="110"/>
      <c r="J538" s="110"/>
      <c r="K538" s="110"/>
      <c r="Q538" s="110"/>
      <c r="S538" s="110"/>
    </row>
    <row r="539" ht="15.75" customHeight="1">
      <c r="B539" s="110"/>
      <c r="I539" s="110"/>
      <c r="J539" s="110"/>
      <c r="K539" s="110"/>
      <c r="Q539" s="110"/>
      <c r="S539" s="110"/>
    </row>
    <row r="540" ht="15.75" customHeight="1">
      <c r="B540" s="110"/>
      <c r="I540" s="110"/>
      <c r="J540" s="110"/>
      <c r="K540" s="110"/>
      <c r="Q540" s="110"/>
      <c r="S540" s="110"/>
    </row>
    <row r="541" ht="15.75" customHeight="1">
      <c r="B541" s="110"/>
      <c r="I541" s="110"/>
      <c r="J541" s="110"/>
      <c r="K541" s="110"/>
      <c r="Q541" s="110"/>
      <c r="S541" s="110"/>
    </row>
    <row r="542" ht="15.75" customHeight="1">
      <c r="B542" s="110"/>
      <c r="I542" s="110"/>
      <c r="J542" s="110"/>
      <c r="K542" s="110"/>
      <c r="Q542" s="110"/>
      <c r="S542" s="110"/>
    </row>
    <row r="543" ht="15.75" customHeight="1">
      <c r="B543" s="110"/>
      <c r="I543" s="110"/>
      <c r="J543" s="110"/>
      <c r="K543" s="110"/>
      <c r="Q543" s="110"/>
      <c r="S543" s="110"/>
    </row>
    <row r="544" ht="15.75" customHeight="1">
      <c r="B544" s="110"/>
      <c r="I544" s="110"/>
      <c r="J544" s="110"/>
      <c r="K544" s="110"/>
      <c r="Q544" s="110"/>
      <c r="S544" s="110"/>
    </row>
    <row r="545" ht="15.75" customHeight="1">
      <c r="B545" s="110"/>
      <c r="I545" s="110"/>
      <c r="J545" s="110"/>
      <c r="K545" s="110"/>
      <c r="Q545" s="110"/>
      <c r="S545" s="110"/>
    </row>
    <row r="546" ht="15.75" customHeight="1">
      <c r="B546" s="110"/>
      <c r="I546" s="110"/>
      <c r="J546" s="110"/>
      <c r="K546" s="110"/>
      <c r="Q546" s="110"/>
      <c r="S546" s="110"/>
    </row>
    <row r="547" ht="15.75" customHeight="1">
      <c r="B547" s="110"/>
      <c r="I547" s="110"/>
      <c r="J547" s="110"/>
      <c r="K547" s="110"/>
      <c r="Q547" s="110"/>
      <c r="S547" s="110"/>
    </row>
    <row r="548" ht="15.75" customHeight="1">
      <c r="B548" s="110"/>
      <c r="I548" s="110"/>
      <c r="J548" s="110"/>
      <c r="K548" s="110"/>
      <c r="Q548" s="110"/>
      <c r="S548" s="110"/>
    </row>
    <row r="549" ht="15.75" customHeight="1">
      <c r="B549" s="110"/>
      <c r="I549" s="110"/>
      <c r="J549" s="110"/>
      <c r="K549" s="110"/>
      <c r="Q549" s="110"/>
      <c r="S549" s="110"/>
    </row>
    <row r="550" ht="15.75" customHeight="1">
      <c r="B550" s="110"/>
      <c r="I550" s="110"/>
      <c r="J550" s="110"/>
      <c r="K550" s="110"/>
      <c r="Q550" s="110"/>
      <c r="S550" s="110"/>
    </row>
    <row r="551" ht="15.75" customHeight="1">
      <c r="B551" s="110"/>
      <c r="I551" s="110"/>
      <c r="J551" s="110"/>
      <c r="K551" s="110"/>
      <c r="Q551" s="110"/>
      <c r="S551" s="110"/>
    </row>
    <row r="552" ht="15.75" customHeight="1">
      <c r="B552" s="110"/>
      <c r="I552" s="110"/>
      <c r="J552" s="110"/>
      <c r="K552" s="110"/>
      <c r="Q552" s="110"/>
      <c r="S552" s="110"/>
    </row>
    <row r="553" ht="15.75" customHeight="1">
      <c r="B553" s="110"/>
      <c r="I553" s="110"/>
      <c r="J553" s="110"/>
      <c r="K553" s="110"/>
      <c r="Q553" s="110"/>
      <c r="S553" s="110"/>
    </row>
    <row r="554" ht="15.75" customHeight="1">
      <c r="B554" s="110"/>
      <c r="I554" s="110"/>
      <c r="J554" s="110"/>
      <c r="K554" s="110"/>
      <c r="Q554" s="110"/>
      <c r="S554" s="110"/>
    </row>
    <row r="555" ht="15.75" customHeight="1">
      <c r="B555" s="110"/>
      <c r="I555" s="110"/>
      <c r="J555" s="110"/>
      <c r="K555" s="110"/>
      <c r="Q555" s="110"/>
      <c r="S555" s="110"/>
    </row>
    <row r="556" ht="15.75" customHeight="1">
      <c r="B556" s="110"/>
      <c r="I556" s="110"/>
      <c r="J556" s="110"/>
      <c r="K556" s="110"/>
      <c r="Q556" s="110"/>
      <c r="S556" s="110"/>
    </row>
    <row r="557" ht="15.75" customHeight="1">
      <c r="B557" s="110"/>
      <c r="I557" s="110"/>
      <c r="J557" s="110"/>
      <c r="K557" s="110"/>
      <c r="Q557" s="110"/>
      <c r="S557" s="110"/>
    </row>
    <row r="558" ht="15.75" customHeight="1">
      <c r="B558" s="110"/>
      <c r="I558" s="110"/>
      <c r="J558" s="110"/>
      <c r="K558" s="110"/>
      <c r="Q558" s="110"/>
      <c r="S558" s="110"/>
    </row>
    <row r="559" ht="15.75" customHeight="1">
      <c r="B559" s="110"/>
      <c r="I559" s="110"/>
      <c r="J559" s="110"/>
      <c r="K559" s="110"/>
      <c r="Q559" s="110"/>
      <c r="S559" s="110"/>
    </row>
    <row r="560" ht="15.75" customHeight="1">
      <c r="B560" s="110"/>
      <c r="I560" s="110"/>
      <c r="J560" s="110"/>
      <c r="K560" s="110"/>
      <c r="Q560" s="110"/>
      <c r="S560" s="110"/>
    </row>
    <row r="561" ht="15.75" customHeight="1">
      <c r="B561" s="110"/>
      <c r="I561" s="110"/>
      <c r="J561" s="110"/>
      <c r="K561" s="110"/>
      <c r="Q561" s="110"/>
      <c r="S561" s="110"/>
    </row>
    <row r="562" ht="15.75" customHeight="1">
      <c r="B562" s="110"/>
      <c r="I562" s="110"/>
      <c r="J562" s="110"/>
      <c r="K562" s="110"/>
      <c r="Q562" s="110"/>
      <c r="S562" s="110"/>
    </row>
    <row r="563" ht="15.75" customHeight="1">
      <c r="B563" s="110"/>
      <c r="I563" s="110"/>
      <c r="J563" s="110"/>
      <c r="K563" s="110"/>
      <c r="Q563" s="110"/>
      <c r="S563" s="110"/>
    </row>
    <row r="564" ht="15.75" customHeight="1">
      <c r="B564" s="110"/>
      <c r="I564" s="110"/>
      <c r="J564" s="110"/>
      <c r="K564" s="110"/>
      <c r="Q564" s="110"/>
      <c r="S564" s="110"/>
    </row>
    <row r="565" ht="15.75" customHeight="1">
      <c r="B565" s="110"/>
      <c r="I565" s="110"/>
      <c r="J565" s="110"/>
      <c r="K565" s="110"/>
      <c r="Q565" s="110"/>
      <c r="S565" s="110"/>
    </row>
    <row r="566" ht="15.75" customHeight="1">
      <c r="B566" s="110"/>
      <c r="I566" s="110"/>
      <c r="J566" s="110"/>
      <c r="K566" s="110"/>
      <c r="Q566" s="110"/>
      <c r="S566" s="110"/>
    </row>
    <row r="567" ht="15.75" customHeight="1">
      <c r="B567" s="110"/>
      <c r="I567" s="110"/>
      <c r="J567" s="110"/>
      <c r="K567" s="110"/>
      <c r="Q567" s="110"/>
      <c r="S567" s="110"/>
    </row>
    <row r="568" ht="15.75" customHeight="1">
      <c r="B568" s="110"/>
      <c r="I568" s="110"/>
      <c r="J568" s="110"/>
      <c r="K568" s="110"/>
      <c r="Q568" s="110"/>
      <c r="S568" s="110"/>
    </row>
    <row r="569" ht="15.75" customHeight="1">
      <c r="B569" s="110"/>
      <c r="I569" s="110"/>
      <c r="J569" s="110"/>
      <c r="K569" s="110"/>
      <c r="Q569" s="110"/>
      <c r="S569" s="110"/>
    </row>
    <row r="570" ht="15.75" customHeight="1">
      <c r="B570" s="110"/>
      <c r="I570" s="110"/>
      <c r="J570" s="110"/>
      <c r="K570" s="110"/>
      <c r="Q570" s="110"/>
      <c r="S570" s="110"/>
    </row>
    <row r="571" ht="15.75" customHeight="1">
      <c r="B571" s="110"/>
      <c r="I571" s="110"/>
      <c r="J571" s="110"/>
      <c r="K571" s="110"/>
      <c r="Q571" s="110"/>
      <c r="S571" s="110"/>
    </row>
    <row r="572" ht="15.75" customHeight="1">
      <c r="B572" s="110"/>
      <c r="I572" s="110"/>
      <c r="J572" s="110"/>
      <c r="K572" s="110"/>
      <c r="Q572" s="110"/>
      <c r="S572" s="110"/>
    </row>
    <row r="573" ht="15.75" customHeight="1">
      <c r="B573" s="110"/>
      <c r="I573" s="110"/>
      <c r="J573" s="110"/>
      <c r="K573" s="110"/>
      <c r="Q573" s="110"/>
      <c r="S573" s="110"/>
    </row>
    <row r="574" ht="15.75" customHeight="1">
      <c r="B574" s="110"/>
      <c r="I574" s="110"/>
      <c r="J574" s="110"/>
      <c r="K574" s="110"/>
      <c r="Q574" s="110"/>
      <c r="S574" s="110"/>
    </row>
    <row r="575" ht="15.75" customHeight="1">
      <c r="B575" s="110"/>
      <c r="I575" s="110"/>
      <c r="J575" s="110"/>
      <c r="K575" s="110"/>
      <c r="Q575" s="110"/>
      <c r="S575" s="110"/>
    </row>
    <row r="576" ht="15.75" customHeight="1">
      <c r="B576" s="110"/>
      <c r="I576" s="110"/>
      <c r="J576" s="110"/>
      <c r="K576" s="110"/>
      <c r="Q576" s="110"/>
      <c r="S576" s="110"/>
    </row>
    <row r="577" ht="15.75" customHeight="1">
      <c r="B577" s="110"/>
      <c r="I577" s="110"/>
      <c r="J577" s="110"/>
      <c r="K577" s="110"/>
      <c r="Q577" s="110"/>
      <c r="S577" s="110"/>
    </row>
    <row r="578" ht="15.75" customHeight="1">
      <c r="B578" s="110"/>
      <c r="I578" s="110"/>
      <c r="J578" s="110"/>
      <c r="K578" s="110"/>
      <c r="Q578" s="110"/>
      <c r="S578" s="110"/>
    </row>
    <row r="579" ht="15.75" customHeight="1">
      <c r="B579" s="110"/>
      <c r="I579" s="110"/>
      <c r="J579" s="110"/>
      <c r="K579" s="110"/>
      <c r="Q579" s="110"/>
      <c r="S579" s="110"/>
    </row>
    <row r="580" ht="15.75" customHeight="1">
      <c r="B580" s="110"/>
      <c r="I580" s="110"/>
      <c r="J580" s="110"/>
      <c r="K580" s="110"/>
      <c r="Q580" s="110"/>
      <c r="S580" s="110"/>
    </row>
    <row r="581" ht="15.75" customHeight="1">
      <c r="B581" s="110"/>
      <c r="I581" s="110"/>
      <c r="J581" s="110"/>
      <c r="K581" s="110"/>
      <c r="Q581" s="110"/>
      <c r="S581" s="110"/>
    </row>
    <row r="582" ht="15.75" customHeight="1">
      <c r="B582" s="110"/>
      <c r="I582" s="110"/>
      <c r="J582" s="110"/>
      <c r="K582" s="110"/>
      <c r="Q582" s="110"/>
      <c r="S582" s="110"/>
    </row>
    <row r="583" ht="15.75" customHeight="1">
      <c r="B583" s="110"/>
      <c r="I583" s="110"/>
      <c r="J583" s="110"/>
      <c r="K583" s="110"/>
      <c r="Q583" s="110"/>
      <c r="S583" s="110"/>
    </row>
    <row r="584" ht="15.75" customHeight="1">
      <c r="B584" s="110"/>
      <c r="I584" s="110"/>
      <c r="J584" s="110"/>
      <c r="K584" s="110"/>
      <c r="Q584" s="110"/>
      <c r="S584" s="110"/>
    </row>
    <row r="585" ht="15.75" customHeight="1">
      <c r="B585" s="110"/>
      <c r="I585" s="110"/>
      <c r="J585" s="110"/>
      <c r="K585" s="110"/>
      <c r="Q585" s="110"/>
      <c r="S585" s="110"/>
    </row>
    <row r="586" ht="15.75" customHeight="1">
      <c r="B586" s="110"/>
      <c r="I586" s="110"/>
      <c r="J586" s="110"/>
      <c r="K586" s="110"/>
      <c r="Q586" s="110"/>
      <c r="S586" s="110"/>
    </row>
    <row r="587" ht="15.75" customHeight="1">
      <c r="B587" s="110"/>
      <c r="I587" s="110"/>
      <c r="J587" s="110"/>
      <c r="K587" s="110"/>
      <c r="Q587" s="110"/>
      <c r="S587" s="110"/>
    </row>
    <row r="588" ht="15.75" customHeight="1">
      <c r="B588" s="110"/>
      <c r="I588" s="110"/>
      <c r="J588" s="110"/>
      <c r="K588" s="110"/>
      <c r="Q588" s="110"/>
      <c r="S588" s="110"/>
    </row>
    <row r="589" ht="15.75" customHeight="1">
      <c r="B589" s="110"/>
      <c r="I589" s="110"/>
      <c r="J589" s="110"/>
      <c r="K589" s="110"/>
      <c r="Q589" s="110"/>
      <c r="S589" s="110"/>
    </row>
    <row r="590" ht="15.75" customHeight="1">
      <c r="B590" s="110"/>
      <c r="I590" s="110"/>
      <c r="J590" s="110"/>
      <c r="K590" s="110"/>
      <c r="Q590" s="110"/>
      <c r="S590" s="110"/>
    </row>
    <row r="591" ht="15.75" customHeight="1">
      <c r="B591" s="110"/>
      <c r="I591" s="110"/>
      <c r="J591" s="110"/>
      <c r="K591" s="110"/>
      <c r="Q591" s="110"/>
      <c r="S591" s="110"/>
    </row>
    <row r="592" ht="15.75" customHeight="1">
      <c r="B592" s="110"/>
      <c r="I592" s="110"/>
      <c r="J592" s="110"/>
      <c r="K592" s="110"/>
      <c r="Q592" s="110"/>
      <c r="S592" s="110"/>
    </row>
    <row r="593" ht="15.75" customHeight="1">
      <c r="B593" s="110"/>
      <c r="I593" s="110"/>
      <c r="J593" s="110"/>
      <c r="K593" s="110"/>
      <c r="Q593" s="110"/>
      <c r="S593" s="110"/>
    </row>
    <row r="594" ht="15.75" customHeight="1">
      <c r="B594" s="110"/>
      <c r="I594" s="110"/>
      <c r="J594" s="110"/>
      <c r="K594" s="110"/>
      <c r="Q594" s="110"/>
      <c r="S594" s="110"/>
    </row>
    <row r="595" ht="15.75" customHeight="1">
      <c r="B595" s="110"/>
      <c r="I595" s="110"/>
      <c r="J595" s="110"/>
      <c r="K595" s="110"/>
      <c r="Q595" s="110"/>
      <c r="S595" s="110"/>
    </row>
    <row r="596" ht="15.75" customHeight="1">
      <c r="B596" s="110"/>
      <c r="I596" s="110"/>
      <c r="J596" s="110"/>
      <c r="K596" s="110"/>
      <c r="Q596" s="110"/>
      <c r="S596" s="110"/>
    </row>
    <row r="597" ht="15.75" customHeight="1">
      <c r="B597" s="110"/>
      <c r="I597" s="110"/>
      <c r="J597" s="110"/>
      <c r="K597" s="110"/>
      <c r="Q597" s="110"/>
      <c r="S597" s="110"/>
    </row>
    <row r="598" ht="15.75" customHeight="1">
      <c r="B598" s="110"/>
      <c r="I598" s="110"/>
      <c r="J598" s="110"/>
      <c r="K598" s="110"/>
      <c r="Q598" s="110"/>
      <c r="S598" s="110"/>
    </row>
    <row r="599" ht="15.75" customHeight="1">
      <c r="B599" s="110"/>
      <c r="I599" s="110"/>
      <c r="J599" s="110"/>
      <c r="K599" s="110"/>
      <c r="Q599" s="110"/>
      <c r="S599" s="110"/>
    </row>
    <row r="600" ht="15.75" customHeight="1">
      <c r="B600" s="110"/>
      <c r="I600" s="110"/>
      <c r="J600" s="110"/>
      <c r="K600" s="110"/>
      <c r="Q600" s="110"/>
      <c r="S600" s="110"/>
    </row>
    <row r="601" ht="15.75" customHeight="1">
      <c r="B601" s="110"/>
      <c r="I601" s="110"/>
      <c r="J601" s="110"/>
      <c r="K601" s="110"/>
      <c r="Q601" s="110"/>
      <c r="S601" s="110"/>
    </row>
    <row r="602" ht="15.75" customHeight="1">
      <c r="B602" s="110"/>
      <c r="I602" s="110"/>
      <c r="J602" s="110"/>
      <c r="K602" s="110"/>
      <c r="Q602" s="110"/>
      <c r="S602" s="110"/>
    </row>
    <row r="603" ht="15.75" customHeight="1">
      <c r="B603" s="110"/>
      <c r="I603" s="110"/>
      <c r="J603" s="110"/>
      <c r="K603" s="110"/>
      <c r="Q603" s="110"/>
      <c r="S603" s="110"/>
    </row>
    <row r="604" ht="15.75" customHeight="1">
      <c r="B604" s="110"/>
      <c r="I604" s="110"/>
      <c r="J604" s="110"/>
      <c r="K604" s="110"/>
      <c r="Q604" s="110"/>
      <c r="S604" s="110"/>
    </row>
    <row r="605" ht="15.75" customHeight="1">
      <c r="B605" s="110"/>
      <c r="I605" s="110"/>
      <c r="J605" s="110"/>
      <c r="K605" s="110"/>
      <c r="Q605" s="110"/>
      <c r="S605" s="110"/>
    </row>
    <row r="606" ht="15.75" customHeight="1">
      <c r="B606" s="110"/>
      <c r="I606" s="110"/>
      <c r="J606" s="110"/>
      <c r="K606" s="110"/>
      <c r="Q606" s="110"/>
      <c r="S606" s="110"/>
    </row>
    <row r="607" ht="15.75" customHeight="1">
      <c r="B607" s="110"/>
      <c r="I607" s="110"/>
      <c r="J607" s="110"/>
      <c r="K607" s="110"/>
      <c r="Q607" s="110"/>
      <c r="S607" s="110"/>
    </row>
    <row r="608" ht="15.75" customHeight="1">
      <c r="B608" s="110"/>
      <c r="I608" s="110"/>
      <c r="J608" s="110"/>
      <c r="K608" s="110"/>
      <c r="Q608" s="110"/>
      <c r="S608" s="110"/>
    </row>
    <row r="609" ht="15.75" customHeight="1">
      <c r="B609" s="110"/>
      <c r="I609" s="110"/>
      <c r="J609" s="110"/>
      <c r="K609" s="110"/>
      <c r="Q609" s="110"/>
      <c r="S609" s="110"/>
    </row>
    <row r="610" ht="15.75" customHeight="1">
      <c r="B610" s="110"/>
      <c r="I610" s="110"/>
      <c r="J610" s="110"/>
      <c r="K610" s="110"/>
      <c r="Q610" s="110"/>
      <c r="S610" s="110"/>
    </row>
    <row r="611" ht="15.75" customHeight="1">
      <c r="B611" s="110"/>
      <c r="I611" s="110"/>
      <c r="J611" s="110"/>
      <c r="K611" s="110"/>
      <c r="Q611" s="110"/>
      <c r="S611" s="110"/>
    </row>
    <row r="612" ht="15.75" customHeight="1">
      <c r="B612" s="110"/>
      <c r="I612" s="110"/>
      <c r="J612" s="110"/>
      <c r="K612" s="110"/>
      <c r="Q612" s="110"/>
      <c r="S612" s="110"/>
    </row>
    <row r="613" ht="15.75" customHeight="1">
      <c r="B613" s="110"/>
      <c r="I613" s="110"/>
      <c r="J613" s="110"/>
      <c r="K613" s="110"/>
      <c r="Q613" s="110"/>
      <c r="S613" s="110"/>
    </row>
    <row r="614" ht="15.75" customHeight="1">
      <c r="B614" s="110"/>
      <c r="I614" s="110"/>
      <c r="J614" s="110"/>
      <c r="K614" s="110"/>
      <c r="Q614" s="110"/>
      <c r="S614" s="110"/>
    </row>
    <row r="615" ht="15.75" customHeight="1">
      <c r="B615" s="110"/>
      <c r="I615" s="110"/>
      <c r="J615" s="110"/>
      <c r="K615" s="110"/>
      <c r="Q615" s="110"/>
      <c r="S615" s="110"/>
    </row>
    <row r="616" ht="15.75" customHeight="1">
      <c r="B616" s="110"/>
      <c r="I616" s="110"/>
      <c r="J616" s="110"/>
      <c r="K616" s="110"/>
      <c r="Q616" s="110"/>
      <c r="S616" s="110"/>
    </row>
    <row r="617" ht="15.75" customHeight="1">
      <c r="B617" s="110"/>
      <c r="I617" s="110"/>
      <c r="J617" s="110"/>
      <c r="K617" s="110"/>
      <c r="Q617" s="110"/>
      <c r="S617" s="110"/>
    </row>
    <row r="618" ht="15.75" customHeight="1">
      <c r="B618" s="110"/>
      <c r="I618" s="110"/>
      <c r="J618" s="110"/>
      <c r="K618" s="110"/>
      <c r="Q618" s="110"/>
      <c r="S618" s="110"/>
    </row>
    <row r="619" ht="15.75" customHeight="1">
      <c r="B619" s="110"/>
      <c r="I619" s="110"/>
      <c r="J619" s="110"/>
      <c r="K619" s="110"/>
      <c r="Q619" s="110"/>
      <c r="S619" s="110"/>
    </row>
    <row r="620" ht="15.75" customHeight="1">
      <c r="B620" s="110"/>
      <c r="I620" s="110"/>
      <c r="J620" s="110"/>
      <c r="K620" s="110"/>
      <c r="Q620" s="110"/>
      <c r="S620" s="110"/>
    </row>
    <row r="621" ht="15.75" customHeight="1">
      <c r="B621" s="110"/>
      <c r="I621" s="110"/>
      <c r="J621" s="110"/>
      <c r="K621" s="110"/>
      <c r="Q621" s="110"/>
      <c r="S621" s="110"/>
    </row>
    <row r="622" ht="15.75" customHeight="1">
      <c r="B622" s="110"/>
      <c r="I622" s="110"/>
      <c r="J622" s="110"/>
      <c r="K622" s="110"/>
      <c r="Q622" s="110"/>
      <c r="S622" s="110"/>
    </row>
    <row r="623" ht="15.75" customHeight="1">
      <c r="B623" s="110"/>
      <c r="I623" s="110"/>
      <c r="J623" s="110"/>
      <c r="K623" s="110"/>
      <c r="Q623" s="110"/>
      <c r="S623" s="110"/>
    </row>
    <row r="624" ht="15.75" customHeight="1">
      <c r="B624" s="110"/>
      <c r="I624" s="110"/>
      <c r="J624" s="110"/>
      <c r="K624" s="110"/>
      <c r="Q624" s="110"/>
      <c r="S624" s="110"/>
    </row>
    <row r="625" ht="15.75" customHeight="1">
      <c r="B625" s="110"/>
      <c r="I625" s="110"/>
      <c r="J625" s="110"/>
      <c r="K625" s="110"/>
      <c r="Q625" s="110"/>
      <c r="S625" s="110"/>
    </row>
    <row r="626" ht="15.75" customHeight="1">
      <c r="B626" s="110"/>
      <c r="I626" s="110"/>
      <c r="J626" s="110"/>
      <c r="K626" s="110"/>
      <c r="Q626" s="110"/>
      <c r="S626" s="110"/>
    </row>
    <row r="627" ht="15.75" customHeight="1">
      <c r="B627" s="110"/>
      <c r="I627" s="110"/>
      <c r="J627" s="110"/>
      <c r="K627" s="110"/>
      <c r="Q627" s="110"/>
      <c r="S627" s="110"/>
    </row>
    <row r="628" ht="15.75" customHeight="1">
      <c r="B628" s="110"/>
      <c r="I628" s="110"/>
      <c r="J628" s="110"/>
      <c r="K628" s="110"/>
      <c r="Q628" s="110"/>
      <c r="S628" s="110"/>
    </row>
    <row r="629" ht="15.75" customHeight="1">
      <c r="B629" s="110"/>
      <c r="I629" s="110"/>
      <c r="J629" s="110"/>
      <c r="K629" s="110"/>
      <c r="Q629" s="110"/>
      <c r="S629" s="110"/>
    </row>
    <row r="630" ht="15.75" customHeight="1">
      <c r="B630" s="110"/>
      <c r="I630" s="110"/>
      <c r="J630" s="110"/>
      <c r="K630" s="110"/>
      <c r="Q630" s="110"/>
      <c r="S630" s="110"/>
    </row>
    <row r="631" ht="15.75" customHeight="1">
      <c r="B631" s="110"/>
      <c r="I631" s="110"/>
      <c r="J631" s="110"/>
      <c r="K631" s="110"/>
      <c r="Q631" s="110"/>
      <c r="S631" s="110"/>
    </row>
    <row r="632" ht="15.75" customHeight="1">
      <c r="B632" s="110"/>
      <c r="I632" s="110"/>
      <c r="J632" s="110"/>
      <c r="K632" s="110"/>
      <c r="Q632" s="110"/>
      <c r="S632" s="110"/>
    </row>
    <row r="633" ht="15.75" customHeight="1">
      <c r="B633" s="110"/>
      <c r="I633" s="110"/>
      <c r="J633" s="110"/>
      <c r="K633" s="110"/>
      <c r="Q633" s="110"/>
      <c r="S633" s="110"/>
    </row>
    <row r="634" ht="15.75" customHeight="1">
      <c r="B634" s="110"/>
      <c r="I634" s="110"/>
      <c r="J634" s="110"/>
      <c r="K634" s="110"/>
      <c r="Q634" s="110"/>
      <c r="S634" s="110"/>
    </row>
    <row r="635" ht="15.75" customHeight="1">
      <c r="B635" s="110"/>
      <c r="I635" s="110"/>
      <c r="J635" s="110"/>
      <c r="K635" s="110"/>
      <c r="Q635" s="110"/>
      <c r="S635" s="110"/>
    </row>
    <row r="636" ht="15.75" customHeight="1">
      <c r="B636" s="110"/>
      <c r="I636" s="110"/>
      <c r="J636" s="110"/>
      <c r="K636" s="110"/>
      <c r="Q636" s="110"/>
      <c r="S636" s="110"/>
    </row>
    <row r="637" ht="15.75" customHeight="1">
      <c r="B637" s="110"/>
      <c r="I637" s="110"/>
      <c r="J637" s="110"/>
      <c r="K637" s="110"/>
      <c r="Q637" s="110"/>
      <c r="S637" s="110"/>
    </row>
    <row r="638" ht="15.75" customHeight="1">
      <c r="B638" s="110"/>
      <c r="I638" s="110"/>
      <c r="J638" s="110"/>
      <c r="K638" s="110"/>
      <c r="Q638" s="110"/>
      <c r="S638" s="110"/>
    </row>
    <row r="639" ht="15.75" customHeight="1">
      <c r="B639" s="110"/>
      <c r="I639" s="110"/>
      <c r="J639" s="110"/>
      <c r="K639" s="110"/>
      <c r="Q639" s="110"/>
      <c r="S639" s="110"/>
    </row>
    <row r="640" ht="15.75" customHeight="1">
      <c r="B640" s="110"/>
      <c r="I640" s="110"/>
      <c r="J640" s="110"/>
      <c r="K640" s="110"/>
      <c r="Q640" s="110"/>
      <c r="S640" s="110"/>
    </row>
    <row r="641" ht="15.75" customHeight="1">
      <c r="B641" s="110"/>
      <c r="I641" s="110"/>
      <c r="J641" s="110"/>
      <c r="K641" s="110"/>
      <c r="Q641" s="110"/>
      <c r="S641" s="110"/>
    </row>
    <row r="642" ht="15.75" customHeight="1">
      <c r="B642" s="110"/>
      <c r="I642" s="110"/>
      <c r="J642" s="110"/>
      <c r="K642" s="110"/>
      <c r="Q642" s="110"/>
      <c r="S642" s="110"/>
    </row>
    <row r="643" ht="15.75" customHeight="1">
      <c r="B643" s="110"/>
      <c r="I643" s="110"/>
      <c r="J643" s="110"/>
      <c r="K643" s="110"/>
      <c r="Q643" s="110"/>
      <c r="S643" s="110"/>
    </row>
    <row r="644" ht="15.75" customHeight="1">
      <c r="B644" s="110"/>
      <c r="I644" s="110"/>
      <c r="J644" s="110"/>
      <c r="K644" s="110"/>
      <c r="Q644" s="110"/>
      <c r="S644" s="110"/>
    </row>
    <row r="645" ht="15.75" customHeight="1">
      <c r="B645" s="110"/>
      <c r="I645" s="110"/>
      <c r="J645" s="110"/>
      <c r="K645" s="110"/>
      <c r="Q645" s="110"/>
      <c r="S645" s="110"/>
    </row>
    <row r="646" ht="15.75" customHeight="1">
      <c r="B646" s="110"/>
      <c r="I646" s="110"/>
      <c r="J646" s="110"/>
      <c r="K646" s="110"/>
      <c r="Q646" s="110"/>
      <c r="S646" s="110"/>
    </row>
    <row r="647" ht="15.75" customHeight="1">
      <c r="B647" s="110"/>
      <c r="I647" s="110"/>
      <c r="J647" s="110"/>
      <c r="K647" s="110"/>
      <c r="Q647" s="110"/>
      <c r="S647" s="110"/>
    </row>
    <row r="648" ht="15.75" customHeight="1">
      <c r="B648" s="110"/>
      <c r="I648" s="110"/>
      <c r="J648" s="110"/>
      <c r="K648" s="110"/>
      <c r="Q648" s="110"/>
      <c r="S648" s="110"/>
    </row>
    <row r="649" ht="15.75" customHeight="1">
      <c r="B649" s="110"/>
      <c r="I649" s="110"/>
      <c r="J649" s="110"/>
      <c r="K649" s="110"/>
      <c r="Q649" s="110"/>
      <c r="S649" s="110"/>
    </row>
    <row r="650" ht="15.75" customHeight="1">
      <c r="B650" s="110"/>
      <c r="I650" s="110"/>
      <c r="J650" s="110"/>
      <c r="K650" s="110"/>
      <c r="Q650" s="110"/>
      <c r="S650" s="110"/>
    </row>
    <row r="651" ht="15.75" customHeight="1">
      <c r="B651" s="110"/>
      <c r="I651" s="110"/>
      <c r="J651" s="110"/>
      <c r="K651" s="110"/>
      <c r="Q651" s="110"/>
      <c r="S651" s="110"/>
    </row>
    <row r="652" ht="15.75" customHeight="1">
      <c r="B652" s="110"/>
      <c r="I652" s="110"/>
      <c r="J652" s="110"/>
      <c r="K652" s="110"/>
      <c r="Q652" s="110"/>
      <c r="S652" s="110"/>
    </row>
    <row r="653" ht="15.75" customHeight="1">
      <c r="B653" s="110"/>
      <c r="I653" s="110"/>
      <c r="J653" s="110"/>
      <c r="K653" s="110"/>
      <c r="Q653" s="110"/>
      <c r="S653" s="110"/>
    </row>
    <row r="654" ht="15.75" customHeight="1">
      <c r="B654" s="110"/>
      <c r="I654" s="110"/>
      <c r="J654" s="110"/>
      <c r="K654" s="110"/>
      <c r="Q654" s="110"/>
      <c r="S654" s="110"/>
    </row>
    <row r="655" ht="15.75" customHeight="1">
      <c r="B655" s="110"/>
      <c r="I655" s="110"/>
      <c r="J655" s="110"/>
      <c r="K655" s="110"/>
      <c r="Q655" s="110"/>
      <c r="S655" s="110"/>
    </row>
    <row r="656" ht="15.75" customHeight="1">
      <c r="B656" s="110"/>
      <c r="I656" s="110"/>
      <c r="J656" s="110"/>
      <c r="K656" s="110"/>
      <c r="Q656" s="110"/>
      <c r="S656" s="110"/>
    </row>
    <row r="657" ht="15.75" customHeight="1">
      <c r="B657" s="110"/>
      <c r="I657" s="110"/>
      <c r="J657" s="110"/>
      <c r="K657" s="110"/>
      <c r="Q657" s="110"/>
      <c r="S657" s="110"/>
    </row>
    <row r="658" ht="15.75" customHeight="1">
      <c r="B658" s="110"/>
      <c r="I658" s="110"/>
      <c r="J658" s="110"/>
      <c r="K658" s="110"/>
      <c r="Q658" s="110"/>
      <c r="S658" s="110"/>
    </row>
    <row r="659" ht="15.75" customHeight="1">
      <c r="B659" s="110"/>
      <c r="I659" s="110"/>
      <c r="J659" s="110"/>
      <c r="K659" s="110"/>
      <c r="Q659" s="110"/>
      <c r="S659" s="110"/>
    </row>
    <row r="660" ht="15.75" customHeight="1">
      <c r="B660" s="110"/>
      <c r="I660" s="110"/>
      <c r="J660" s="110"/>
      <c r="K660" s="110"/>
      <c r="Q660" s="110"/>
      <c r="S660" s="110"/>
    </row>
    <row r="661" ht="15.75" customHeight="1">
      <c r="B661" s="110"/>
      <c r="I661" s="110"/>
      <c r="J661" s="110"/>
      <c r="K661" s="110"/>
      <c r="Q661" s="110"/>
      <c r="S661" s="110"/>
    </row>
    <row r="662" ht="15.75" customHeight="1">
      <c r="B662" s="110"/>
      <c r="I662" s="110"/>
      <c r="J662" s="110"/>
      <c r="K662" s="110"/>
      <c r="Q662" s="110"/>
      <c r="S662" s="110"/>
    </row>
    <row r="663" ht="15.75" customHeight="1">
      <c r="B663" s="110"/>
      <c r="I663" s="110"/>
      <c r="J663" s="110"/>
      <c r="K663" s="110"/>
      <c r="Q663" s="110"/>
      <c r="S663" s="110"/>
    </row>
    <row r="664" ht="15.75" customHeight="1">
      <c r="B664" s="110"/>
      <c r="I664" s="110"/>
      <c r="J664" s="110"/>
      <c r="K664" s="110"/>
      <c r="Q664" s="110"/>
      <c r="S664" s="110"/>
    </row>
    <row r="665" ht="15.75" customHeight="1">
      <c r="B665" s="110"/>
      <c r="I665" s="110"/>
      <c r="J665" s="110"/>
      <c r="K665" s="110"/>
      <c r="Q665" s="110"/>
      <c r="S665" s="110"/>
    </row>
    <row r="666" ht="15.75" customHeight="1">
      <c r="B666" s="110"/>
      <c r="I666" s="110"/>
      <c r="J666" s="110"/>
      <c r="K666" s="110"/>
      <c r="Q666" s="110"/>
      <c r="S666" s="110"/>
    </row>
    <row r="667" ht="15.75" customHeight="1">
      <c r="B667" s="110"/>
      <c r="I667" s="110"/>
      <c r="J667" s="110"/>
      <c r="K667" s="110"/>
      <c r="Q667" s="110"/>
      <c r="S667" s="110"/>
    </row>
    <row r="668" ht="15.75" customHeight="1">
      <c r="B668" s="110"/>
      <c r="I668" s="110"/>
      <c r="J668" s="110"/>
      <c r="K668" s="110"/>
      <c r="Q668" s="110"/>
      <c r="S668" s="110"/>
    </row>
    <row r="669" ht="15.75" customHeight="1">
      <c r="B669" s="110"/>
      <c r="I669" s="110"/>
      <c r="J669" s="110"/>
      <c r="K669" s="110"/>
      <c r="Q669" s="110"/>
      <c r="S669" s="110"/>
    </row>
    <row r="670" ht="15.75" customHeight="1">
      <c r="B670" s="110"/>
      <c r="I670" s="110"/>
      <c r="J670" s="110"/>
      <c r="K670" s="110"/>
      <c r="Q670" s="110"/>
      <c r="S670" s="110"/>
    </row>
    <row r="671" ht="15.75" customHeight="1">
      <c r="B671" s="110"/>
      <c r="I671" s="110"/>
      <c r="J671" s="110"/>
      <c r="K671" s="110"/>
      <c r="Q671" s="110"/>
      <c r="S671" s="110"/>
    </row>
    <row r="672" ht="15.75" customHeight="1">
      <c r="B672" s="110"/>
      <c r="I672" s="110"/>
      <c r="J672" s="110"/>
      <c r="K672" s="110"/>
      <c r="Q672" s="110"/>
      <c r="S672" s="110"/>
    </row>
    <row r="673" ht="15.75" customHeight="1">
      <c r="B673" s="110"/>
      <c r="I673" s="110"/>
      <c r="J673" s="110"/>
      <c r="K673" s="110"/>
      <c r="Q673" s="110"/>
      <c r="S673" s="110"/>
    </row>
    <row r="674" ht="15.75" customHeight="1">
      <c r="B674" s="110"/>
      <c r="I674" s="110"/>
      <c r="J674" s="110"/>
      <c r="K674" s="110"/>
      <c r="Q674" s="110"/>
      <c r="S674" s="110"/>
    </row>
    <row r="675" ht="15.75" customHeight="1">
      <c r="B675" s="110"/>
      <c r="I675" s="110"/>
      <c r="J675" s="110"/>
      <c r="K675" s="110"/>
      <c r="Q675" s="110"/>
      <c r="S675" s="110"/>
    </row>
    <row r="676" ht="15.75" customHeight="1">
      <c r="B676" s="110"/>
      <c r="I676" s="110"/>
      <c r="J676" s="110"/>
      <c r="K676" s="110"/>
      <c r="Q676" s="110"/>
      <c r="S676" s="110"/>
    </row>
    <row r="677" ht="15.75" customHeight="1">
      <c r="B677" s="110"/>
      <c r="I677" s="110"/>
      <c r="J677" s="110"/>
      <c r="K677" s="110"/>
      <c r="Q677" s="110"/>
      <c r="S677" s="110"/>
    </row>
    <row r="678" ht="15.75" customHeight="1">
      <c r="B678" s="110"/>
      <c r="I678" s="110"/>
      <c r="J678" s="110"/>
      <c r="K678" s="110"/>
      <c r="Q678" s="110"/>
      <c r="S678" s="110"/>
    </row>
    <row r="679" ht="15.75" customHeight="1">
      <c r="B679" s="110"/>
      <c r="I679" s="110"/>
      <c r="J679" s="110"/>
      <c r="K679" s="110"/>
      <c r="Q679" s="110"/>
      <c r="S679" s="110"/>
    </row>
    <row r="680" ht="15.75" customHeight="1">
      <c r="B680" s="110"/>
      <c r="I680" s="110"/>
      <c r="J680" s="110"/>
      <c r="K680" s="110"/>
      <c r="Q680" s="110"/>
      <c r="S680" s="110"/>
    </row>
    <row r="681" ht="15.75" customHeight="1">
      <c r="B681" s="110"/>
      <c r="I681" s="110"/>
      <c r="J681" s="110"/>
      <c r="K681" s="110"/>
      <c r="Q681" s="110"/>
      <c r="S681" s="110"/>
    </row>
    <row r="682" ht="15.75" customHeight="1">
      <c r="B682" s="110"/>
      <c r="I682" s="110"/>
      <c r="J682" s="110"/>
      <c r="K682" s="110"/>
      <c r="Q682" s="110"/>
      <c r="S682" s="110"/>
    </row>
    <row r="683" ht="15.75" customHeight="1">
      <c r="B683" s="110"/>
      <c r="I683" s="110"/>
      <c r="J683" s="110"/>
      <c r="K683" s="110"/>
      <c r="Q683" s="110"/>
      <c r="S683" s="110"/>
    </row>
    <row r="684" ht="15.75" customHeight="1">
      <c r="B684" s="110"/>
      <c r="I684" s="110"/>
      <c r="J684" s="110"/>
      <c r="K684" s="110"/>
      <c r="Q684" s="110"/>
      <c r="S684" s="110"/>
    </row>
    <row r="685" ht="15.75" customHeight="1">
      <c r="B685" s="110"/>
      <c r="I685" s="110"/>
      <c r="J685" s="110"/>
      <c r="K685" s="110"/>
      <c r="Q685" s="110"/>
      <c r="S685" s="110"/>
    </row>
    <row r="686" ht="15.75" customHeight="1">
      <c r="B686" s="110"/>
      <c r="I686" s="110"/>
      <c r="J686" s="110"/>
      <c r="K686" s="110"/>
      <c r="Q686" s="110"/>
      <c r="S686" s="110"/>
    </row>
    <row r="687" ht="15.75" customHeight="1">
      <c r="B687" s="110"/>
      <c r="I687" s="110"/>
      <c r="J687" s="110"/>
      <c r="K687" s="110"/>
      <c r="Q687" s="110"/>
      <c r="S687" s="110"/>
    </row>
    <row r="688" ht="15.75" customHeight="1">
      <c r="B688" s="110"/>
      <c r="I688" s="110"/>
      <c r="J688" s="110"/>
      <c r="K688" s="110"/>
      <c r="Q688" s="110"/>
      <c r="S688" s="110"/>
    </row>
    <row r="689" ht="15.75" customHeight="1">
      <c r="B689" s="110"/>
      <c r="I689" s="110"/>
      <c r="J689" s="110"/>
      <c r="K689" s="110"/>
      <c r="Q689" s="110"/>
      <c r="S689" s="110"/>
    </row>
    <row r="690" ht="15.75" customHeight="1">
      <c r="B690" s="110"/>
      <c r="I690" s="110"/>
      <c r="J690" s="110"/>
      <c r="K690" s="110"/>
      <c r="Q690" s="110"/>
      <c r="S690" s="110"/>
    </row>
    <row r="691" ht="15.75" customHeight="1">
      <c r="B691" s="110"/>
      <c r="I691" s="110"/>
      <c r="J691" s="110"/>
      <c r="K691" s="110"/>
      <c r="Q691" s="110"/>
      <c r="S691" s="110"/>
    </row>
    <row r="692" ht="15.75" customHeight="1">
      <c r="B692" s="110"/>
      <c r="I692" s="110"/>
      <c r="J692" s="110"/>
      <c r="K692" s="110"/>
      <c r="Q692" s="110"/>
      <c r="S692" s="110"/>
    </row>
    <row r="693" ht="15.75" customHeight="1">
      <c r="B693" s="110"/>
      <c r="I693" s="110"/>
      <c r="J693" s="110"/>
      <c r="K693" s="110"/>
      <c r="Q693" s="110"/>
      <c r="S693" s="110"/>
    </row>
    <row r="694" ht="15.75" customHeight="1">
      <c r="B694" s="110"/>
      <c r="I694" s="110"/>
      <c r="J694" s="110"/>
      <c r="K694" s="110"/>
      <c r="Q694" s="110"/>
      <c r="S694" s="110"/>
    </row>
    <row r="695" ht="15.75" customHeight="1">
      <c r="B695" s="110"/>
      <c r="I695" s="110"/>
      <c r="J695" s="110"/>
      <c r="K695" s="110"/>
      <c r="Q695" s="110"/>
      <c r="S695" s="110"/>
    </row>
    <row r="696" ht="15.75" customHeight="1">
      <c r="B696" s="110"/>
      <c r="I696" s="110"/>
      <c r="J696" s="110"/>
      <c r="K696" s="110"/>
      <c r="Q696" s="110"/>
      <c r="S696" s="110"/>
    </row>
    <row r="697" ht="15.75" customHeight="1">
      <c r="B697" s="110"/>
      <c r="I697" s="110"/>
      <c r="J697" s="110"/>
      <c r="K697" s="110"/>
      <c r="Q697" s="110"/>
      <c r="S697" s="110"/>
    </row>
    <row r="698" ht="15.75" customHeight="1">
      <c r="B698" s="110"/>
      <c r="I698" s="110"/>
      <c r="J698" s="110"/>
      <c r="K698" s="110"/>
      <c r="Q698" s="110"/>
      <c r="S698" s="110"/>
    </row>
    <row r="699" ht="15.75" customHeight="1">
      <c r="B699" s="110"/>
      <c r="I699" s="110"/>
      <c r="J699" s="110"/>
      <c r="K699" s="110"/>
      <c r="Q699" s="110"/>
      <c r="S699" s="110"/>
    </row>
    <row r="700" ht="15.75" customHeight="1">
      <c r="B700" s="110"/>
      <c r="I700" s="110"/>
      <c r="J700" s="110"/>
      <c r="K700" s="110"/>
      <c r="Q700" s="110"/>
      <c r="S700" s="110"/>
    </row>
    <row r="701" ht="15.75" customHeight="1">
      <c r="B701" s="110"/>
      <c r="I701" s="110"/>
      <c r="J701" s="110"/>
      <c r="K701" s="110"/>
      <c r="Q701" s="110"/>
      <c r="S701" s="110"/>
    </row>
    <row r="702" ht="15.75" customHeight="1">
      <c r="B702" s="110"/>
      <c r="I702" s="110"/>
      <c r="J702" s="110"/>
      <c r="K702" s="110"/>
      <c r="Q702" s="110"/>
      <c r="S702" s="110"/>
    </row>
    <row r="703" ht="15.75" customHeight="1">
      <c r="B703" s="110"/>
      <c r="I703" s="110"/>
      <c r="J703" s="110"/>
      <c r="K703" s="110"/>
      <c r="Q703" s="110"/>
      <c r="S703" s="110"/>
    </row>
    <row r="704" ht="15.75" customHeight="1">
      <c r="B704" s="110"/>
      <c r="I704" s="110"/>
      <c r="J704" s="110"/>
      <c r="K704" s="110"/>
      <c r="Q704" s="110"/>
      <c r="S704" s="110"/>
    </row>
    <row r="705" ht="15.75" customHeight="1">
      <c r="B705" s="110"/>
      <c r="I705" s="110"/>
      <c r="J705" s="110"/>
      <c r="K705" s="110"/>
      <c r="Q705" s="110"/>
      <c r="S705" s="110"/>
    </row>
    <row r="706" ht="15.75" customHeight="1">
      <c r="B706" s="110"/>
      <c r="I706" s="110"/>
      <c r="J706" s="110"/>
      <c r="K706" s="110"/>
      <c r="Q706" s="110"/>
      <c r="S706" s="110"/>
    </row>
    <row r="707" ht="15.75" customHeight="1">
      <c r="B707" s="110"/>
      <c r="I707" s="110"/>
      <c r="J707" s="110"/>
      <c r="K707" s="110"/>
      <c r="Q707" s="110"/>
      <c r="S707" s="110"/>
    </row>
    <row r="708" ht="15.75" customHeight="1">
      <c r="B708" s="110"/>
      <c r="I708" s="110"/>
      <c r="J708" s="110"/>
      <c r="K708" s="110"/>
      <c r="Q708" s="110"/>
      <c r="S708" s="110"/>
    </row>
    <row r="709" ht="15.75" customHeight="1">
      <c r="B709" s="110"/>
      <c r="I709" s="110"/>
      <c r="J709" s="110"/>
      <c r="K709" s="110"/>
      <c r="Q709" s="110"/>
      <c r="S709" s="110"/>
    </row>
    <row r="710" ht="15.75" customHeight="1">
      <c r="B710" s="110"/>
      <c r="I710" s="110"/>
      <c r="J710" s="110"/>
      <c r="K710" s="110"/>
      <c r="Q710" s="110"/>
      <c r="S710" s="110"/>
    </row>
    <row r="711" ht="15.75" customHeight="1">
      <c r="B711" s="110"/>
      <c r="I711" s="110"/>
      <c r="J711" s="110"/>
      <c r="K711" s="110"/>
      <c r="Q711" s="110"/>
      <c r="S711" s="110"/>
    </row>
    <row r="712" ht="15.75" customHeight="1">
      <c r="B712" s="110"/>
      <c r="I712" s="110"/>
      <c r="J712" s="110"/>
      <c r="K712" s="110"/>
      <c r="Q712" s="110"/>
      <c r="S712" s="110"/>
    </row>
    <row r="713" ht="15.75" customHeight="1">
      <c r="B713" s="110"/>
      <c r="I713" s="110"/>
      <c r="J713" s="110"/>
      <c r="K713" s="110"/>
      <c r="Q713" s="110"/>
      <c r="S713" s="110"/>
    </row>
    <row r="714" ht="15.75" customHeight="1">
      <c r="B714" s="110"/>
      <c r="I714" s="110"/>
      <c r="J714" s="110"/>
      <c r="K714" s="110"/>
      <c r="Q714" s="110"/>
      <c r="S714" s="110"/>
    </row>
    <row r="715" ht="15.75" customHeight="1">
      <c r="B715" s="110"/>
      <c r="I715" s="110"/>
      <c r="J715" s="110"/>
      <c r="K715" s="110"/>
      <c r="Q715" s="110"/>
      <c r="S715" s="110"/>
    </row>
    <row r="716" ht="15.75" customHeight="1">
      <c r="B716" s="110"/>
      <c r="I716" s="110"/>
      <c r="J716" s="110"/>
      <c r="K716" s="110"/>
      <c r="Q716" s="110"/>
      <c r="S716" s="110"/>
    </row>
    <row r="717" ht="15.75" customHeight="1">
      <c r="B717" s="110"/>
      <c r="I717" s="110"/>
      <c r="J717" s="110"/>
      <c r="K717" s="110"/>
      <c r="Q717" s="110"/>
      <c r="S717" s="110"/>
    </row>
    <row r="718" ht="15.75" customHeight="1">
      <c r="B718" s="110"/>
      <c r="I718" s="110"/>
      <c r="J718" s="110"/>
      <c r="K718" s="110"/>
      <c r="Q718" s="110"/>
      <c r="S718" s="110"/>
    </row>
    <row r="719" ht="15.75" customHeight="1">
      <c r="B719" s="110"/>
      <c r="I719" s="110"/>
      <c r="J719" s="110"/>
      <c r="K719" s="110"/>
      <c r="Q719" s="110"/>
      <c r="S719" s="110"/>
    </row>
    <row r="720" ht="15.75" customHeight="1">
      <c r="B720" s="110"/>
      <c r="I720" s="110"/>
      <c r="J720" s="110"/>
      <c r="K720" s="110"/>
      <c r="Q720" s="110"/>
      <c r="S720" s="110"/>
    </row>
    <row r="721" ht="15.75" customHeight="1">
      <c r="B721" s="110"/>
      <c r="I721" s="110"/>
      <c r="J721" s="110"/>
      <c r="K721" s="110"/>
      <c r="Q721" s="110"/>
      <c r="S721" s="110"/>
    </row>
    <row r="722" ht="15.75" customHeight="1">
      <c r="B722" s="110"/>
      <c r="I722" s="110"/>
      <c r="J722" s="110"/>
      <c r="K722" s="110"/>
      <c r="Q722" s="110"/>
      <c r="S722" s="110"/>
    </row>
    <row r="723" ht="15.75" customHeight="1">
      <c r="B723" s="110"/>
      <c r="I723" s="110"/>
      <c r="J723" s="110"/>
      <c r="K723" s="110"/>
      <c r="Q723" s="110"/>
      <c r="S723" s="110"/>
    </row>
    <row r="724" ht="15.75" customHeight="1">
      <c r="B724" s="110"/>
      <c r="I724" s="110"/>
      <c r="J724" s="110"/>
      <c r="K724" s="110"/>
      <c r="Q724" s="110"/>
      <c r="S724" s="110"/>
    </row>
    <row r="725" ht="15.75" customHeight="1">
      <c r="B725" s="110"/>
      <c r="I725" s="110"/>
      <c r="J725" s="110"/>
      <c r="K725" s="110"/>
      <c r="Q725" s="110"/>
      <c r="S725" s="110"/>
    </row>
    <row r="726" ht="15.75" customHeight="1">
      <c r="B726" s="110"/>
      <c r="I726" s="110"/>
      <c r="J726" s="110"/>
      <c r="K726" s="110"/>
      <c r="Q726" s="110"/>
      <c r="S726" s="110"/>
    </row>
    <row r="727" ht="15.75" customHeight="1">
      <c r="B727" s="110"/>
      <c r="I727" s="110"/>
      <c r="J727" s="110"/>
      <c r="K727" s="110"/>
      <c r="Q727" s="110"/>
      <c r="S727" s="110"/>
    </row>
    <row r="728" ht="15.75" customHeight="1">
      <c r="B728" s="110"/>
      <c r="I728" s="110"/>
      <c r="J728" s="110"/>
      <c r="K728" s="110"/>
      <c r="Q728" s="110"/>
      <c r="S728" s="110"/>
    </row>
    <row r="729" ht="15.75" customHeight="1">
      <c r="B729" s="110"/>
      <c r="I729" s="110"/>
      <c r="J729" s="110"/>
      <c r="K729" s="110"/>
      <c r="Q729" s="110"/>
      <c r="S729" s="110"/>
    </row>
    <row r="730" ht="15.75" customHeight="1">
      <c r="B730" s="110"/>
      <c r="I730" s="110"/>
      <c r="J730" s="110"/>
      <c r="K730" s="110"/>
      <c r="Q730" s="110"/>
      <c r="S730" s="110"/>
    </row>
    <row r="731" ht="15.75" customHeight="1">
      <c r="B731" s="110"/>
      <c r="I731" s="110"/>
      <c r="J731" s="110"/>
      <c r="K731" s="110"/>
      <c r="Q731" s="110"/>
      <c r="S731" s="110"/>
    </row>
    <row r="732" ht="15.75" customHeight="1">
      <c r="B732" s="110"/>
      <c r="I732" s="110"/>
      <c r="J732" s="110"/>
      <c r="K732" s="110"/>
      <c r="Q732" s="110"/>
      <c r="S732" s="110"/>
    </row>
    <row r="733" ht="15.75" customHeight="1">
      <c r="B733" s="110"/>
      <c r="I733" s="110"/>
      <c r="J733" s="110"/>
      <c r="K733" s="110"/>
      <c r="Q733" s="110"/>
      <c r="S733" s="110"/>
    </row>
    <row r="734" ht="15.75" customHeight="1">
      <c r="B734" s="110"/>
      <c r="I734" s="110"/>
      <c r="J734" s="110"/>
      <c r="K734" s="110"/>
      <c r="Q734" s="110"/>
      <c r="S734" s="110"/>
    </row>
    <row r="735" ht="15.75" customHeight="1">
      <c r="B735" s="110"/>
      <c r="I735" s="110"/>
      <c r="J735" s="110"/>
      <c r="K735" s="110"/>
      <c r="Q735" s="110"/>
      <c r="S735" s="110"/>
    </row>
    <row r="736" ht="15.75" customHeight="1">
      <c r="B736" s="110"/>
      <c r="I736" s="110"/>
      <c r="J736" s="110"/>
      <c r="K736" s="110"/>
      <c r="Q736" s="110"/>
      <c r="S736" s="110"/>
    </row>
    <row r="737" ht="15.75" customHeight="1">
      <c r="B737" s="110"/>
      <c r="I737" s="110"/>
      <c r="J737" s="110"/>
      <c r="K737" s="110"/>
      <c r="Q737" s="110"/>
      <c r="S737" s="110"/>
    </row>
    <row r="738" ht="15.75" customHeight="1">
      <c r="B738" s="110"/>
      <c r="I738" s="110"/>
      <c r="J738" s="110"/>
      <c r="K738" s="110"/>
      <c r="Q738" s="110"/>
      <c r="S738" s="110"/>
    </row>
    <row r="739" ht="15.75" customHeight="1">
      <c r="B739" s="110"/>
      <c r="I739" s="110"/>
      <c r="J739" s="110"/>
      <c r="K739" s="110"/>
      <c r="Q739" s="110"/>
      <c r="S739" s="110"/>
    </row>
    <row r="740" ht="15.75" customHeight="1">
      <c r="B740" s="110"/>
      <c r="I740" s="110"/>
      <c r="J740" s="110"/>
      <c r="K740" s="110"/>
      <c r="Q740" s="110"/>
      <c r="S740" s="110"/>
    </row>
    <row r="741" ht="15.75" customHeight="1">
      <c r="B741" s="110"/>
      <c r="I741" s="110"/>
      <c r="J741" s="110"/>
      <c r="K741" s="110"/>
      <c r="Q741" s="110"/>
      <c r="S741" s="110"/>
    </row>
    <row r="742" ht="15.75" customHeight="1">
      <c r="B742" s="110"/>
      <c r="I742" s="110"/>
      <c r="J742" s="110"/>
      <c r="K742" s="110"/>
      <c r="Q742" s="110"/>
      <c r="S742" s="110"/>
    </row>
    <row r="743" ht="15.75" customHeight="1">
      <c r="B743" s="110"/>
      <c r="I743" s="110"/>
      <c r="J743" s="110"/>
      <c r="K743" s="110"/>
      <c r="Q743" s="110"/>
      <c r="S743" s="110"/>
    </row>
    <row r="744" ht="15.75" customHeight="1">
      <c r="B744" s="110"/>
      <c r="I744" s="110"/>
      <c r="J744" s="110"/>
      <c r="K744" s="110"/>
      <c r="Q744" s="110"/>
      <c r="S744" s="110"/>
    </row>
    <row r="745" ht="15.75" customHeight="1">
      <c r="B745" s="110"/>
      <c r="I745" s="110"/>
      <c r="J745" s="110"/>
      <c r="K745" s="110"/>
      <c r="Q745" s="110"/>
      <c r="S745" s="110"/>
    </row>
    <row r="746" ht="15.75" customHeight="1">
      <c r="B746" s="110"/>
      <c r="I746" s="110"/>
      <c r="J746" s="110"/>
      <c r="K746" s="110"/>
      <c r="Q746" s="110"/>
      <c r="S746" s="110"/>
    </row>
    <row r="747" ht="15.75" customHeight="1">
      <c r="B747" s="110"/>
      <c r="I747" s="110"/>
      <c r="J747" s="110"/>
      <c r="K747" s="110"/>
      <c r="Q747" s="110"/>
      <c r="S747" s="110"/>
    </row>
    <row r="748" ht="15.75" customHeight="1">
      <c r="B748" s="110"/>
      <c r="I748" s="110"/>
      <c r="J748" s="110"/>
      <c r="K748" s="110"/>
      <c r="Q748" s="110"/>
      <c r="S748" s="110"/>
    </row>
    <row r="749" ht="15.75" customHeight="1">
      <c r="B749" s="110"/>
      <c r="I749" s="110"/>
      <c r="J749" s="110"/>
      <c r="K749" s="110"/>
      <c r="Q749" s="110"/>
      <c r="S749" s="110"/>
    </row>
    <row r="750" ht="15.75" customHeight="1">
      <c r="B750" s="110"/>
      <c r="I750" s="110"/>
      <c r="J750" s="110"/>
      <c r="K750" s="110"/>
      <c r="Q750" s="110"/>
      <c r="S750" s="110"/>
    </row>
    <row r="751" ht="15.75" customHeight="1">
      <c r="B751" s="110"/>
      <c r="I751" s="110"/>
      <c r="J751" s="110"/>
      <c r="K751" s="110"/>
      <c r="Q751" s="110"/>
      <c r="S751" s="110"/>
    </row>
    <row r="752" ht="15.75" customHeight="1">
      <c r="B752" s="110"/>
      <c r="I752" s="110"/>
      <c r="J752" s="110"/>
      <c r="K752" s="110"/>
      <c r="Q752" s="110"/>
      <c r="S752" s="110"/>
    </row>
    <row r="753" ht="15.75" customHeight="1">
      <c r="B753" s="110"/>
      <c r="I753" s="110"/>
      <c r="J753" s="110"/>
      <c r="K753" s="110"/>
      <c r="Q753" s="110"/>
      <c r="S753" s="110"/>
    </row>
    <row r="754" ht="15.75" customHeight="1">
      <c r="B754" s="110"/>
      <c r="I754" s="110"/>
      <c r="J754" s="110"/>
      <c r="K754" s="110"/>
      <c r="Q754" s="110"/>
      <c r="S754" s="110"/>
    </row>
    <row r="755" ht="15.75" customHeight="1">
      <c r="B755" s="110"/>
      <c r="I755" s="110"/>
      <c r="J755" s="110"/>
      <c r="K755" s="110"/>
      <c r="Q755" s="110"/>
      <c r="S755" s="110"/>
    </row>
    <row r="756" ht="15.75" customHeight="1">
      <c r="B756" s="110"/>
      <c r="I756" s="110"/>
      <c r="J756" s="110"/>
      <c r="K756" s="110"/>
      <c r="Q756" s="110"/>
      <c r="S756" s="110"/>
    </row>
    <row r="757" ht="15.75" customHeight="1">
      <c r="B757" s="110"/>
      <c r="I757" s="110"/>
      <c r="J757" s="110"/>
      <c r="K757" s="110"/>
      <c r="Q757" s="110"/>
      <c r="S757" s="110"/>
    </row>
    <row r="758" ht="15.75" customHeight="1">
      <c r="B758" s="110"/>
      <c r="I758" s="110"/>
      <c r="J758" s="110"/>
      <c r="K758" s="110"/>
      <c r="Q758" s="110"/>
      <c r="S758" s="110"/>
    </row>
    <row r="759" ht="15.75" customHeight="1">
      <c r="B759" s="110"/>
      <c r="I759" s="110"/>
      <c r="J759" s="110"/>
      <c r="K759" s="110"/>
      <c r="Q759" s="110"/>
      <c r="S759" s="110"/>
    </row>
    <row r="760" ht="15.75" customHeight="1">
      <c r="B760" s="110"/>
      <c r="I760" s="110"/>
      <c r="J760" s="110"/>
      <c r="K760" s="110"/>
      <c r="Q760" s="110"/>
      <c r="S760" s="110"/>
    </row>
    <row r="761" ht="15.75" customHeight="1">
      <c r="B761" s="110"/>
      <c r="I761" s="110"/>
      <c r="J761" s="110"/>
      <c r="K761" s="110"/>
      <c r="Q761" s="110"/>
      <c r="S761" s="110"/>
    </row>
    <row r="762" ht="15.75" customHeight="1">
      <c r="B762" s="110"/>
      <c r="I762" s="110"/>
      <c r="J762" s="110"/>
      <c r="K762" s="110"/>
      <c r="Q762" s="110"/>
      <c r="S762" s="110"/>
    </row>
    <row r="763" ht="15.75" customHeight="1">
      <c r="B763" s="110"/>
      <c r="I763" s="110"/>
      <c r="J763" s="110"/>
      <c r="K763" s="110"/>
      <c r="Q763" s="110"/>
      <c r="S763" s="110"/>
    </row>
    <row r="764" ht="15.75" customHeight="1">
      <c r="B764" s="110"/>
      <c r="I764" s="110"/>
      <c r="J764" s="110"/>
      <c r="K764" s="110"/>
      <c r="Q764" s="110"/>
      <c r="S764" s="110"/>
    </row>
    <row r="765" ht="15.75" customHeight="1">
      <c r="B765" s="110"/>
      <c r="I765" s="110"/>
      <c r="J765" s="110"/>
      <c r="K765" s="110"/>
      <c r="Q765" s="110"/>
      <c r="S765" s="110"/>
    </row>
    <row r="766" ht="15.75" customHeight="1">
      <c r="B766" s="110"/>
      <c r="I766" s="110"/>
      <c r="J766" s="110"/>
      <c r="K766" s="110"/>
      <c r="Q766" s="110"/>
      <c r="S766" s="110"/>
    </row>
    <row r="767" ht="15.75" customHeight="1">
      <c r="B767" s="110"/>
      <c r="I767" s="110"/>
      <c r="J767" s="110"/>
      <c r="K767" s="110"/>
      <c r="Q767" s="110"/>
      <c r="S767" s="110"/>
    </row>
    <row r="768" ht="15.75" customHeight="1">
      <c r="B768" s="110"/>
      <c r="I768" s="110"/>
      <c r="J768" s="110"/>
      <c r="K768" s="110"/>
      <c r="Q768" s="110"/>
      <c r="S768" s="110"/>
    </row>
    <row r="769" ht="15.75" customHeight="1">
      <c r="B769" s="110"/>
      <c r="I769" s="110"/>
      <c r="J769" s="110"/>
      <c r="K769" s="110"/>
      <c r="Q769" s="110"/>
      <c r="S769" s="110"/>
    </row>
    <row r="770" ht="15.75" customHeight="1">
      <c r="B770" s="110"/>
      <c r="I770" s="110"/>
      <c r="J770" s="110"/>
      <c r="K770" s="110"/>
      <c r="Q770" s="110"/>
      <c r="S770" s="110"/>
    </row>
    <row r="771" ht="15.75" customHeight="1">
      <c r="B771" s="110"/>
      <c r="I771" s="110"/>
      <c r="J771" s="110"/>
      <c r="K771" s="110"/>
      <c r="Q771" s="110"/>
      <c r="S771" s="110"/>
    </row>
    <row r="772" ht="15.75" customHeight="1">
      <c r="B772" s="110"/>
      <c r="I772" s="110"/>
      <c r="J772" s="110"/>
      <c r="K772" s="110"/>
      <c r="Q772" s="110"/>
      <c r="S772" s="110"/>
    </row>
    <row r="773" ht="15.75" customHeight="1">
      <c r="B773" s="110"/>
      <c r="I773" s="110"/>
      <c r="J773" s="110"/>
      <c r="K773" s="110"/>
      <c r="Q773" s="110"/>
      <c r="S773" s="110"/>
    </row>
    <row r="774" ht="15.75" customHeight="1">
      <c r="B774" s="110"/>
      <c r="I774" s="110"/>
      <c r="J774" s="110"/>
      <c r="K774" s="110"/>
      <c r="Q774" s="110"/>
      <c r="S774" s="110"/>
    </row>
    <row r="775" ht="15.75" customHeight="1">
      <c r="B775" s="110"/>
      <c r="I775" s="110"/>
      <c r="J775" s="110"/>
      <c r="K775" s="110"/>
      <c r="Q775" s="110"/>
      <c r="S775" s="110"/>
    </row>
    <row r="776" ht="15.75" customHeight="1">
      <c r="B776" s="110"/>
      <c r="I776" s="110"/>
      <c r="J776" s="110"/>
      <c r="K776" s="110"/>
      <c r="Q776" s="110"/>
      <c r="S776" s="110"/>
    </row>
    <row r="777" ht="15.75" customHeight="1">
      <c r="B777" s="110"/>
      <c r="I777" s="110"/>
      <c r="J777" s="110"/>
      <c r="K777" s="110"/>
      <c r="Q777" s="110"/>
      <c r="S777" s="110"/>
    </row>
    <row r="778" ht="15.75" customHeight="1">
      <c r="B778" s="110"/>
      <c r="I778" s="110"/>
      <c r="J778" s="110"/>
      <c r="K778" s="110"/>
      <c r="Q778" s="110"/>
      <c r="S778" s="110"/>
    </row>
    <row r="779" ht="15.75" customHeight="1">
      <c r="B779" s="110"/>
      <c r="I779" s="110"/>
      <c r="J779" s="110"/>
      <c r="K779" s="110"/>
      <c r="Q779" s="110"/>
      <c r="S779" s="110"/>
    </row>
    <row r="780" ht="15.75" customHeight="1">
      <c r="B780" s="110"/>
      <c r="I780" s="110"/>
      <c r="J780" s="110"/>
      <c r="K780" s="110"/>
      <c r="Q780" s="110"/>
      <c r="S780" s="110"/>
    </row>
    <row r="781" ht="15.75" customHeight="1">
      <c r="B781" s="110"/>
      <c r="I781" s="110"/>
      <c r="J781" s="110"/>
      <c r="K781" s="110"/>
      <c r="Q781" s="110"/>
      <c r="S781" s="110"/>
    </row>
    <row r="782" ht="15.75" customHeight="1">
      <c r="B782" s="110"/>
      <c r="I782" s="110"/>
      <c r="J782" s="110"/>
      <c r="K782" s="110"/>
      <c r="Q782" s="110"/>
      <c r="S782" s="110"/>
    </row>
    <row r="783" ht="15.75" customHeight="1">
      <c r="B783" s="110"/>
      <c r="I783" s="110"/>
      <c r="J783" s="110"/>
      <c r="K783" s="110"/>
      <c r="Q783" s="110"/>
      <c r="S783" s="110"/>
    </row>
    <row r="784" ht="15.75" customHeight="1">
      <c r="B784" s="110"/>
      <c r="I784" s="110"/>
      <c r="J784" s="110"/>
      <c r="K784" s="110"/>
      <c r="Q784" s="110"/>
      <c r="S784" s="110"/>
    </row>
    <row r="785" ht="15.75" customHeight="1">
      <c r="B785" s="110"/>
      <c r="I785" s="110"/>
      <c r="J785" s="110"/>
      <c r="K785" s="110"/>
      <c r="Q785" s="110"/>
      <c r="S785" s="110"/>
    </row>
    <row r="786" ht="15.75" customHeight="1">
      <c r="B786" s="110"/>
      <c r="I786" s="110"/>
      <c r="J786" s="110"/>
      <c r="K786" s="110"/>
      <c r="Q786" s="110"/>
      <c r="S786" s="110"/>
    </row>
    <row r="787" ht="15.75" customHeight="1">
      <c r="B787" s="110"/>
      <c r="I787" s="110"/>
      <c r="J787" s="110"/>
      <c r="K787" s="110"/>
      <c r="Q787" s="110"/>
      <c r="S787" s="110"/>
    </row>
    <row r="788" ht="15.75" customHeight="1">
      <c r="B788" s="110"/>
      <c r="I788" s="110"/>
      <c r="J788" s="110"/>
      <c r="K788" s="110"/>
      <c r="Q788" s="110"/>
      <c r="S788" s="110"/>
    </row>
    <row r="789" ht="15.75" customHeight="1">
      <c r="B789" s="110"/>
      <c r="I789" s="110"/>
      <c r="J789" s="110"/>
      <c r="K789" s="110"/>
      <c r="Q789" s="110"/>
      <c r="S789" s="110"/>
    </row>
    <row r="790" ht="15.75" customHeight="1">
      <c r="B790" s="110"/>
      <c r="I790" s="110"/>
      <c r="J790" s="110"/>
      <c r="K790" s="110"/>
      <c r="Q790" s="110"/>
      <c r="S790" s="110"/>
    </row>
    <row r="791" ht="15.75" customHeight="1">
      <c r="B791" s="110"/>
      <c r="I791" s="110"/>
      <c r="J791" s="110"/>
      <c r="K791" s="110"/>
      <c r="Q791" s="110"/>
      <c r="S791" s="110"/>
    </row>
    <row r="792" ht="15.75" customHeight="1">
      <c r="B792" s="110"/>
      <c r="I792" s="110"/>
      <c r="J792" s="110"/>
      <c r="K792" s="110"/>
      <c r="Q792" s="110"/>
      <c r="S792" s="110"/>
    </row>
    <row r="793" ht="15.75" customHeight="1">
      <c r="B793" s="110"/>
      <c r="I793" s="110"/>
      <c r="J793" s="110"/>
      <c r="K793" s="110"/>
      <c r="Q793" s="110"/>
      <c r="S793" s="110"/>
    </row>
    <row r="794" ht="15.75" customHeight="1">
      <c r="B794" s="110"/>
      <c r="I794" s="110"/>
      <c r="J794" s="110"/>
      <c r="K794" s="110"/>
      <c r="Q794" s="110"/>
      <c r="S794" s="110"/>
    </row>
    <row r="795" ht="15.75" customHeight="1">
      <c r="B795" s="110"/>
      <c r="I795" s="110"/>
      <c r="J795" s="110"/>
      <c r="K795" s="110"/>
      <c r="Q795" s="110"/>
      <c r="S795" s="110"/>
    </row>
    <row r="796" ht="15.75" customHeight="1">
      <c r="B796" s="110"/>
      <c r="I796" s="110"/>
      <c r="J796" s="110"/>
      <c r="K796" s="110"/>
      <c r="Q796" s="110"/>
      <c r="S796" s="110"/>
    </row>
    <row r="797" ht="15.75" customHeight="1">
      <c r="B797" s="110"/>
      <c r="I797" s="110"/>
      <c r="J797" s="110"/>
      <c r="K797" s="110"/>
      <c r="Q797" s="110"/>
      <c r="S797" s="110"/>
    </row>
    <row r="798" ht="15.75" customHeight="1">
      <c r="B798" s="110"/>
      <c r="I798" s="110"/>
      <c r="J798" s="110"/>
      <c r="K798" s="110"/>
      <c r="Q798" s="110"/>
      <c r="S798" s="110"/>
    </row>
    <row r="799" ht="15.75" customHeight="1">
      <c r="B799" s="110"/>
      <c r="I799" s="110"/>
      <c r="J799" s="110"/>
      <c r="K799" s="110"/>
      <c r="Q799" s="110"/>
      <c r="S799" s="110"/>
    </row>
    <row r="800" ht="15.75" customHeight="1">
      <c r="B800" s="110"/>
      <c r="I800" s="110"/>
      <c r="J800" s="110"/>
      <c r="K800" s="110"/>
      <c r="Q800" s="110"/>
      <c r="S800" s="110"/>
    </row>
    <row r="801" ht="15.75" customHeight="1">
      <c r="B801" s="110"/>
      <c r="I801" s="110"/>
      <c r="J801" s="110"/>
      <c r="K801" s="110"/>
      <c r="Q801" s="110"/>
      <c r="S801" s="110"/>
    </row>
    <row r="802" ht="15.75" customHeight="1">
      <c r="B802" s="110"/>
      <c r="I802" s="110"/>
      <c r="J802" s="110"/>
      <c r="K802" s="110"/>
      <c r="Q802" s="110"/>
      <c r="S802" s="110"/>
    </row>
    <row r="803" ht="15.75" customHeight="1">
      <c r="B803" s="110"/>
      <c r="I803" s="110"/>
      <c r="J803" s="110"/>
      <c r="K803" s="110"/>
      <c r="Q803" s="110"/>
      <c r="S803" s="110"/>
    </row>
    <row r="804" ht="15.75" customHeight="1">
      <c r="B804" s="110"/>
      <c r="I804" s="110"/>
      <c r="J804" s="110"/>
      <c r="K804" s="110"/>
      <c r="Q804" s="110"/>
      <c r="S804" s="110"/>
    </row>
    <row r="805" ht="15.75" customHeight="1">
      <c r="B805" s="110"/>
      <c r="I805" s="110"/>
      <c r="J805" s="110"/>
      <c r="K805" s="110"/>
      <c r="Q805" s="110"/>
      <c r="S805" s="110"/>
    </row>
    <row r="806" ht="15.75" customHeight="1">
      <c r="B806" s="110"/>
      <c r="I806" s="110"/>
      <c r="J806" s="110"/>
      <c r="K806" s="110"/>
      <c r="Q806" s="110"/>
      <c r="S806" s="110"/>
    </row>
    <row r="807" ht="15.75" customHeight="1">
      <c r="B807" s="110"/>
      <c r="I807" s="110"/>
      <c r="J807" s="110"/>
      <c r="K807" s="110"/>
      <c r="Q807" s="110"/>
      <c r="S807" s="110"/>
    </row>
    <row r="808" ht="15.75" customHeight="1">
      <c r="B808" s="110"/>
      <c r="I808" s="110"/>
      <c r="J808" s="110"/>
      <c r="K808" s="110"/>
      <c r="Q808" s="110"/>
      <c r="S808" s="110"/>
    </row>
    <row r="809" ht="15.75" customHeight="1">
      <c r="B809" s="110"/>
      <c r="I809" s="110"/>
      <c r="J809" s="110"/>
      <c r="K809" s="110"/>
      <c r="Q809" s="110"/>
      <c r="S809" s="110"/>
    </row>
    <row r="810" ht="15.75" customHeight="1">
      <c r="B810" s="110"/>
      <c r="I810" s="110"/>
      <c r="J810" s="110"/>
      <c r="K810" s="110"/>
      <c r="Q810" s="110"/>
      <c r="S810" s="110"/>
    </row>
    <row r="811" ht="15.75" customHeight="1">
      <c r="B811" s="110"/>
      <c r="I811" s="110"/>
      <c r="J811" s="110"/>
      <c r="K811" s="110"/>
      <c r="Q811" s="110"/>
      <c r="S811" s="110"/>
    </row>
    <row r="812" ht="15.75" customHeight="1">
      <c r="B812" s="110"/>
      <c r="I812" s="110"/>
      <c r="J812" s="110"/>
      <c r="K812" s="110"/>
      <c r="Q812" s="110"/>
      <c r="S812" s="110"/>
    </row>
    <row r="813" ht="15.75" customHeight="1">
      <c r="B813" s="110"/>
      <c r="I813" s="110"/>
      <c r="J813" s="110"/>
      <c r="K813" s="110"/>
      <c r="Q813" s="110"/>
      <c r="S813" s="110"/>
    </row>
    <row r="814" ht="15.75" customHeight="1">
      <c r="B814" s="110"/>
      <c r="I814" s="110"/>
      <c r="J814" s="110"/>
      <c r="K814" s="110"/>
      <c r="Q814" s="110"/>
      <c r="S814" s="110"/>
    </row>
    <row r="815" ht="15.75" customHeight="1">
      <c r="B815" s="110"/>
      <c r="I815" s="110"/>
      <c r="J815" s="110"/>
      <c r="K815" s="110"/>
      <c r="Q815" s="110"/>
      <c r="S815" s="110"/>
    </row>
    <row r="816" ht="15.75" customHeight="1">
      <c r="B816" s="110"/>
      <c r="I816" s="110"/>
      <c r="J816" s="110"/>
      <c r="K816" s="110"/>
      <c r="Q816" s="110"/>
      <c r="S816" s="110"/>
    </row>
    <row r="817" ht="15.75" customHeight="1">
      <c r="B817" s="110"/>
      <c r="I817" s="110"/>
      <c r="J817" s="110"/>
      <c r="K817" s="110"/>
      <c r="Q817" s="110"/>
      <c r="S817" s="110"/>
    </row>
    <row r="818" ht="15.75" customHeight="1">
      <c r="B818" s="110"/>
      <c r="I818" s="110"/>
      <c r="J818" s="110"/>
      <c r="K818" s="110"/>
      <c r="Q818" s="110"/>
      <c r="S818" s="110"/>
    </row>
    <row r="819" ht="15.75" customHeight="1">
      <c r="B819" s="110"/>
      <c r="I819" s="110"/>
      <c r="J819" s="110"/>
      <c r="K819" s="110"/>
      <c r="Q819" s="110"/>
      <c r="S819" s="110"/>
    </row>
    <row r="820" ht="15.75" customHeight="1">
      <c r="B820" s="110"/>
      <c r="I820" s="110"/>
      <c r="J820" s="110"/>
      <c r="K820" s="110"/>
      <c r="Q820" s="110"/>
      <c r="S820" s="110"/>
    </row>
    <row r="821" ht="15.75" customHeight="1">
      <c r="B821" s="110"/>
      <c r="I821" s="110"/>
      <c r="J821" s="110"/>
      <c r="K821" s="110"/>
      <c r="Q821" s="110"/>
      <c r="S821" s="110"/>
    </row>
    <row r="822" ht="15.75" customHeight="1">
      <c r="B822" s="110"/>
      <c r="I822" s="110"/>
      <c r="J822" s="110"/>
      <c r="K822" s="110"/>
      <c r="Q822" s="110"/>
      <c r="S822" s="110"/>
    </row>
    <row r="823" ht="15.75" customHeight="1">
      <c r="B823" s="110"/>
      <c r="I823" s="110"/>
      <c r="J823" s="110"/>
      <c r="K823" s="110"/>
      <c r="Q823" s="110"/>
      <c r="S823" s="110"/>
    </row>
    <row r="824" ht="15.75" customHeight="1">
      <c r="B824" s="110"/>
      <c r="I824" s="110"/>
      <c r="J824" s="110"/>
      <c r="K824" s="110"/>
      <c r="Q824" s="110"/>
      <c r="S824" s="110"/>
    </row>
    <row r="825" ht="15.75" customHeight="1">
      <c r="B825" s="110"/>
      <c r="I825" s="110"/>
      <c r="J825" s="110"/>
      <c r="K825" s="110"/>
      <c r="Q825" s="110"/>
      <c r="S825" s="110"/>
    </row>
    <row r="826" ht="15.75" customHeight="1">
      <c r="B826" s="110"/>
      <c r="I826" s="110"/>
      <c r="J826" s="110"/>
      <c r="K826" s="110"/>
      <c r="Q826" s="110"/>
      <c r="S826" s="110"/>
    </row>
    <row r="827" ht="15.75" customHeight="1">
      <c r="B827" s="110"/>
      <c r="I827" s="110"/>
      <c r="J827" s="110"/>
      <c r="K827" s="110"/>
      <c r="Q827" s="110"/>
      <c r="S827" s="110"/>
    </row>
    <row r="828" ht="15.75" customHeight="1">
      <c r="B828" s="110"/>
      <c r="I828" s="110"/>
      <c r="J828" s="110"/>
      <c r="K828" s="110"/>
      <c r="Q828" s="110"/>
      <c r="S828" s="110"/>
    </row>
    <row r="829" ht="15.75" customHeight="1">
      <c r="B829" s="110"/>
      <c r="I829" s="110"/>
      <c r="J829" s="110"/>
      <c r="K829" s="110"/>
      <c r="Q829" s="110"/>
      <c r="S829" s="110"/>
    </row>
    <row r="830" ht="15.75" customHeight="1">
      <c r="B830" s="110"/>
      <c r="I830" s="110"/>
      <c r="J830" s="110"/>
      <c r="K830" s="110"/>
      <c r="Q830" s="110"/>
      <c r="S830" s="110"/>
    </row>
    <row r="831" ht="15.75" customHeight="1">
      <c r="B831" s="110"/>
      <c r="I831" s="110"/>
      <c r="J831" s="110"/>
      <c r="K831" s="110"/>
      <c r="Q831" s="110"/>
      <c r="S831" s="110"/>
    </row>
    <row r="832" ht="15.75" customHeight="1">
      <c r="B832" s="110"/>
      <c r="I832" s="110"/>
      <c r="J832" s="110"/>
      <c r="K832" s="110"/>
      <c r="Q832" s="110"/>
      <c r="S832" s="110"/>
    </row>
    <row r="833" ht="15.75" customHeight="1">
      <c r="B833" s="110"/>
      <c r="I833" s="110"/>
      <c r="J833" s="110"/>
      <c r="K833" s="110"/>
      <c r="Q833" s="110"/>
      <c r="S833" s="110"/>
    </row>
    <row r="834" ht="15.75" customHeight="1">
      <c r="B834" s="110"/>
      <c r="I834" s="110"/>
      <c r="J834" s="110"/>
      <c r="K834" s="110"/>
      <c r="Q834" s="110"/>
      <c r="S834" s="110"/>
    </row>
    <row r="835" ht="15.75" customHeight="1">
      <c r="B835" s="110"/>
      <c r="I835" s="110"/>
      <c r="J835" s="110"/>
      <c r="K835" s="110"/>
      <c r="Q835" s="110"/>
      <c r="S835" s="110"/>
    </row>
    <row r="836" ht="15.75" customHeight="1">
      <c r="B836" s="110"/>
      <c r="I836" s="110"/>
      <c r="J836" s="110"/>
      <c r="K836" s="110"/>
      <c r="Q836" s="110"/>
      <c r="S836" s="110"/>
    </row>
    <row r="837" ht="15.75" customHeight="1">
      <c r="B837" s="110"/>
      <c r="I837" s="110"/>
      <c r="J837" s="110"/>
      <c r="K837" s="110"/>
      <c r="Q837" s="110"/>
      <c r="S837" s="110"/>
    </row>
    <row r="838" ht="15.75" customHeight="1">
      <c r="B838" s="110"/>
      <c r="I838" s="110"/>
      <c r="J838" s="110"/>
      <c r="K838" s="110"/>
      <c r="Q838" s="110"/>
      <c r="S838" s="110"/>
    </row>
    <row r="839" ht="15.75" customHeight="1">
      <c r="B839" s="110"/>
      <c r="I839" s="110"/>
      <c r="J839" s="110"/>
      <c r="K839" s="110"/>
      <c r="Q839" s="110"/>
      <c r="S839" s="110"/>
    </row>
    <row r="840" ht="15.75" customHeight="1">
      <c r="B840" s="110"/>
      <c r="I840" s="110"/>
      <c r="J840" s="110"/>
      <c r="K840" s="110"/>
      <c r="Q840" s="110"/>
      <c r="S840" s="110"/>
    </row>
    <row r="841" ht="15.75" customHeight="1">
      <c r="B841" s="110"/>
      <c r="I841" s="110"/>
      <c r="J841" s="110"/>
      <c r="K841" s="110"/>
      <c r="Q841" s="110"/>
      <c r="S841" s="110"/>
    </row>
    <row r="842" ht="15.75" customHeight="1">
      <c r="B842" s="110"/>
      <c r="I842" s="110"/>
      <c r="J842" s="110"/>
      <c r="K842" s="110"/>
      <c r="Q842" s="110"/>
      <c r="S842" s="110"/>
    </row>
    <row r="843" ht="15.75" customHeight="1">
      <c r="B843" s="110"/>
      <c r="I843" s="110"/>
      <c r="J843" s="110"/>
      <c r="K843" s="110"/>
      <c r="Q843" s="110"/>
      <c r="S843" s="110"/>
    </row>
    <row r="844" ht="15.75" customHeight="1">
      <c r="B844" s="110"/>
      <c r="I844" s="110"/>
      <c r="J844" s="110"/>
      <c r="K844" s="110"/>
      <c r="Q844" s="110"/>
      <c r="S844" s="110"/>
    </row>
    <row r="845" ht="15.75" customHeight="1">
      <c r="B845" s="110"/>
      <c r="I845" s="110"/>
      <c r="J845" s="110"/>
      <c r="K845" s="110"/>
      <c r="Q845" s="110"/>
      <c r="S845" s="110"/>
    </row>
    <row r="846" ht="15.75" customHeight="1">
      <c r="B846" s="110"/>
      <c r="I846" s="110"/>
      <c r="J846" s="110"/>
      <c r="K846" s="110"/>
      <c r="Q846" s="110"/>
      <c r="S846" s="110"/>
    </row>
    <row r="847" ht="15.75" customHeight="1">
      <c r="B847" s="110"/>
      <c r="I847" s="110"/>
      <c r="J847" s="110"/>
      <c r="K847" s="110"/>
      <c r="Q847" s="110"/>
      <c r="S847" s="110"/>
    </row>
    <row r="848" ht="15.75" customHeight="1">
      <c r="B848" s="110"/>
      <c r="I848" s="110"/>
      <c r="J848" s="110"/>
      <c r="K848" s="110"/>
      <c r="Q848" s="110"/>
      <c r="S848" s="110"/>
    </row>
    <row r="849" ht="15.75" customHeight="1">
      <c r="B849" s="110"/>
      <c r="I849" s="110"/>
      <c r="J849" s="110"/>
      <c r="K849" s="110"/>
      <c r="Q849" s="110"/>
      <c r="S849" s="110"/>
    </row>
    <row r="850" ht="15.75" customHeight="1">
      <c r="B850" s="110"/>
      <c r="I850" s="110"/>
      <c r="J850" s="110"/>
      <c r="K850" s="110"/>
      <c r="Q850" s="110"/>
      <c r="S850" s="110"/>
    </row>
    <row r="851" ht="15.75" customHeight="1">
      <c r="B851" s="110"/>
      <c r="I851" s="110"/>
      <c r="J851" s="110"/>
      <c r="K851" s="110"/>
      <c r="Q851" s="110"/>
      <c r="S851" s="110"/>
    </row>
    <row r="852" ht="15.75" customHeight="1">
      <c r="B852" s="110"/>
      <c r="I852" s="110"/>
      <c r="J852" s="110"/>
      <c r="K852" s="110"/>
      <c r="Q852" s="110"/>
      <c r="S852" s="110"/>
    </row>
    <row r="853" ht="15.75" customHeight="1">
      <c r="B853" s="110"/>
      <c r="I853" s="110"/>
      <c r="J853" s="110"/>
      <c r="K853" s="110"/>
      <c r="Q853" s="110"/>
      <c r="S853" s="110"/>
    </row>
    <row r="854" ht="15.75" customHeight="1">
      <c r="B854" s="110"/>
      <c r="I854" s="110"/>
      <c r="J854" s="110"/>
      <c r="K854" s="110"/>
      <c r="Q854" s="110"/>
      <c r="S854" s="110"/>
    </row>
    <row r="855" ht="15.75" customHeight="1">
      <c r="B855" s="110"/>
      <c r="I855" s="110"/>
      <c r="J855" s="110"/>
      <c r="K855" s="110"/>
      <c r="Q855" s="110"/>
      <c r="S855" s="110"/>
    </row>
    <row r="856" ht="15.75" customHeight="1">
      <c r="B856" s="110"/>
      <c r="I856" s="110"/>
      <c r="J856" s="110"/>
      <c r="K856" s="110"/>
      <c r="Q856" s="110"/>
      <c r="S856" s="110"/>
    </row>
    <row r="857" ht="15.75" customHeight="1">
      <c r="B857" s="110"/>
      <c r="I857" s="110"/>
      <c r="J857" s="110"/>
      <c r="K857" s="110"/>
      <c r="Q857" s="110"/>
      <c r="S857" s="110"/>
    </row>
    <row r="858" ht="15.75" customHeight="1">
      <c r="B858" s="110"/>
      <c r="I858" s="110"/>
      <c r="J858" s="110"/>
      <c r="K858" s="110"/>
      <c r="Q858" s="110"/>
      <c r="S858" s="110"/>
    </row>
    <row r="859" ht="15.75" customHeight="1">
      <c r="B859" s="110"/>
      <c r="I859" s="110"/>
      <c r="J859" s="110"/>
      <c r="K859" s="110"/>
      <c r="Q859" s="110"/>
      <c r="S859" s="110"/>
    </row>
    <row r="860" ht="15.75" customHeight="1">
      <c r="B860" s="110"/>
      <c r="I860" s="110"/>
      <c r="J860" s="110"/>
      <c r="K860" s="110"/>
      <c r="Q860" s="110"/>
      <c r="S860" s="110"/>
    </row>
    <row r="861" ht="15.75" customHeight="1">
      <c r="B861" s="110"/>
      <c r="I861" s="110"/>
      <c r="J861" s="110"/>
      <c r="K861" s="110"/>
      <c r="Q861" s="110"/>
      <c r="S861" s="110"/>
    </row>
    <row r="862" ht="15.75" customHeight="1">
      <c r="B862" s="110"/>
      <c r="I862" s="110"/>
      <c r="J862" s="110"/>
      <c r="K862" s="110"/>
      <c r="Q862" s="110"/>
      <c r="S862" s="110"/>
    </row>
    <row r="863" ht="15.75" customHeight="1">
      <c r="B863" s="110"/>
      <c r="I863" s="110"/>
      <c r="J863" s="110"/>
      <c r="K863" s="110"/>
      <c r="Q863" s="110"/>
      <c r="S863" s="110"/>
    </row>
    <row r="864" ht="15.75" customHeight="1">
      <c r="B864" s="110"/>
      <c r="I864" s="110"/>
      <c r="J864" s="110"/>
      <c r="K864" s="110"/>
      <c r="Q864" s="110"/>
      <c r="S864" s="110"/>
    </row>
    <row r="865" ht="15.75" customHeight="1">
      <c r="B865" s="110"/>
      <c r="I865" s="110"/>
      <c r="J865" s="110"/>
      <c r="K865" s="110"/>
      <c r="Q865" s="110"/>
      <c r="S865" s="110"/>
    </row>
    <row r="866" ht="15.75" customHeight="1">
      <c r="B866" s="110"/>
      <c r="I866" s="110"/>
      <c r="J866" s="110"/>
      <c r="K866" s="110"/>
      <c r="Q866" s="110"/>
      <c r="S866" s="110"/>
    </row>
    <row r="867" ht="15.75" customHeight="1">
      <c r="B867" s="110"/>
      <c r="I867" s="110"/>
      <c r="J867" s="110"/>
      <c r="K867" s="110"/>
      <c r="Q867" s="110"/>
      <c r="S867" s="110"/>
    </row>
    <row r="868" ht="15.75" customHeight="1">
      <c r="B868" s="110"/>
      <c r="I868" s="110"/>
      <c r="J868" s="110"/>
      <c r="K868" s="110"/>
      <c r="Q868" s="110"/>
      <c r="S868" s="110"/>
    </row>
    <row r="869" ht="15.75" customHeight="1">
      <c r="B869" s="110"/>
      <c r="I869" s="110"/>
      <c r="J869" s="110"/>
      <c r="K869" s="110"/>
      <c r="Q869" s="110"/>
      <c r="S869" s="110"/>
    </row>
    <row r="870" ht="15.75" customHeight="1">
      <c r="B870" s="110"/>
      <c r="I870" s="110"/>
      <c r="J870" s="110"/>
      <c r="K870" s="110"/>
      <c r="Q870" s="110"/>
      <c r="S870" s="110"/>
    </row>
    <row r="871" ht="15.75" customHeight="1">
      <c r="B871" s="110"/>
      <c r="I871" s="110"/>
      <c r="J871" s="110"/>
      <c r="K871" s="110"/>
      <c r="Q871" s="110"/>
      <c r="S871" s="110"/>
    </row>
    <row r="872" ht="15.75" customHeight="1">
      <c r="B872" s="110"/>
      <c r="I872" s="110"/>
      <c r="J872" s="110"/>
      <c r="K872" s="110"/>
      <c r="Q872" s="110"/>
      <c r="S872" s="110"/>
    </row>
    <row r="873" ht="15.75" customHeight="1">
      <c r="B873" s="110"/>
      <c r="I873" s="110"/>
      <c r="J873" s="110"/>
      <c r="K873" s="110"/>
      <c r="Q873" s="110"/>
      <c r="S873" s="110"/>
    </row>
    <row r="874" ht="15.75" customHeight="1">
      <c r="B874" s="110"/>
      <c r="I874" s="110"/>
      <c r="J874" s="110"/>
      <c r="K874" s="110"/>
      <c r="Q874" s="110"/>
      <c r="S874" s="110"/>
    </row>
    <row r="875" ht="15.75" customHeight="1">
      <c r="B875" s="110"/>
      <c r="I875" s="110"/>
      <c r="J875" s="110"/>
      <c r="K875" s="110"/>
      <c r="Q875" s="110"/>
      <c r="S875" s="110"/>
    </row>
    <row r="876" ht="15.75" customHeight="1">
      <c r="B876" s="110"/>
      <c r="I876" s="110"/>
      <c r="J876" s="110"/>
      <c r="K876" s="110"/>
      <c r="Q876" s="110"/>
      <c r="S876" s="110"/>
    </row>
    <row r="877" ht="15.75" customHeight="1">
      <c r="B877" s="110"/>
      <c r="I877" s="110"/>
      <c r="J877" s="110"/>
      <c r="K877" s="110"/>
      <c r="Q877" s="110"/>
      <c r="S877" s="110"/>
    </row>
    <row r="878" ht="15.75" customHeight="1">
      <c r="B878" s="110"/>
      <c r="I878" s="110"/>
      <c r="J878" s="110"/>
      <c r="K878" s="110"/>
      <c r="Q878" s="110"/>
      <c r="S878" s="110"/>
    </row>
    <row r="879" ht="15.75" customHeight="1">
      <c r="B879" s="110"/>
      <c r="I879" s="110"/>
      <c r="J879" s="110"/>
      <c r="K879" s="110"/>
      <c r="Q879" s="110"/>
      <c r="S879" s="110"/>
    </row>
    <row r="880" ht="15.75" customHeight="1">
      <c r="B880" s="110"/>
      <c r="I880" s="110"/>
      <c r="J880" s="110"/>
      <c r="K880" s="110"/>
      <c r="Q880" s="110"/>
      <c r="S880" s="110"/>
    </row>
    <row r="881" ht="15.75" customHeight="1">
      <c r="B881" s="110"/>
      <c r="I881" s="110"/>
      <c r="J881" s="110"/>
      <c r="K881" s="110"/>
      <c r="Q881" s="110"/>
      <c r="S881" s="110"/>
    </row>
    <row r="882" ht="15.75" customHeight="1">
      <c r="B882" s="110"/>
      <c r="I882" s="110"/>
      <c r="J882" s="110"/>
      <c r="K882" s="110"/>
      <c r="Q882" s="110"/>
      <c r="S882" s="110"/>
    </row>
    <row r="883" ht="15.75" customHeight="1">
      <c r="B883" s="110"/>
      <c r="I883" s="110"/>
      <c r="J883" s="110"/>
      <c r="K883" s="110"/>
      <c r="Q883" s="110"/>
      <c r="S883" s="110"/>
    </row>
    <row r="884" ht="15.75" customHeight="1">
      <c r="B884" s="110"/>
      <c r="I884" s="110"/>
      <c r="J884" s="110"/>
      <c r="K884" s="110"/>
      <c r="Q884" s="110"/>
      <c r="S884" s="110"/>
    </row>
    <row r="885" ht="15.75" customHeight="1">
      <c r="B885" s="110"/>
      <c r="I885" s="110"/>
      <c r="J885" s="110"/>
      <c r="K885" s="110"/>
      <c r="Q885" s="110"/>
      <c r="S885" s="110"/>
    </row>
    <row r="886" ht="15.75" customHeight="1">
      <c r="B886" s="110"/>
      <c r="I886" s="110"/>
      <c r="J886" s="110"/>
      <c r="K886" s="110"/>
      <c r="Q886" s="110"/>
      <c r="S886" s="110"/>
    </row>
    <row r="887" ht="15.75" customHeight="1">
      <c r="B887" s="110"/>
      <c r="I887" s="110"/>
      <c r="J887" s="110"/>
      <c r="K887" s="110"/>
      <c r="Q887" s="110"/>
      <c r="S887" s="110"/>
    </row>
    <row r="888" ht="15.75" customHeight="1">
      <c r="B888" s="110"/>
      <c r="I888" s="110"/>
      <c r="J888" s="110"/>
      <c r="K888" s="110"/>
      <c r="Q888" s="110"/>
      <c r="S888" s="110"/>
    </row>
    <row r="889" ht="15.75" customHeight="1">
      <c r="B889" s="110"/>
      <c r="I889" s="110"/>
      <c r="J889" s="110"/>
      <c r="K889" s="110"/>
      <c r="Q889" s="110"/>
      <c r="S889" s="110"/>
    </row>
    <row r="890" ht="15.75" customHeight="1">
      <c r="B890" s="110"/>
      <c r="I890" s="110"/>
      <c r="J890" s="110"/>
      <c r="K890" s="110"/>
      <c r="Q890" s="110"/>
      <c r="S890" s="110"/>
    </row>
    <row r="891" ht="15.75" customHeight="1">
      <c r="B891" s="110"/>
      <c r="I891" s="110"/>
      <c r="J891" s="110"/>
      <c r="K891" s="110"/>
      <c r="Q891" s="110"/>
      <c r="S891" s="110"/>
    </row>
    <row r="892" ht="15.75" customHeight="1">
      <c r="B892" s="110"/>
      <c r="I892" s="110"/>
      <c r="J892" s="110"/>
      <c r="K892" s="110"/>
      <c r="Q892" s="110"/>
      <c r="S892" s="110"/>
    </row>
    <row r="893" ht="15.75" customHeight="1">
      <c r="B893" s="110"/>
      <c r="I893" s="110"/>
      <c r="J893" s="110"/>
      <c r="K893" s="110"/>
      <c r="Q893" s="110"/>
      <c r="S893" s="110"/>
    </row>
    <row r="894" ht="15.75" customHeight="1">
      <c r="B894" s="110"/>
      <c r="I894" s="110"/>
      <c r="J894" s="110"/>
      <c r="K894" s="110"/>
      <c r="Q894" s="110"/>
      <c r="S894" s="110"/>
    </row>
    <row r="895" ht="15.75" customHeight="1">
      <c r="B895" s="110"/>
      <c r="I895" s="110"/>
      <c r="J895" s="110"/>
      <c r="K895" s="110"/>
      <c r="Q895" s="110"/>
      <c r="S895" s="110"/>
    </row>
    <row r="896" ht="15.75" customHeight="1">
      <c r="B896" s="110"/>
      <c r="I896" s="110"/>
      <c r="J896" s="110"/>
      <c r="K896" s="110"/>
      <c r="Q896" s="110"/>
      <c r="S896" s="110"/>
    </row>
    <row r="897" ht="15.75" customHeight="1">
      <c r="B897" s="110"/>
      <c r="I897" s="110"/>
      <c r="J897" s="110"/>
      <c r="K897" s="110"/>
      <c r="Q897" s="110"/>
      <c r="S897" s="110"/>
    </row>
    <row r="898" ht="15.75" customHeight="1">
      <c r="B898" s="110"/>
      <c r="I898" s="110"/>
      <c r="J898" s="110"/>
      <c r="K898" s="110"/>
      <c r="Q898" s="110"/>
      <c r="S898" s="110"/>
    </row>
    <row r="899" ht="15.75" customHeight="1">
      <c r="B899" s="110"/>
      <c r="I899" s="110"/>
      <c r="J899" s="110"/>
      <c r="K899" s="110"/>
      <c r="Q899" s="110"/>
      <c r="S899" s="110"/>
    </row>
    <row r="900" ht="15.75" customHeight="1">
      <c r="B900" s="110"/>
      <c r="I900" s="110"/>
      <c r="J900" s="110"/>
      <c r="K900" s="110"/>
      <c r="Q900" s="110"/>
      <c r="S900" s="110"/>
    </row>
    <row r="901" ht="15.75" customHeight="1">
      <c r="B901" s="110"/>
      <c r="I901" s="110"/>
      <c r="J901" s="110"/>
      <c r="K901" s="110"/>
      <c r="Q901" s="110"/>
      <c r="S901" s="110"/>
    </row>
    <row r="902" ht="15.75" customHeight="1">
      <c r="B902" s="110"/>
      <c r="I902" s="110"/>
      <c r="J902" s="110"/>
      <c r="K902" s="110"/>
      <c r="Q902" s="110"/>
      <c r="S902" s="110"/>
    </row>
    <row r="903" ht="15.75" customHeight="1">
      <c r="B903" s="110"/>
      <c r="I903" s="110"/>
      <c r="J903" s="110"/>
      <c r="K903" s="110"/>
      <c r="Q903" s="110"/>
      <c r="S903" s="110"/>
    </row>
    <row r="904" ht="15.75" customHeight="1">
      <c r="B904" s="110"/>
      <c r="I904" s="110"/>
      <c r="J904" s="110"/>
      <c r="K904" s="110"/>
      <c r="Q904" s="110"/>
      <c r="S904" s="110"/>
    </row>
    <row r="905" ht="15.75" customHeight="1">
      <c r="B905" s="110"/>
      <c r="I905" s="110"/>
      <c r="J905" s="110"/>
      <c r="K905" s="110"/>
      <c r="Q905" s="110"/>
      <c r="S905" s="110"/>
    </row>
    <row r="906" ht="15.75" customHeight="1">
      <c r="B906" s="110"/>
      <c r="I906" s="110"/>
      <c r="J906" s="110"/>
      <c r="K906" s="110"/>
      <c r="Q906" s="110"/>
      <c r="S906" s="110"/>
    </row>
    <row r="907" ht="15.75" customHeight="1">
      <c r="B907" s="110"/>
      <c r="I907" s="110"/>
      <c r="J907" s="110"/>
      <c r="K907" s="110"/>
      <c r="Q907" s="110"/>
      <c r="S907" s="110"/>
    </row>
    <row r="908" ht="15.75" customHeight="1">
      <c r="B908" s="110"/>
      <c r="I908" s="110"/>
      <c r="J908" s="110"/>
      <c r="K908" s="110"/>
      <c r="Q908" s="110"/>
      <c r="S908" s="110"/>
    </row>
    <row r="909" ht="15.75" customHeight="1">
      <c r="B909" s="110"/>
      <c r="I909" s="110"/>
      <c r="J909" s="110"/>
      <c r="K909" s="110"/>
      <c r="Q909" s="110"/>
      <c r="S909" s="110"/>
    </row>
    <row r="910" ht="15.75" customHeight="1">
      <c r="B910" s="110"/>
      <c r="I910" s="110"/>
      <c r="J910" s="110"/>
      <c r="K910" s="110"/>
      <c r="Q910" s="110"/>
      <c r="S910" s="110"/>
    </row>
    <row r="911" ht="15.75" customHeight="1">
      <c r="B911" s="110"/>
      <c r="I911" s="110"/>
      <c r="J911" s="110"/>
      <c r="K911" s="110"/>
      <c r="Q911" s="110"/>
      <c r="S911" s="110"/>
    </row>
    <row r="912" ht="15.75" customHeight="1">
      <c r="B912" s="110"/>
      <c r="I912" s="110"/>
      <c r="J912" s="110"/>
      <c r="K912" s="110"/>
      <c r="Q912" s="110"/>
      <c r="S912" s="110"/>
    </row>
    <row r="913" ht="15.75" customHeight="1">
      <c r="B913" s="110"/>
      <c r="I913" s="110"/>
      <c r="J913" s="110"/>
      <c r="K913" s="110"/>
      <c r="Q913" s="110"/>
      <c r="S913" s="110"/>
    </row>
    <row r="914" ht="15.75" customHeight="1">
      <c r="B914" s="110"/>
      <c r="I914" s="110"/>
      <c r="J914" s="110"/>
      <c r="K914" s="110"/>
      <c r="Q914" s="110"/>
      <c r="S914" s="110"/>
    </row>
    <row r="915" ht="15.75" customHeight="1">
      <c r="B915" s="110"/>
      <c r="I915" s="110"/>
      <c r="J915" s="110"/>
      <c r="K915" s="110"/>
      <c r="Q915" s="110"/>
      <c r="S915" s="110"/>
    </row>
    <row r="916" ht="15.75" customHeight="1">
      <c r="B916" s="110"/>
      <c r="I916" s="110"/>
      <c r="J916" s="110"/>
      <c r="K916" s="110"/>
      <c r="Q916" s="110"/>
      <c r="S916" s="110"/>
    </row>
    <row r="917" ht="15.75" customHeight="1">
      <c r="B917" s="110"/>
      <c r="I917" s="110"/>
      <c r="J917" s="110"/>
      <c r="K917" s="110"/>
      <c r="Q917" s="110"/>
      <c r="S917" s="110"/>
    </row>
    <row r="918" ht="15.75" customHeight="1">
      <c r="B918" s="110"/>
      <c r="I918" s="110"/>
      <c r="J918" s="110"/>
      <c r="K918" s="110"/>
      <c r="Q918" s="110"/>
      <c r="S918" s="110"/>
    </row>
    <row r="919" ht="15.75" customHeight="1">
      <c r="B919" s="110"/>
      <c r="I919" s="110"/>
      <c r="J919" s="110"/>
      <c r="K919" s="110"/>
      <c r="Q919" s="110"/>
      <c r="S919" s="110"/>
    </row>
    <row r="920" ht="15.75" customHeight="1">
      <c r="B920" s="110"/>
      <c r="I920" s="110"/>
      <c r="J920" s="110"/>
      <c r="K920" s="110"/>
      <c r="Q920" s="110"/>
      <c r="S920" s="110"/>
    </row>
    <row r="921" ht="15.75" customHeight="1">
      <c r="B921" s="110"/>
      <c r="I921" s="110"/>
      <c r="J921" s="110"/>
      <c r="K921" s="110"/>
      <c r="Q921" s="110"/>
      <c r="S921" s="110"/>
    </row>
    <row r="922" ht="15.75" customHeight="1">
      <c r="B922" s="110"/>
      <c r="I922" s="110"/>
      <c r="J922" s="110"/>
      <c r="K922" s="110"/>
      <c r="Q922" s="110"/>
      <c r="S922" s="110"/>
    </row>
    <row r="923" ht="15.75" customHeight="1">
      <c r="B923" s="110"/>
      <c r="I923" s="110"/>
      <c r="J923" s="110"/>
      <c r="K923" s="110"/>
      <c r="Q923" s="110"/>
      <c r="S923" s="110"/>
    </row>
    <row r="924" ht="15.75" customHeight="1">
      <c r="B924" s="110"/>
      <c r="I924" s="110"/>
      <c r="J924" s="110"/>
      <c r="K924" s="110"/>
      <c r="Q924" s="110"/>
      <c r="S924" s="110"/>
    </row>
    <row r="925" ht="15.75" customHeight="1">
      <c r="B925" s="110"/>
      <c r="I925" s="110"/>
      <c r="J925" s="110"/>
      <c r="K925" s="110"/>
      <c r="Q925" s="110"/>
      <c r="S925" s="110"/>
    </row>
    <row r="926" ht="15.75" customHeight="1">
      <c r="B926" s="110"/>
      <c r="I926" s="110"/>
      <c r="J926" s="110"/>
      <c r="K926" s="110"/>
      <c r="Q926" s="110"/>
      <c r="S926" s="110"/>
    </row>
    <row r="927" ht="15.75" customHeight="1">
      <c r="B927" s="110"/>
      <c r="I927" s="110"/>
      <c r="J927" s="110"/>
      <c r="K927" s="110"/>
      <c r="Q927" s="110"/>
      <c r="S927" s="110"/>
    </row>
    <row r="928" ht="15.75" customHeight="1">
      <c r="B928" s="110"/>
      <c r="I928" s="110"/>
      <c r="J928" s="110"/>
      <c r="K928" s="110"/>
      <c r="Q928" s="110"/>
      <c r="S928" s="110"/>
    </row>
    <row r="929" ht="15.75" customHeight="1">
      <c r="B929" s="110"/>
      <c r="I929" s="110"/>
      <c r="J929" s="110"/>
      <c r="K929" s="110"/>
      <c r="Q929" s="110"/>
      <c r="S929" s="110"/>
    </row>
    <row r="930" ht="15.75" customHeight="1">
      <c r="B930" s="110"/>
      <c r="I930" s="110"/>
      <c r="J930" s="110"/>
      <c r="K930" s="110"/>
      <c r="Q930" s="110"/>
      <c r="S930" s="110"/>
    </row>
    <row r="931" ht="15.75" customHeight="1">
      <c r="B931" s="110"/>
      <c r="I931" s="110"/>
      <c r="J931" s="110"/>
      <c r="K931" s="110"/>
      <c r="Q931" s="110"/>
      <c r="S931" s="110"/>
    </row>
    <row r="932" ht="15.75" customHeight="1">
      <c r="B932" s="110"/>
      <c r="I932" s="110"/>
      <c r="J932" s="110"/>
      <c r="K932" s="110"/>
      <c r="Q932" s="110"/>
      <c r="S932" s="110"/>
    </row>
    <row r="933" ht="15.75" customHeight="1">
      <c r="B933" s="110"/>
      <c r="I933" s="110"/>
      <c r="J933" s="110"/>
      <c r="K933" s="110"/>
      <c r="Q933" s="110"/>
      <c r="S933" s="110"/>
    </row>
    <row r="934" ht="15.75" customHeight="1">
      <c r="B934" s="110"/>
      <c r="I934" s="110"/>
      <c r="J934" s="110"/>
      <c r="K934" s="110"/>
      <c r="Q934" s="110"/>
      <c r="S934" s="110"/>
    </row>
    <row r="935" ht="15.75" customHeight="1">
      <c r="B935" s="110"/>
      <c r="I935" s="110"/>
      <c r="J935" s="110"/>
      <c r="K935" s="110"/>
      <c r="Q935" s="110"/>
      <c r="S935" s="110"/>
    </row>
    <row r="936" ht="15.75" customHeight="1">
      <c r="B936" s="110"/>
      <c r="I936" s="110"/>
      <c r="J936" s="110"/>
      <c r="K936" s="110"/>
      <c r="Q936" s="110"/>
      <c r="S936" s="110"/>
    </row>
    <row r="937" ht="15.75" customHeight="1">
      <c r="B937" s="110"/>
      <c r="I937" s="110"/>
      <c r="J937" s="110"/>
      <c r="K937" s="110"/>
      <c r="Q937" s="110"/>
      <c r="S937" s="110"/>
    </row>
    <row r="938" ht="15.75" customHeight="1">
      <c r="B938" s="110"/>
      <c r="I938" s="110"/>
      <c r="J938" s="110"/>
      <c r="K938" s="110"/>
      <c r="Q938" s="110"/>
      <c r="S938" s="110"/>
    </row>
    <row r="939" ht="15.75" customHeight="1">
      <c r="B939" s="110"/>
      <c r="I939" s="110"/>
      <c r="J939" s="110"/>
      <c r="K939" s="110"/>
      <c r="Q939" s="110"/>
      <c r="S939" s="110"/>
    </row>
    <row r="940" ht="15.75" customHeight="1">
      <c r="B940" s="110"/>
      <c r="I940" s="110"/>
      <c r="J940" s="110"/>
      <c r="K940" s="110"/>
      <c r="Q940" s="110"/>
      <c r="S940" s="110"/>
    </row>
    <row r="941" ht="15.75" customHeight="1">
      <c r="B941" s="110"/>
      <c r="I941" s="110"/>
      <c r="J941" s="110"/>
      <c r="K941" s="110"/>
      <c r="Q941" s="110"/>
      <c r="S941" s="110"/>
    </row>
    <row r="942" ht="15.75" customHeight="1">
      <c r="B942" s="110"/>
      <c r="I942" s="110"/>
      <c r="J942" s="110"/>
      <c r="K942" s="110"/>
      <c r="Q942" s="110"/>
      <c r="S942" s="110"/>
    </row>
    <row r="943" ht="15.75" customHeight="1">
      <c r="B943" s="110"/>
      <c r="I943" s="110"/>
      <c r="J943" s="110"/>
      <c r="K943" s="110"/>
      <c r="Q943" s="110"/>
      <c r="S943" s="110"/>
    </row>
    <row r="944" ht="15.75" customHeight="1">
      <c r="B944" s="110"/>
      <c r="I944" s="110"/>
      <c r="J944" s="110"/>
      <c r="K944" s="110"/>
      <c r="Q944" s="110"/>
      <c r="S944" s="110"/>
    </row>
    <row r="945" ht="15.75" customHeight="1">
      <c r="B945" s="110"/>
      <c r="I945" s="110"/>
      <c r="J945" s="110"/>
      <c r="K945" s="110"/>
      <c r="Q945" s="110"/>
      <c r="S945" s="110"/>
    </row>
    <row r="946" ht="15.75" customHeight="1">
      <c r="B946" s="110"/>
      <c r="I946" s="110"/>
      <c r="J946" s="110"/>
      <c r="K946" s="110"/>
      <c r="Q946" s="110"/>
      <c r="S946" s="110"/>
    </row>
    <row r="947" ht="15.75" customHeight="1">
      <c r="B947" s="110"/>
      <c r="I947" s="110"/>
      <c r="J947" s="110"/>
      <c r="K947" s="110"/>
      <c r="Q947" s="110"/>
      <c r="S947" s="110"/>
    </row>
    <row r="948" ht="15.75" customHeight="1">
      <c r="B948" s="110"/>
      <c r="I948" s="110"/>
      <c r="J948" s="110"/>
      <c r="K948" s="110"/>
      <c r="Q948" s="110"/>
      <c r="S948" s="110"/>
    </row>
    <row r="949" ht="15.75" customHeight="1">
      <c r="B949" s="110"/>
      <c r="I949" s="110"/>
      <c r="J949" s="110"/>
      <c r="K949" s="110"/>
      <c r="Q949" s="110"/>
      <c r="S949" s="110"/>
    </row>
    <row r="950" ht="15.75" customHeight="1">
      <c r="B950" s="110"/>
      <c r="I950" s="110"/>
      <c r="J950" s="110"/>
      <c r="K950" s="110"/>
      <c r="Q950" s="110"/>
      <c r="S950" s="110"/>
    </row>
    <row r="951" ht="15.75" customHeight="1">
      <c r="B951" s="110"/>
      <c r="I951" s="110"/>
      <c r="J951" s="110"/>
      <c r="K951" s="110"/>
      <c r="Q951" s="110"/>
      <c r="S951" s="110"/>
    </row>
    <row r="952" ht="15.75" customHeight="1">
      <c r="B952" s="110"/>
      <c r="I952" s="110"/>
      <c r="J952" s="110"/>
      <c r="K952" s="110"/>
      <c r="Q952" s="110"/>
      <c r="S952" s="110"/>
    </row>
    <row r="953" ht="15.75" customHeight="1">
      <c r="B953" s="110"/>
      <c r="I953" s="110"/>
      <c r="J953" s="110"/>
      <c r="K953" s="110"/>
      <c r="Q953" s="110"/>
      <c r="S953" s="110"/>
    </row>
    <row r="954" ht="15.75" customHeight="1">
      <c r="B954" s="110"/>
      <c r="I954" s="110"/>
      <c r="J954" s="110"/>
      <c r="K954" s="110"/>
      <c r="Q954" s="110"/>
      <c r="S954" s="110"/>
    </row>
    <row r="955" ht="15.75" customHeight="1">
      <c r="B955" s="110"/>
      <c r="I955" s="110"/>
      <c r="J955" s="110"/>
      <c r="K955" s="110"/>
      <c r="Q955" s="110"/>
      <c r="S955" s="110"/>
    </row>
    <row r="956" ht="15.75" customHeight="1">
      <c r="B956" s="110"/>
      <c r="I956" s="110"/>
      <c r="J956" s="110"/>
      <c r="K956" s="110"/>
      <c r="Q956" s="110"/>
      <c r="S956" s="110"/>
    </row>
    <row r="957" ht="15.75" customHeight="1">
      <c r="B957" s="110"/>
      <c r="I957" s="110"/>
      <c r="J957" s="110"/>
      <c r="K957" s="110"/>
      <c r="Q957" s="110"/>
      <c r="S957" s="110"/>
    </row>
    <row r="958" ht="15.75" customHeight="1">
      <c r="B958" s="110"/>
      <c r="I958" s="110"/>
      <c r="J958" s="110"/>
      <c r="K958" s="110"/>
      <c r="Q958" s="110"/>
      <c r="S958" s="110"/>
    </row>
    <row r="959" ht="15.75" customHeight="1">
      <c r="B959" s="110"/>
      <c r="I959" s="110"/>
      <c r="J959" s="110"/>
      <c r="K959" s="110"/>
      <c r="Q959" s="110"/>
      <c r="S959" s="110"/>
    </row>
    <row r="960" ht="15.75" customHeight="1">
      <c r="B960" s="110"/>
      <c r="I960" s="110"/>
      <c r="J960" s="110"/>
      <c r="K960" s="110"/>
      <c r="Q960" s="110"/>
      <c r="S960" s="110"/>
    </row>
    <row r="961" ht="15.75" customHeight="1">
      <c r="B961" s="110"/>
      <c r="I961" s="110"/>
      <c r="J961" s="110"/>
      <c r="K961" s="110"/>
      <c r="Q961" s="110"/>
      <c r="S961" s="110"/>
    </row>
    <row r="962" ht="15.75" customHeight="1">
      <c r="B962" s="110"/>
      <c r="I962" s="110"/>
      <c r="J962" s="110"/>
      <c r="K962" s="110"/>
      <c r="Q962" s="110"/>
      <c r="S962" s="110"/>
    </row>
    <row r="963" ht="15.75" customHeight="1">
      <c r="B963" s="110"/>
      <c r="I963" s="110"/>
      <c r="J963" s="110"/>
      <c r="K963" s="110"/>
      <c r="Q963" s="110"/>
      <c r="S963" s="110"/>
    </row>
    <row r="964" ht="15.75" customHeight="1">
      <c r="B964" s="110"/>
      <c r="I964" s="110"/>
      <c r="J964" s="110"/>
      <c r="K964" s="110"/>
      <c r="Q964" s="110"/>
      <c r="S964" s="110"/>
    </row>
    <row r="965" ht="15.75" customHeight="1">
      <c r="B965" s="110"/>
      <c r="I965" s="110"/>
      <c r="J965" s="110"/>
      <c r="K965" s="110"/>
      <c r="Q965" s="110"/>
      <c r="S965" s="110"/>
    </row>
    <row r="966" ht="15.75" customHeight="1">
      <c r="B966" s="110"/>
      <c r="I966" s="110"/>
      <c r="J966" s="110"/>
      <c r="K966" s="110"/>
      <c r="Q966" s="110"/>
      <c r="S966" s="110"/>
    </row>
    <row r="967" ht="15.75" customHeight="1">
      <c r="B967" s="110"/>
      <c r="I967" s="110"/>
      <c r="J967" s="110"/>
      <c r="K967" s="110"/>
      <c r="Q967" s="110"/>
      <c r="S967" s="110"/>
    </row>
    <row r="968" ht="15.75" customHeight="1">
      <c r="B968" s="110"/>
      <c r="I968" s="110"/>
      <c r="J968" s="110"/>
      <c r="K968" s="110"/>
      <c r="Q968" s="110"/>
      <c r="S968" s="110"/>
    </row>
    <row r="969" ht="15.75" customHeight="1">
      <c r="B969" s="110"/>
      <c r="I969" s="110"/>
      <c r="J969" s="110"/>
      <c r="K969" s="110"/>
      <c r="Q969" s="110"/>
      <c r="S969" s="110"/>
    </row>
    <row r="970" ht="15.75" customHeight="1">
      <c r="B970" s="110"/>
      <c r="I970" s="110"/>
      <c r="J970" s="110"/>
      <c r="K970" s="110"/>
      <c r="Q970" s="110"/>
      <c r="S970" s="110"/>
    </row>
    <row r="971" ht="15.75" customHeight="1">
      <c r="B971" s="110"/>
      <c r="I971" s="110"/>
      <c r="J971" s="110"/>
      <c r="K971" s="110"/>
      <c r="Q971" s="110"/>
      <c r="S971" s="110"/>
    </row>
    <row r="972" ht="15.75" customHeight="1">
      <c r="B972" s="110"/>
      <c r="I972" s="110"/>
      <c r="J972" s="110"/>
      <c r="K972" s="110"/>
      <c r="Q972" s="110"/>
      <c r="S972" s="110"/>
    </row>
    <row r="973" ht="15.75" customHeight="1">
      <c r="B973" s="110"/>
      <c r="I973" s="110"/>
      <c r="J973" s="110"/>
      <c r="K973" s="110"/>
      <c r="Q973" s="110"/>
      <c r="S973" s="110"/>
    </row>
    <row r="974" ht="15.75" customHeight="1">
      <c r="B974" s="110"/>
      <c r="I974" s="110"/>
      <c r="J974" s="110"/>
      <c r="K974" s="110"/>
      <c r="Q974" s="110"/>
      <c r="S974" s="110"/>
    </row>
    <row r="975" ht="15.75" customHeight="1">
      <c r="B975" s="110"/>
      <c r="I975" s="110"/>
      <c r="J975" s="110"/>
      <c r="K975" s="110"/>
      <c r="Q975" s="110"/>
      <c r="S975" s="110"/>
    </row>
    <row r="976" ht="15.75" customHeight="1">
      <c r="B976" s="110"/>
      <c r="I976" s="110"/>
      <c r="J976" s="110"/>
      <c r="K976" s="110"/>
      <c r="Q976" s="110"/>
      <c r="S976" s="110"/>
    </row>
    <row r="977" ht="15.75" customHeight="1">
      <c r="B977" s="110"/>
      <c r="I977" s="110"/>
      <c r="J977" s="110"/>
      <c r="K977" s="110"/>
      <c r="Q977" s="110"/>
      <c r="S977" s="110"/>
    </row>
    <row r="978" ht="15.75" customHeight="1">
      <c r="B978" s="110"/>
      <c r="I978" s="110"/>
      <c r="J978" s="110"/>
      <c r="K978" s="110"/>
      <c r="Q978" s="110"/>
      <c r="S978" s="110"/>
    </row>
    <row r="979" ht="15.75" customHeight="1">
      <c r="B979" s="110"/>
      <c r="I979" s="110"/>
      <c r="J979" s="110"/>
      <c r="K979" s="110"/>
      <c r="Q979" s="110"/>
      <c r="S979" s="110"/>
    </row>
    <row r="980" ht="15.75" customHeight="1">
      <c r="B980" s="110"/>
      <c r="I980" s="110"/>
      <c r="J980" s="110"/>
      <c r="K980" s="110"/>
      <c r="Q980" s="110"/>
      <c r="S980" s="110"/>
    </row>
    <row r="981" ht="15.75" customHeight="1">
      <c r="B981" s="110"/>
      <c r="I981" s="110"/>
      <c r="J981" s="110"/>
      <c r="K981" s="110"/>
      <c r="Q981" s="110"/>
      <c r="S981" s="110"/>
    </row>
    <row r="982" ht="15.75" customHeight="1">
      <c r="B982" s="110"/>
      <c r="I982" s="110"/>
      <c r="J982" s="110"/>
      <c r="K982" s="110"/>
      <c r="Q982" s="110"/>
      <c r="S982" s="110"/>
    </row>
    <row r="983" ht="15.75" customHeight="1">
      <c r="B983" s="110"/>
      <c r="I983" s="110"/>
      <c r="J983" s="110"/>
      <c r="K983" s="110"/>
      <c r="Q983" s="110"/>
      <c r="S983" s="110"/>
    </row>
    <row r="984" ht="15.75" customHeight="1">
      <c r="B984" s="110"/>
      <c r="I984" s="110"/>
      <c r="J984" s="110"/>
      <c r="K984" s="110"/>
      <c r="Q984" s="110"/>
      <c r="S984" s="110"/>
    </row>
    <row r="985" ht="15.75" customHeight="1">
      <c r="B985" s="110"/>
      <c r="I985" s="110"/>
      <c r="J985" s="110"/>
      <c r="K985" s="110"/>
      <c r="Q985" s="110"/>
      <c r="S985" s="110"/>
    </row>
    <row r="986" ht="15.75" customHeight="1">
      <c r="B986" s="110"/>
      <c r="I986" s="110"/>
      <c r="J986" s="110"/>
      <c r="K986" s="110"/>
      <c r="Q986" s="110"/>
      <c r="S986" s="110"/>
    </row>
    <row r="987" ht="15.75" customHeight="1">
      <c r="B987" s="110"/>
      <c r="I987" s="110"/>
      <c r="J987" s="110"/>
      <c r="K987" s="110"/>
      <c r="Q987" s="110"/>
      <c r="S987" s="110"/>
    </row>
    <row r="988" ht="15.75" customHeight="1">
      <c r="B988" s="110"/>
      <c r="I988" s="110"/>
      <c r="J988" s="110"/>
      <c r="K988" s="110"/>
      <c r="Q988" s="110"/>
      <c r="S988" s="110"/>
    </row>
    <row r="989" ht="15.75" customHeight="1">
      <c r="B989" s="110"/>
      <c r="I989" s="110"/>
      <c r="J989" s="110"/>
      <c r="K989" s="110"/>
      <c r="Q989" s="110"/>
      <c r="S989" s="110"/>
    </row>
    <row r="990" ht="15.75" customHeight="1">
      <c r="B990" s="110"/>
      <c r="I990" s="110"/>
      <c r="J990" s="110"/>
      <c r="K990" s="110"/>
      <c r="Q990" s="110"/>
      <c r="S990" s="110"/>
    </row>
    <row r="991" ht="15.75" customHeight="1">
      <c r="B991" s="110"/>
      <c r="I991" s="110"/>
      <c r="J991" s="110"/>
      <c r="K991" s="110"/>
      <c r="Q991" s="110"/>
      <c r="S991" s="110"/>
    </row>
    <row r="992" ht="15.75" customHeight="1">
      <c r="B992" s="110"/>
      <c r="I992" s="110"/>
      <c r="J992" s="110"/>
      <c r="K992" s="110"/>
      <c r="Q992" s="110"/>
      <c r="S992" s="110"/>
    </row>
    <row r="993" ht="15.75" customHeight="1">
      <c r="B993" s="110"/>
      <c r="I993" s="110"/>
      <c r="J993" s="110"/>
      <c r="K993" s="110"/>
      <c r="Q993" s="110"/>
      <c r="S993" s="110"/>
    </row>
    <row r="994" ht="15.75" customHeight="1">
      <c r="B994" s="110"/>
      <c r="I994" s="110"/>
      <c r="J994" s="110"/>
      <c r="K994" s="110"/>
      <c r="Q994" s="110"/>
      <c r="S994" s="110"/>
    </row>
    <row r="995" ht="15.75" customHeight="1">
      <c r="B995" s="110"/>
      <c r="I995" s="110"/>
      <c r="J995" s="110"/>
      <c r="K995" s="110"/>
      <c r="Q995" s="110"/>
      <c r="S995" s="110"/>
    </row>
    <row r="996" ht="15.75" customHeight="1">
      <c r="B996" s="110"/>
      <c r="I996" s="110"/>
      <c r="J996" s="110"/>
      <c r="K996" s="110"/>
      <c r="Q996" s="110"/>
      <c r="S996" s="110"/>
    </row>
    <row r="997" ht="15.75" customHeight="1">
      <c r="B997" s="110"/>
      <c r="I997" s="110"/>
      <c r="J997" s="110"/>
      <c r="K997" s="110"/>
      <c r="Q997" s="110"/>
      <c r="S997" s="110"/>
    </row>
  </sheetData>
  <dataValidations>
    <dataValidation type="list" allowBlank="1" showInputMessage="1" showErrorMessage="1" prompt="Invalid Type - Choose from the dropdown list." sqref="I4:I997">
      <formula1>"Inward,Damage,Return,Recount,Transfer In,Transfer Out,Write-Off"</formula1>
    </dataValidation>
    <dataValidation type="list" allowBlank="1" sqref="Q4:Q997">
      <formula1>"Pending,Approved,Rejected"</formula1>
    </dataValidation>
    <dataValidation type="list" allowBlank="1" sqref="S4:S997">
      <formula1>"Not Synced,Synced,Sync Error"</formula1>
    </dataValidation>
    <dataValidation type="decimal" operator="greaterThan" allowBlank="1" showInputMessage="1" showErrorMessage="1" prompt="Invalid Quantity - Quantity must be a positive number." sqref="J4:J997">
      <formula1>0.0</formula1>
    </dataValidation>
    <dataValidation type="list" allowBlank="1" sqref="K4:K997">
      <formula1>"=Add,-Deduct"</formula1>
    </dataValidation>
    <dataValidation type="date" allowBlank="1" showInputMessage="1" showErrorMessage="1" prompt="Invalid Date - Enter date as YYYY-MM-DD" sqref="B4:B997">
      <formula1>0.0</formula1>
      <formula2>0.0</formula2>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2" width="10.0"/>
    <col customWidth="1" min="3" max="3" width="16.0"/>
    <col customWidth="1" min="4" max="4" width="26.0"/>
    <col customWidth="1" min="5" max="5" width="22.0"/>
    <col customWidth="1" min="6" max="6" width="8.71"/>
    <col customWidth="1" min="7" max="7" width="22.0"/>
    <col customWidth="1" min="8" max="8" width="8.71"/>
    <col customWidth="1" min="9" max="9" width="28.0"/>
    <col customWidth="1" min="10" max="10" width="8.71"/>
    <col customWidth="1" min="11" max="11" width="24.0"/>
    <col customWidth="1" min="12" max="26" width="8.71"/>
  </cols>
  <sheetData>
    <row r="1" ht="30.0" customHeight="1">
      <c r="A1" s="18" t="s">
        <v>189</v>
      </c>
      <c r="B1" s="19"/>
      <c r="C1" s="19"/>
      <c r="D1" s="19"/>
      <c r="E1" s="19"/>
      <c r="F1" s="19"/>
      <c r="G1" s="19"/>
      <c r="H1" s="20"/>
    </row>
    <row r="3" ht="24.0" customHeight="1">
      <c r="A3" s="49" t="s">
        <v>191</v>
      </c>
      <c r="C3" s="49" t="s">
        <v>192</v>
      </c>
      <c r="E3" s="49" t="s">
        <v>193</v>
      </c>
      <c r="G3" s="49" t="s">
        <v>194</v>
      </c>
      <c r="I3" s="49" t="s">
        <v>195</v>
      </c>
      <c r="K3" s="49" t="s">
        <v>196</v>
      </c>
    </row>
    <row r="4" ht="19.5" customHeight="1">
      <c r="A4" s="51" t="s">
        <v>197</v>
      </c>
      <c r="C4" s="51" t="s">
        <v>198</v>
      </c>
      <c r="E4" s="51" t="s">
        <v>75</v>
      </c>
      <c r="G4" s="51" t="s">
        <v>199</v>
      </c>
      <c r="I4" s="51" t="s">
        <v>200</v>
      </c>
      <c r="K4" s="51" t="s">
        <v>201</v>
      </c>
    </row>
    <row r="5" ht="19.5" customHeight="1">
      <c r="A5" s="52" t="s">
        <v>202</v>
      </c>
      <c r="C5" s="52" t="s">
        <v>203</v>
      </c>
      <c r="E5" s="52" t="s">
        <v>62</v>
      </c>
      <c r="G5" s="52" t="s">
        <v>204</v>
      </c>
      <c r="I5" s="52" t="s">
        <v>205</v>
      </c>
      <c r="K5" s="52" t="s">
        <v>206</v>
      </c>
    </row>
    <row r="6" ht="19.5" customHeight="1">
      <c r="A6" s="51" t="s">
        <v>207</v>
      </c>
      <c r="E6" s="51" t="s">
        <v>208</v>
      </c>
      <c r="G6" s="51" t="s">
        <v>209</v>
      </c>
      <c r="I6" s="51" t="s">
        <v>210</v>
      </c>
      <c r="K6" s="51" t="s">
        <v>211</v>
      </c>
    </row>
    <row r="7" ht="19.5" customHeight="1">
      <c r="A7" s="52" t="s">
        <v>212</v>
      </c>
      <c r="I7" s="52" t="s">
        <v>213</v>
      </c>
      <c r="K7" s="52" t="s">
        <v>214</v>
      </c>
    </row>
    <row r="8" ht="19.5" customHeight="1">
      <c r="A8" s="51" t="s">
        <v>215</v>
      </c>
      <c r="I8" s="51" t="s">
        <v>216</v>
      </c>
    </row>
    <row r="9" ht="19.5" customHeight="1">
      <c r="A9" s="52" t="s">
        <v>217</v>
      </c>
      <c r="I9" s="52" t="s">
        <v>218</v>
      </c>
    </row>
    <row r="10" ht="19.5" customHeight="1">
      <c r="A10" s="51" t="s">
        <v>219</v>
      </c>
      <c r="I10" s="51" t="s">
        <v>220</v>
      </c>
    </row>
    <row r="11" ht="19.5" customHeight="1">
      <c r="I11" s="52" t="s">
        <v>221</v>
      </c>
    </row>
    <row r="14" ht="24.0" customHeight="1">
      <c r="A14" s="53" t="s">
        <v>222</v>
      </c>
      <c r="B14" s="19"/>
      <c r="C14" s="19"/>
      <c r="D14" s="20"/>
    </row>
    <row r="15" ht="19.5" customHeight="1">
      <c r="A15" s="54" t="s">
        <v>10</v>
      </c>
      <c r="B15" s="54" t="s">
        <v>224</v>
      </c>
      <c r="C15" s="54" t="s">
        <v>225</v>
      </c>
      <c r="D15" s="54" t="s">
        <v>226</v>
      </c>
    </row>
    <row r="16" ht="18.0" customHeight="1">
      <c r="A16" s="48" t="s">
        <v>87</v>
      </c>
      <c r="B16" s="48" t="s">
        <v>228</v>
      </c>
      <c r="C16" s="55" t="s">
        <v>229</v>
      </c>
      <c r="D16" s="48" t="s">
        <v>230</v>
      </c>
    </row>
    <row r="17" ht="18.0" customHeight="1">
      <c r="A17" s="56" t="s">
        <v>87</v>
      </c>
      <c r="B17" s="56" t="s">
        <v>88</v>
      </c>
      <c r="C17" s="57" t="s">
        <v>231</v>
      </c>
      <c r="D17" s="56" t="s">
        <v>232</v>
      </c>
    </row>
    <row r="18" ht="18.0" customHeight="1">
      <c r="A18" s="48" t="s">
        <v>87</v>
      </c>
      <c r="B18" s="48" t="s">
        <v>233</v>
      </c>
      <c r="C18" s="55" t="s">
        <v>234</v>
      </c>
      <c r="D18" s="48" t="s">
        <v>235</v>
      </c>
    </row>
    <row r="19" ht="18.0" customHeight="1">
      <c r="A19" s="56" t="s">
        <v>87</v>
      </c>
      <c r="B19" s="56" t="s">
        <v>236</v>
      </c>
      <c r="C19" s="57" t="s">
        <v>237</v>
      </c>
      <c r="D19" s="56" t="s">
        <v>238</v>
      </c>
    </row>
    <row r="20" ht="18.0" customHeight="1">
      <c r="A20" s="48" t="s">
        <v>87</v>
      </c>
      <c r="B20" s="48" t="s">
        <v>102</v>
      </c>
      <c r="C20" s="55" t="s">
        <v>239</v>
      </c>
      <c r="D20" s="48" t="s">
        <v>240</v>
      </c>
    </row>
    <row r="21" ht="18.0" customHeight="1">
      <c r="A21" s="56" t="s">
        <v>87</v>
      </c>
      <c r="B21" s="56" t="s">
        <v>241</v>
      </c>
      <c r="C21" s="57" t="s">
        <v>242</v>
      </c>
      <c r="D21" s="56" t="s">
        <v>243</v>
      </c>
    </row>
    <row r="22" ht="18.0" customHeight="1">
      <c r="A22" s="48" t="s">
        <v>56</v>
      </c>
      <c r="B22" s="48" t="s">
        <v>154</v>
      </c>
      <c r="C22" s="55" t="s">
        <v>244</v>
      </c>
      <c r="D22" s="48" t="s">
        <v>245</v>
      </c>
    </row>
    <row r="23" ht="18.0" customHeight="1">
      <c r="A23" s="56" t="s">
        <v>56</v>
      </c>
      <c r="B23" s="56" t="s">
        <v>248</v>
      </c>
      <c r="C23" s="57" t="s">
        <v>249</v>
      </c>
      <c r="D23" s="56" t="s">
        <v>250</v>
      </c>
    </row>
    <row r="24" ht="18.0" customHeight="1">
      <c r="A24" s="48" t="s">
        <v>56</v>
      </c>
      <c r="B24" s="48" t="s">
        <v>59</v>
      </c>
      <c r="C24" s="55" t="s">
        <v>252</v>
      </c>
      <c r="D24" s="48" t="s">
        <v>253</v>
      </c>
    </row>
    <row r="25" ht="18.0" customHeight="1">
      <c r="A25" s="56" t="s">
        <v>56</v>
      </c>
      <c r="B25" s="56" t="s">
        <v>142</v>
      </c>
      <c r="C25" s="57" t="s">
        <v>254</v>
      </c>
      <c r="D25" s="56" t="s">
        <v>256</v>
      </c>
    </row>
    <row r="26" ht="18.0" customHeight="1">
      <c r="A26" s="48" t="s">
        <v>56</v>
      </c>
      <c r="B26" s="48" t="s">
        <v>102</v>
      </c>
      <c r="C26" s="55" t="s">
        <v>257</v>
      </c>
      <c r="D26" s="48" t="s">
        <v>258</v>
      </c>
    </row>
    <row r="27" ht="18.0" customHeight="1">
      <c r="A27" s="56" t="s">
        <v>56</v>
      </c>
      <c r="B27" s="56" t="s">
        <v>259</v>
      </c>
      <c r="C27" s="57" t="s">
        <v>260</v>
      </c>
      <c r="D27" s="56" t="s">
        <v>261</v>
      </c>
    </row>
    <row r="28" ht="18.0" customHeight="1">
      <c r="A28" s="48" t="s">
        <v>262</v>
      </c>
      <c r="B28" s="48" t="s">
        <v>263</v>
      </c>
      <c r="C28" s="55" t="s">
        <v>264</v>
      </c>
      <c r="D28" s="48" t="s">
        <v>265</v>
      </c>
    </row>
    <row r="29" ht="18.0" customHeight="1">
      <c r="A29" s="56" t="s">
        <v>262</v>
      </c>
      <c r="B29" s="56" t="s">
        <v>267</v>
      </c>
      <c r="C29" s="57" t="s">
        <v>268</v>
      </c>
      <c r="D29" s="56" t="s">
        <v>269</v>
      </c>
    </row>
    <row r="30" ht="18.0" customHeight="1">
      <c r="A30" s="48" t="s">
        <v>262</v>
      </c>
      <c r="B30" s="48" t="s">
        <v>270</v>
      </c>
      <c r="C30" s="55" t="s">
        <v>271</v>
      </c>
      <c r="D30" s="48" t="s">
        <v>273</v>
      </c>
    </row>
    <row r="31" ht="18.0" customHeight="1">
      <c r="A31" s="56" t="s">
        <v>262</v>
      </c>
      <c r="B31" s="56" t="s">
        <v>275</v>
      </c>
      <c r="C31" s="57" t="s">
        <v>276</v>
      </c>
      <c r="D31" s="56" t="s">
        <v>277</v>
      </c>
    </row>
    <row r="32" ht="18.0" customHeight="1">
      <c r="A32" s="48" t="s">
        <v>262</v>
      </c>
      <c r="B32" s="48" t="s">
        <v>278</v>
      </c>
      <c r="C32" s="55" t="s">
        <v>279</v>
      </c>
      <c r="D32" s="48" t="s">
        <v>280</v>
      </c>
    </row>
    <row r="33" ht="18.0" customHeight="1">
      <c r="A33" s="56" t="s">
        <v>57</v>
      </c>
      <c r="B33" s="56" t="s">
        <v>281</v>
      </c>
      <c r="C33" s="57" t="s">
        <v>282</v>
      </c>
      <c r="D33" s="56" t="s">
        <v>283</v>
      </c>
    </row>
    <row r="34" ht="18.0" customHeight="1">
      <c r="A34" s="48" t="s">
        <v>57</v>
      </c>
      <c r="B34" s="48" t="s">
        <v>284</v>
      </c>
      <c r="C34" s="55" t="s">
        <v>285</v>
      </c>
      <c r="D34" s="48" t="s">
        <v>286</v>
      </c>
    </row>
    <row r="35" ht="18.0" customHeight="1">
      <c r="A35" s="56" t="s">
        <v>57</v>
      </c>
      <c r="B35" s="56" t="s">
        <v>287</v>
      </c>
      <c r="C35" s="57" t="s">
        <v>288</v>
      </c>
      <c r="D35" s="56" t="s">
        <v>289</v>
      </c>
    </row>
    <row r="36" ht="18.0" customHeight="1">
      <c r="A36" s="48" t="s">
        <v>57</v>
      </c>
      <c r="B36" s="48" t="s">
        <v>290</v>
      </c>
      <c r="C36" s="55" t="s">
        <v>291</v>
      </c>
      <c r="D36" s="48" t="s">
        <v>292</v>
      </c>
    </row>
    <row r="37" ht="18.0" customHeight="1">
      <c r="A37" s="56" t="s">
        <v>57</v>
      </c>
      <c r="B37" s="56" t="s">
        <v>293</v>
      </c>
      <c r="C37" s="57" t="s">
        <v>294</v>
      </c>
      <c r="D37" s="56" t="s">
        <v>295</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14:D14"/>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0"/>
    <col customWidth="1" min="2" max="2" width="26.0"/>
    <col customWidth="1" min="3" max="4" width="8.0"/>
    <col customWidth="1" min="5" max="12" width="14.0"/>
    <col customWidth="1" min="13" max="26" width="8.71"/>
  </cols>
  <sheetData>
    <row r="1" ht="36.0" customHeight="1">
      <c r="A1" s="96" t="s">
        <v>399</v>
      </c>
      <c r="B1" s="19"/>
      <c r="C1" s="19"/>
      <c r="D1" s="19"/>
      <c r="E1" s="19"/>
      <c r="F1" s="19"/>
      <c r="G1" s="19"/>
      <c r="H1" s="19"/>
      <c r="I1" s="19"/>
      <c r="J1" s="19"/>
      <c r="K1" s="19"/>
      <c r="L1" s="20"/>
    </row>
    <row r="2" ht="21.75" customHeight="1">
      <c r="A2" s="97" t="s">
        <v>410</v>
      </c>
      <c r="B2" s="19"/>
      <c r="C2" s="19"/>
      <c r="D2" s="19"/>
      <c r="E2" s="19"/>
      <c r="F2" s="19"/>
      <c r="G2" s="19"/>
      <c r="H2" s="19"/>
      <c r="I2" s="19"/>
      <c r="J2" s="19"/>
      <c r="K2" s="19"/>
      <c r="L2" s="20"/>
    </row>
    <row r="4" ht="24.0" customHeight="1">
      <c r="A4" s="98" t="s">
        <v>423</v>
      </c>
      <c r="B4" s="20"/>
      <c r="C4" s="100" t="s">
        <v>428</v>
      </c>
      <c r="D4" s="20"/>
      <c r="E4" s="101" t="s">
        <v>432</v>
      </c>
      <c r="F4" s="20"/>
      <c r="G4" s="102" t="s">
        <v>439</v>
      </c>
      <c r="H4" s="20"/>
      <c r="I4" s="103" t="s">
        <v>443</v>
      </c>
      <c r="J4" s="20"/>
      <c r="K4" s="101" t="s">
        <v>447</v>
      </c>
      <c r="L4" s="20"/>
    </row>
    <row r="5" ht="43.5" customHeight="1">
      <c r="A5" s="104" t="s">
        <v>456</v>
      </c>
      <c r="B5" s="20"/>
      <c r="C5" s="105" t="s">
        <v>462</v>
      </c>
      <c r="D5" s="20"/>
      <c r="E5" s="106" t="s">
        <v>468</v>
      </c>
      <c r="F5" s="20"/>
      <c r="G5" s="107" t="s">
        <v>475</v>
      </c>
      <c r="H5" s="20"/>
      <c r="I5" s="109" t="s">
        <v>480</v>
      </c>
      <c r="J5" s="20"/>
      <c r="K5" s="106" t="s">
        <v>486</v>
      </c>
      <c r="L5" s="20"/>
    </row>
    <row r="6" ht="12.0" customHeight="1">
      <c r="A6" s="112"/>
      <c r="B6" s="20"/>
      <c r="C6" s="114"/>
      <c r="D6" s="20"/>
      <c r="E6" s="115"/>
      <c r="F6" s="20"/>
      <c r="G6" s="116"/>
      <c r="H6" s="20"/>
      <c r="I6" s="117"/>
      <c r="J6" s="20"/>
      <c r="K6" s="115"/>
      <c r="L6" s="20"/>
    </row>
    <row r="7" ht="15.75" customHeight="1"/>
    <row r="8" ht="24.0" customHeight="1">
      <c r="A8" s="53" t="s">
        <v>508</v>
      </c>
      <c r="B8" s="19"/>
      <c r="C8" s="19"/>
      <c r="D8" s="20"/>
    </row>
    <row r="9" ht="19.5" customHeight="1">
      <c r="A9" s="54" t="s">
        <v>511</v>
      </c>
      <c r="B9" s="54" t="s">
        <v>355</v>
      </c>
      <c r="C9" s="54" t="s">
        <v>512</v>
      </c>
      <c r="D9" s="54" t="s">
        <v>377</v>
      </c>
    </row>
    <row r="10" ht="18.0" customHeight="1">
      <c r="A10" s="120" t="s">
        <v>268</v>
      </c>
      <c r="B10" s="48" t="s">
        <v>269</v>
      </c>
      <c r="C10" s="36">
        <v>370.0</v>
      </c>
      <c r="D10" s="36">
        <v>370.0</v>
      </c>
    </row>
    <row r="11" ht="18.0" customHeight="1">
      <c r="A11" s="120" t="s">
        <v>264</v>
      </c>
      <c r="B11" s="48" t="s">
        <v>265</v>
      </c>
      <c r="C11" s="36">
        <v>272.0</v>
      </c>
      <c r="D11" s="36">
        <v>272.0</v>
      </c>
    </row>
    <row r="12" ht="18.0" customHeight="1">
      <c r="A12" s="120" t="s">
        <v>271</v>
      </c>
      <c r="B12" s="48" t="s">
        <v>273</v>
      </c>
      <c r="C12" s="36">
        <v>395.0</v>
      </c>
      <c r="D12" s="36">
        <v>395.0</v>
      </c>
    </row>
    <row r="13" ht="18.0" customHeight="1">
      <c r="A13" s="120" t="s">
        <v>276</v>
      </c>
      <c r="B13" s="48" t="s">
        <v>277</v>
      </c>
      <c r="C13" s="36">
        <v>34.0</v>
      </c>
      <c r="D13" s="36">
        <v>34.0</v>
      </c>
    </row>
    <row r="14" ht="18.0" customHeight="1">
      <c r="A14" s="120" t="s">
        <v>279</v>
      </c>
      <c r="B14" s="48" t="s">
        <v>280</v>
      </c>
      <c r="C14" s="36">
        <v>59.0</v>
      </c>
      <c r="D14" s="36">
        <v>59.0</v>
      </c>
    </row>
    <row r="15" ht="18.0" customHeight="1">
      <c r="A15" s="121" t="s">
        <v>291</v>
      </c>
      <c r="B15" s="122" t="s">
        <v>292</v>
      </c>
      <c r="C15" s="123">
        <v>22.0</v>
      </c>
      <c r="D15" s="123">
        <v>22.0</v>
      </c>
    </row>
    <row r="16" ht="18.0" customHeight="1">
      <c r="A16" s="121" t="s">
        <v>282</v>
      </c>
      <c r="B16" s="122" t="s">
        <v>283</v>
      </c>
      <c r="C16" s="123">
        <v>49.0</v>
      </c>
      <c r="D16" s="123">
        <v>49.0</v>
      </c>
    </row>
    <row r="17" ht="18.0" customHeight="1">
      <c r="A17" s="121" t="s">
        <v>288</v>
      </c>
      <c r="B17" s="122" t="s">
        <v>289</v>
      </c>
      <c r="C17" s="123">
        <v>107.0</v>
      </c>
      <c r="D17" s="123">
        <v>107.0</v>
      </c>
    </row>
    <row r="18" ht="18.0" customHeight="1">
      <c r="A18" s="121" t="s">
        <v>285</v>
      </c>
      <c r="B18" s="122" t="s">
        <v>286</v>
      </c>
      <c r="C18" s="123">
        <v>23.0</v>
      </c>
      <c r="D18" s="123">
        <v>23.0</v>
      </c>
    </row>
    <row r="19" ht="18.0" customHeight="1">
      <c r="A19" s="121" t="s">
        <v>294</v>
      </c>
      <c r="B19" s="122" t="s">
        <v>295</v>
      </c>
      <c r="C19" s="123">
        <v>25.0</v>
      </c>
      <c r="D19" s="123">
        <v>25.0</v>
      </c>
    </row>
    <row r="20" ht="18.0" customHeight="1">
      <c r="A20" s="124" t="s">
        <v>257</v>
      </c>
      <c r="B20" s="125" t="s">
        <v>535</v>
      </c>
      <c r="C20" s="126">
        <v>163.0</v>
      </c>
      <c r="D20" s="126">
        <v>163.0</v>
      </c>
    </row>
    <row r="21" ht="18.0" customHeight="1">
      <c r="A21" s="124" t="s">
        <v>249</v>
      </c>
      <c r="B21" s="125" t="s">
        <v>250</v>
      </c>
      <c r="C21" s="126">
        <v>94.0</v>
      </c>
      <c r="D21" s="126">
        <v>94.0</v>
      </c>
    </row>
    <row r="22" ht="18.0" customHeight="1">
      <c r="A22" s="124" t="s">
        <v>260</v>
      </c>
      <c r="B22" s="125" t="s">
        <v>261</v>
      </c>
      <c r="C22" s="126">
        <v>13.0</v>
      </c>
      <c r="D22" s="126">
        <v>13.0</v>
      </c>
    </row>
    <row r="23" ht="18.0" customHeight="1">
      <c r="A23" s="124" t="s">
        <v>254</v>
      </c>
      <c r="B23" s="125" t="s">
        <v>256</v>
      </c>
      <c r="C23" s="126">
        <v>18.0</v>
      </c>
      <c r="D23" s="126">
        <v>18.0</v>
      </c>
    </row>
    <row r="24" ht="18.0" customHeight="1">
      <c r="A24" s="124" t="s">
        <v>252</v>
      </c>
      <c r="B24" s="125" t="s">
        <v>253</v>
      </c>
      <c r="C24" s="126">
        <v>20.0</v>
      </c>
      <c r="D24" s="126">
        <v>20.0</v>
      </c>
    </row>
    <row r="25" ht="18.0" customHeight="1">
      <c r="A25" s="124" t="s">
        <v>244</v>
      </c>
      <c r="B25" s="125" t="s">
        <v>245</v>
      </c>
      <c r="C25" s="126">
        <v>23.0</v>
      </c>
      <c r="D25" s="126">
        <v>23.0</v>
      </c>
    </row>
    <row r="26" ht="18.0" customHeight="1">
      <c r="A26" s="127" t="s">
        <v>229</v>
      </c>
      <c r="B26" s="128" t="s">
        <v>230</v>
      </c>
      <c r="C26" s="129">
        <v>463.0</v>
      </c>
      <c r="D26" s="129">
        <v>462.0</v>
      </c>
    </row>
    <row r="27" ht="18.0" customHeight="1">
      <c r="A27" s="127" t="s">
        <v>237</v>
      </c>
      <c r="B27" s="128" t="s">
        <v>238</v>
      </c>
      <c r="C27" s="129">
        <v>79.0</v>
      </c>
      <c r="D27" s="129">
        <v>79.0</v>
      </c>
    </row>
    <row r="28" ht="18.0" customHeight="1">
      <c r="A28" s="127" t="s">
        <v>231</v>
      </c>
      <c r="B28" s="128" t="s">
        <v>232</v>
      </c>
      <c r="C28" s="129">
        <v>933.0</v>
      </c>
      <c r="D28" s="129">
        <v>932.0</v>
      </c>
    </row>
    <row r="29" ht="18.0" customHeight="1">
      <c r="A29" s="127" t="s">
        <v>239</v>
      </c>
      <c r="B29" s="128" t="s">
        <v>535</v>
      </c>
      <c r="C29" s="129">
        <v>150.0</v>
      </c>
      <c r="D29" s="129">
        <v>150.0</v>
      </c>
    </row>
    <row r="30" ht="18.0" customHeight="1">
      <c r="A30" s="127" t="s">
        <v>234</v>
      </c>
      <c r="B30" s="128" t="s">
        <v>235</v>
      </c>
      <c r="C30" s="129">
        <v>53.0</v>
      </c>
      <c r="D30" s="129">
        <v>53.0</v>
      </c>
    </row>
    <row r="31" ht="18.0" customHeight="1">
      <c r="A31" s="127" t="s">
        <v>242</v>
      </c>
      <c r="B31" s="128" t="s">
        <v>243</v>
      </c>
      <c r="C31" s="129">
        <v>49.0</v>
      </c>
      <c r="D31" s="129">
        <v>49.0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L1"/>
    <mergeCell ref="A2:L2"/>
    <mergeCell ref="C4:D4"/>
    <mergeCell ref="E4:F4"/>
    <mergeCell ref="G4:H4"/>
    <mergeCell ref="I4:J4"/>
    <mergeCell ref="K4:L4"/>
    <mergeCell ref="A6:B6"/>
    <mergeCell ref="C6:D6"/>
    <mergeCell ref="E6:F6"/>
    <mergeCell ref="G6:H6"/>
    <mergeCell ref="I6:J6"/>
    <mergeCell ref="K6:L6"/>
    <mergeCell ref="A8:D8"/>
    <mergeCell ref="A4:B4"/>
    <mergeCell ref="A5:B5"/>
    <mergeCell ref="C5:D5"/>
    <mergeCell ref="E5:F5"/>
    <mergeCell ref="G5:H5"/>
    <mergeCell ref="I5:J5"/>
    <mergeCell ref="K5:L5"/>
  </mergeCells>
  <printOptions/>
  <pageMargins bottom="1.0" footer="0.0" header="0.0" left="0.75" right="0.75" top="1.0"/>
  <pageSetup paperSize="9" orientation="portrait"/>
  <drawing r:id="rId1"/>
</worksheet>
</file>